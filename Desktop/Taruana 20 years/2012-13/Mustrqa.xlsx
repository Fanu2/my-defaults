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idhu\Desktop\Landsoft 2020\Taruana 2017-18\Mustrqa\"/>
    </mc:Choice>
  </mc:AlternateContent>
  <xr:revisionPtr revIDLastSave="0" documentId="13_ncr:1_{87D03EAE-998B-4ED2-BC87-79B2602FE57C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 (4)" sheetId="3" r:id="rId1"/>
    <sheet name="Sheet1 (3)" sheetId="2" r:id="rId2"/>
    <sheet name="Sheet2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2" l="1"/>
  <c r="E7" i="2" l="1"/>
  <c r="E21" i="4" l="1"/>
  <c r="K58" i="1" l="1"/>
  <c r="J58" i="1"/>
  <c r="AK53" i="3" l="1"/>
  <c r="AJ52" i="3"/>
  <c r="AK52" i="3"/>
  <c r="Y30" i="3"/>
  <c r="Z30" i="3" s="1"/>
  <c r="Y29" i="3"/>
  <c r="Z29" i="3" s="1"/>
  <c r="Y33" i="3"/>
  <c r="Y28" i="3"/>
  <c r="Y27" i="3"/>
  <c r="Y34" i="3"/>
  <c r="Y32" i="3"/>
  <c r="Y26" i="3"/>
  <c r="Z35" i="3"/>
  <c r="Z34" i="3"/>
  <c r="Z33" i="3"/>
  <c r="Z32" i="3"/>
  <c r="Z31" i="3"/>
  <c r="Z28" i="3"/>
  <c r="Z27" i="3"/>
  <c r="Z26" i="3"/>
  <c r="Z25" i="3"/>
  <c r="Y25" i="3"/>
  <c r="Y24" i="3"/>
  <c r="AC28" i="3"/>
  <c r="L46" i="1"/>
  <c r="L44" i="1"/>
  <c r="K48" i="1"/>
  <c r="L39" i="1"/>
  <c r="J39" i="1"/>
  <c r="J48" i="1"/>
  <c r="L3" i="1"/>
  <c r="Y36" i="3" l="1"/>
  <c r="S19" i="3" l="1"/>
  <c r="U20" i="3" l="1"/>
  <c r="T20" i="3"/>
  <c r="C30" i="3" l="1"/>
  <c r="D30" i="3" s="1"/>
  <c r="D29" i="3"/>
  <c r="C29" i="3"/>
  <c r="Z24" i="3"/>
  <c r="AA35" i="3"/>
  <c r="Q24" i="3"/>
  <c r="R24" i="3" s="1"/>
  <c r="R35" i="3"/>
  <c r="S35" i="3" s="1"/>
  <c r="R34" i="3"/>
  <c r="R33" i="3"/>
  <c r="R32" i="3"/>
  <c r="R31" i="3"/>
  <c r="R30" i="3"/>
  <c r="R29" i="3"/>
  <c r="R28" i="3"/>
  <c r="R27" i="3"/>
  <c r="R26" i="3"/>
  <c r="R25" i="3"/>
  <c r="D35" i="3"/>
  <c r="D32" i="3"/>
  <c r="D31" i="3"/>
  <c r="D28" i="3"/>
  <c r="D27" i="3"/>
  <c r="D26" i="3"/>
  <c r="D25" i="3"/>
  <c r="D24" i="3"/>
  <c r="K35" i="3"/>
  <c r="L35" i="3" s="1"/>
  <c r="K34" i="3"/>
  <c r="K33" i="3"/>
  <c r="K32" i="3"/>
  <c r="K31" i="3"/>
  <c r="K30" i="3"/>
  <c r="K29" i="3"/>
  <c r="K28" i="3"/>
  <c r="K27" i="3"/>
  <c r="K26" i="3"/>
  <c r="K25" i="3"/>
  <c r="K24" i="3"/>
  <c r="N32" i="3"/>
  <c r="N31" i="3"/>
  <c r="J24" i="3"/>
  <c r="E35" i="3"/>
  <c r="C28" i="3"/>
  <c r="C27" i="3"/>
  <c r="C26" i="3"/>
  <c r="C25" i="3"/>
  <c r="C24" i="3"/>
  <c r="AK7" i="3"/>
  <c r="AC9" i="3"/>
  <c r="S3" i="3"/>
  <c r="J14" i="3"/>
  <c r="K14" i="3" s="1"/>
  <c r="C14" i="3"/>
  <c r="D14" i="3" s="1"/>
  <c r="J10" i="3"/>
  <c r="K10" i="3" s="1"/>
  <c r="K15" i="3"/>
  <c r="K18" i="3"/>
  <c r="I18" i="3"/>
  <c r="N17" i="3"/>
  <c r="M17" i="3"/>
  <c r="J13" i="3"/>
  <c r="K13" i="3" s="1"/>
  <c r="J12" i="3"/>
  <c r="K12" i="3" s="1"/>
  <c r="J11" i="3"/>
  <c r="K11" i="3" s="1"/>
  <c r="J9" i="3"/>
  <c r="K9" i="3" s="1"/>
  <c r="J8" i="3"/>
  <c r="K8" i="3" s="1"/>
  <c r="L7" i="3"/>
  <c r="J7" i="3"/>
  <c r="K7" i="3" s="1"/>
  <c r="J6" i="3"/>
  <c r="K6" i="3" s="1"/>
  <c r="J5" i="3"/>
  <c r="K5" i="3" s="1"/>
  <c r="Z36" i="3" l="1"/>
  <c r="R36" i="3"/>
  <c r="K36" i="3"/>
  <c r="E27" i="3"/>
  <c r="D36" i="3"/>
  <c r="C36" i="3"/>
  <c r="J16" i="3"/>
  <c r="K16" i="3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F17" i="3"/>
  <c r="G17" i="3"/>
  <c r="D18" i="3"/>
  <c r="B18" i="3"/>
  <c r="E7" i="3"/>
  <c r="R20" i="3"/>
  <c r="P20" i="3"/>
  <c r="R17" i="3"/>
  <c r="P17" i="3"/>
  <c r="AH15" i="3"/>
  <c r="AI15" i="3" s="1"/>
  <c r="AJ15" i="3" s="1"/>
  <c r="AH14" i="3"/>
  <c r="AI14" i="3" s="1"/>
  <c r="Y14" i="3"/>
  <c r="Z14" i="3" s="1"/>
  <c r="Q14" i="3"/>
  <c r="R14" i="3" s="1"/>
  <c r="AH13" i="3"/>
  <c r="AI13" i="3" s="1"/>
  <c r="Y13" i="3"/>
  <c r="Z13" i="3" s="1"/>
  <c r="Q13" i="3"/>
  <c r="R13" i="3" s="1"/>
  <c r="AH12" i="3"/>
  <c r="AI12" i="3" s="1"/>
  <c r="Z12" i="3"/>
  <c r="Q12" i="3"/>
  <c r="R12" i="3" s="1"/>
  <c r="AH11" i="3"/>
  <c r="AI11" i="3" s="1"/>
  <c r="Y11" i="3"/>
  <c r="Z11" i="3" s="1"/>
  <c r="Q11" i="3"/>
  <c r="R11" i="3" s="1"/>
  <c r="AH10" i="3"/>
  <c r="AI10" i="3" s="1"/>
  <c r="Y10" i="3"/>
  <c r="Z10" i="3" s="1"/>
  <c r="Q10" i="3"/>
  <c r="R10" i="3" s="1"/>
  <c r="AH9" i="3"/>
  <c r="AI9" i="3" s="1"/>
  <c r="Y9" i="3"/>
  <c r="Z9" i="3" s="1"/>
  <c r="Q9" i="3"/>
  <c r="R9" i="3" s="1"/>
  <c r="AH8" i="3"/>
  <c r="AI8" i="3" s="1"/>
  <c r="AB8" i="3"/>
  <c r="Y8" i="3"/>
  <c r="Z8" i="3" s="1"/>
  <c r="Q8" i="3"/>
  <c r="R8" i="3" s="1"/>
  <c r="AH7" i="3"/>
  <c r="AI7" i="3" s="1"/>
  <c r="Y7" i="3"/>
  <c r="Z7" i="3" s="1"/>
  <c r="Q7" i="3"/>
  <c r="R7" i="3" s="1"/>
  <c r="AH6" i="3"/>
  <c r="AI6" i="3" s="1"/>
  <c r="AB6" i="3"/>
  <c r="Y6" i="3"/>
  <c r="Z6" i="3" s="1"/>
  <c r="Q6" i="3"/>
  <c r="R6" i="3" s="1"/>
  <c r="AC6" i="3" s="1"/>
  <c r="AH5" i="3"/>
  <c r="AI5" i="3" s="1"/>
  <c r="Y5" i="3"/>
  <c r="Z5" i="3" s="1"/>
  <c r="Q5" i="3"/>
  <c r="R5" i="3" s="1"/>
  <c r="AH4" i="3"/>
  <c r="AI4" i="3" s="1"/>
  <c r="Y4" i="3"/>
  <c r="Q4" i="3"/>
  <c r="R4" i="3" s="1"/>
  <c r="D19" i="2"/>
  <c r="D16" i="2"/>
  <c r="B19" i="2"/>
  <c r="B16" i="2"/>
  <c r="AC12" i="3" l="1"/>
  <c r="AC14" i="3" s="1"/>
  <c r="AC16" i="3"/>
  <c r="AC5" i="3"/>
  <c r="Y15" i="3"/>
  <c r="D16" i="3"/>
  <c r="C16" i="3"/>
  <c r="R15" i="3"/>
  <c r="U16" i="3"/>
  <c r="U17" i="3" s="1"/>
  <c r="AI16" i="3"/>
  <c r="Z4" i="3"/>
  <c r="Z15" i="3" s="1"/>
  <c r="AA15" i="3" s="1"/>
  <c r="Q15" i="3"/>
  <c r="AH16" i="3"/>
  <c r="G16" i="2"/>
  <c r="G15" i="2"/>
  <c r="K21" i="2"/>
  <c r="K32" i="2" s="1"/>
  <c r="K20" i="2"/>
  <c r="D20" i="2"/>
  <c r="Q42" i="2"/>
  <c r="K49" i="2"/>
  <c r="AC4" i="3" l="1"/>
  <c r="AC7" i="3" s="1"/>
  <c r="AC10" i="3" s="1"/>
  <c r="AH18" i="3"/>
  <c r="AN21" i="3"/>
  <c r="G2" i="2"/>
  <c r="C3" i="2"/>
  <c r="D3" i="2"/>
  <c r="K3" i="2"/>
  <c r="T3" i="2"/>
  <c r="U3" i="2" s="1"/>
  <c r="C4" i="2"/>
  <c r="D4" i="2" s="1"/>
  <c r="K4" i="2"/>
  <c r="L4" i="2" s="1"/>
  <c r="T4" i="2"/>
  <c r="U4" i="2" s="1"/>
  <c r="C5" i="2"/>
  <c r="D5" i="2" s="1"/>
  <c r="K5" i="2"/>
  <c r="L5" i="2"/>
  <c r="P5" i="2"/>
  <c r="T5" i="2"/>
  <c r="U5" i="2" s="1"/>
  <c r="C6" i="2"/>
  <c r="D6" i="2"/>
  <c r="K6" i="2"/>
  <c r="L6" i="2" s="1"/>
  <c r="T6" i="2"/>
  <c r="U6" i="2" s="1"/>
  <c r="X6" i="2"/>
  <c r="C7" i="2"/>
  <c r="D7" i="2" s="1"/>
  <c r="K7" i="2"/>
  <c r="L7" i="2"/>
  <c r="P7" i="2"/>
  <c r="T7" i="2"/>
  <c r="U7" i="2" s="1"/>
  <c r="C8" i="2"/>
  <c r="D8" i="2" s="1"/>
  <c r="K8" i="2"/>
  <c r="L8" i="2"/>
  <c r="T8" i="2"/>
  <c r="U8" i="2" s="1"/>
  <c r="C9" i="2"/>
  <c r="D9" i="2" s="1"/>
  <c r="K9" i="2"/>
  <c r="L9" i="2"/>
  <c r="T9" i="2"/>
  <c r="U9" i="2" s="1"/>
  <c r="C10" i="2"/>
  <c r="D10" i="2" s="1"/>
  <c r="K10" i="2"/>
  <c r="L10" i="2"/>
  <c r="T10" i="2"/>
  <c r="U10" i="2" s="1"/>
  <c r="C11" i="2"/>
  <c r="D11" i="2"/>
  <c r="L11" i="2"/>
  <c r="T11" i="2"/>
  <c r="U11" i="2" s="1"/>
  <c r="C12" i="2"/>
  <c r="D12" i="2" s="1"/>
  <c r="K12" i="2"/>
  <c r="L12" i="2" s="1"/>
  <c r="T12" i="2"/>
  <c r="U12" i="2"/>
  <c r="C13" i="2"/>
  <c r="D13" i="2" s="1"/>
  <c r="K13" i="2"/>
  <c r="L13" i="2" s="1"/>
  <c r="T13" i="2"/>
  <c r="U13" i="2" s="1"/>
  <c r="T14" i="2"/>
  <c r="U14" i="2"/>
  <c r="V14" i="2" s="1"/>
  <c r="L20" i="2"/>
  <c r="T20" i="2"/>
  <c r="L21" i="2"/>
  <c r="U21" i="2"/>
  <c r="K22" i="2"/>
  <c r="L22" i="2"/>
  <c r="U22" i="2"/>
  <c r="K23" i="2"/>
  <c r="L23" i="2" s="1"/>
  <c r="U23" i="2"/>
  <c r="K24" i="2"/>
  <c r="L24" i="2" s="1"/>
  <c r="U24" i="2"/>
  <c r="L25" i="2"/>
  <c r="U25" i="2"/>
  <c r="L26" i="2"/>
  <c r="U26" i="2"/>
  <c r="L27" i="2"/>
  <c r="P27" i="2"/>
  <c r="U27" i="2"/>
  <c r="X27" i="2"/>
  <c r="L28" i="2"/>
  <c r="U28" i="2"/>
  <c r="X28" i="2"/>
  <c r="K29" i="2"/>
  <c r="L29" i="2" s="1"/>
  <c r="U29" i="2"/>
  <c r="K30" i="2"/>
  <c r="L30" i="2" s="1"/>
  <c r="U30" i="2"/>
  <c r="L31" i="2"/>
  <c r="M31" i="2" s="1"/>
  <c r="U31" i="2"/>
  <c r="V31" i="2"/>
  <c r="C35" i="2"/>
  <c r="D35" i="2" s="1"/>
  <c r="K35" i="2"/>
  <c r="L35" i="2" s="1"/>
  <c r="T35" i="2"/>
  <c r="U35" i="2" s="1"/>
  <c r="D36" i="2"/>
  <c r="L36" i="2"/>
  <c r="U36" i="2"/>
  <c r="D37" i="2"/>
  <c r="L37" i="2"/>
  <c r="U37" i="2"/>
  <c r="D38" i="2"/>
  <c r="L38" i="2"/>
  <c r="U38" i="2"/>
  <c r="D39" i="2"/>
  <c r="L39" i="2"/>
  <c r="U39" i="2"/>
  <c r="D40" i="2"/>
  <c r="L40" i="2"/>
  <c r="U40" i="2"/>
  <c r="D41" i="2"/>
  <c r="L41" i="2"/>
  <c r="U41" i="2"/>
  <c r="D42" i="2"/>
  <c r="H42" i="2"/>
  <c r="L42" i="2"/>
  <c r="P42" i="2"/>
  <c r="U42" i="2"/>
  <c r="X42" i="2"/>
  <c r="D43" i="2"/>
  <c r="H43" i="2"/>
  <c r="L43" i="2"/>
  <c r="P43" i="2"/>
  <c r="U43" i="2"/>
  <c r="X43" i="2"/>
  <c r="D44" i="2"/>
  <c r="L44" i="2"/>
  <c r="U44" i="2"/>
  <c r="D45" i="2"/>
  <c r="L45" i="2"/>
  <c r="U45" i="2"/>
  <c r="D46" i="2"/>
  <c r="E46" i="2" s="1"/>
  <c r="L46" i="2"/>
  <c r="M46" i="2" s="1"/>
  <c r="U46" i="2"/>
  <c r="V46" i="2" s="1"/>
  <c r="M23" i="2" l="1"/>
  <c r="D25" i="2"/>
  <c r="L3" i="2"/>
  <c r="K14" i="2"/>
  <c r="T15" i="2"/>
  <c r="E20" i="2"/>
  <c r="G20" i="2" s="1"/>
  <c r="C14" i="2"/>
  <c r="D26" i="2"/>
  <c r="D29" i="2"/>
  <c r="D24" i="2"/>
  <c r="D47" i="2"/>
  <c r="D27" i="2"/>
  <c r="D21" i="2"/>
  <c r="U47" i="2"/>
  <c r="L32" i="2"/>
  <c r="D30" i="2"/>
  <c r="U32" i="2"/>
  <c r="L47" i="2"/>
  <c r="D28" i="2"/>
  <c r="D23" i="2"/>
  <c r="L14" i="2"/>
  <c r="M14" i="2" s="1"/>
  <c r="U15" i="2"/>
  <c r="D22" i="2"/>
  <c r="Q31" i="2"/>
  <c r="T17" i="2"/>
  <c r="D14" i="2"/>
  <c r="E14" i="2" s="1"/>
  <c r="Z20" i="2" l="1"/>
  <c r="E22" i="2"/>
  <c r="G22" i="2" s="1"/>
</calcChain>
</file>

<file path=xl/sharedStrings.xml><?xml version="1.0" encoding="utf-8"?>
<sst xmlns="http://schemas.openxmlformats.org/spreadsheetml/2006/main" count="939" uniqueCount="231">
  <si>
    <t>inderjeet</t>
  </si>
  <si>
    <t>parminder</t>
  </si>
  <si>
    <t>bansi Lal</t>
  </si>
  <si>
    <t>gurcharan</t>
  </si>
  <si>
    <t>sukhpal</t>
  </si>
  <si>
    <t>Jasvir Singh</t>
  </si>
  <si>
    <t>Surjit Kaur</t>
  </si>
  <si>
    <t>Satpal singh</t>
  </si>
  <si>
    <t>21/2</t>
  </si>
  <si>
    <t>Jaskirat</t>
  </si>
  <si>
    <t xml:space="preserve"> </t>
  </si>
  <si>
    <t>Marla</t>
  </si>
  <si>
    <t>Khewat</t>
  </si>
  <si>
    <t>Bhajan Singh</t>
  </si>
  <si>
    <t>jagsir</t>
  </si>
  <si>
    <t>ram</t>
  </si>
  <si>
    <t>gurmeet</t>
  </si>
  <si>
    <t>jaskirat</t>
  </si>
  <si>
    <t>13/1</t>
  </si>
  <si>
    <t>Total</t>
  </si>
  <si>
    <t>Maheswari</t>
  </si>
  <si>
    <t>15/2</t>
  </si>
  <si>
    <t>6/1</t>
  </si>
  <si>
    <t>5/2</t>
  </si>
  <si>
    <t>97/1440</t>
  </si>
  <si>
    <t>979/5760</t>
  </si>
  <si>
    <t>81/640</t>
  </si>
  <si>
    <t>43/480</t>
  </si>
  <si>
    <t>1/40</t>
  </si>
  <si>
    <t>37/640</t>
  </si>
  <si>
    <t>89/640</t>
  </si>
  <si>
    <t>9/64</t>
  </si>
  <si>
    <t>31/384</t>
  </si>
  <si>
    <t>23/640</t>
  </si>
  <si>
    <t>100/1251</t>
  </si>
  <si>
    <t>250/1251</t>
  </si>
  <si>
    <t>41/278</t>
  </si>
  <si>
    <t>43/417</t>
  </si>
  <si>
    <t>9/278</t>
  </si>
  <si>
    <t>7/139</t>
  </si>
  <si>
    <t>23/139</t>
  </si>
  <si>
    <t>161/1668</t>
  </si>
  <si>
    <t>25/556</t>
  </si>
  <si>
    <t>2/69</t>
  </si>
  <si>
    <t>5/69</t>
  </si>
  <si>
    <t>1/46</t>
  </si>
  <si>
    <t>3/46</t>
  </si>
  <si>
    <t>11/23</t>
  </si>
  <si>
    <t>5/138</t>
  </si>
  <si>
    <t>4/23</t>
  </si>
  <si>
    <t>1/16</t>
  </si>
  <si>
    <t>1/48</t>
  </si>
  <si>
    <t>1/4</t>
  </si>
  <si>
    <t>3/8</t>
  </si>
  <si>
    <t>1/8</t>
  </si>
  <si>
    <t>353/19170</t>
  </si>
  <si>
    <t>1/12</t>
  </si>
  <si>
    <t>1755/5760</t>
  </si>
  <si>
    <t>557/3892</t>
  </si>
  <si>
    <t>281/3892</t>
  </si>
  <si>
    <t>838/3892</t>
  </si>
  <si>
    <t>405/7784</t>
  </si>
  <si>
    <t>Surjeet Singh</t>
  </si>
  <si>
    <t>689/7784</t>
  </si>
  <si>
    <t>Jagdev Singh</t>
  </si>
  <si>
    <t>Satpal Singh</t>
  </si>
  <si>
    <t>Surjeet Kaur Avtar Sinngh  &amp; Ram Singh</t>
  </si>
  <si>
    <t>365/3892</t>
  </si>
  <si>
    <t>Kartar Kaur Sahmsher Singh &amp; Kehar singh</t>
  </si>
  <si>
    <t>95/556</t>
  </si>
  <si>
    <t>Basakha Singh &amp; Bhjnna Singh</t>
  </si>
  <si>
    <t>36/973</t>
  </si>
  <si>
    <t>Harpal Singh &amp; Lakhbir Singh</t>
  </si>
  <si>
    <t>18/973</t>
  </si>
  <si>
    <t>Gurbachan Singh</t>
  </si>
  <si>
    <t>Om Parkash</t>
  </si>
  <si>
    <t>887/3892</t>
  </si>
  <si>
    <t>2 Min</t>
  </si>
  <si>
    <t>1 Min</t>
  </si>
  <si>
    <t>15 Min</t>
  </si>
  <si>
    <t>96/973</t>
  </si>
  <si>
    <t>2007-08</t>
  </si>
  <si>
    <t>2012-13</t>
  </si>
  <si>
    <t>2017-18</t>
  </si>
  <si>
    <t>Gurmeet Singh</t>
  </si>
  <si>
    <t>Satpal Sukhpal Jasvir &amp; baljeet</t>
  </si>
  <si>
    <t>877/3892</t>
  </si>
  <si>
    <t>Detail</t>
  </si>
  <si>
    <t>Khatoni</t>
  </si>
  <si>
    <t>Name</t>
  </si>
  <si>
    <t>Father's name</t>
  </si>
  <si>
    <t>GrandFather's name</t>
  </si>
  <si>
    <t>Hissa</t>
  </si>
  <si>
    <t>जसकीरत सिह</t>
  </si>
  <si>
    <t>बलजिन्द्र सिह</t>
  </si>
  <si>
    <t>सतपाल सिह</t>
  </si>
  <si>
    <t>391/23196</t>
  </si>
  <si>
    <t>2/769</t>
  </si>
  <si>
    <t>1/2</t>
  </si>
  <si>
    <t>7/12</t>
  </si>
  <si>
    <t>80/283</t>
  </si>
  <si>
    <t>1829/19170</t>
  </si>
  <si>
    <t>79/1980</t>
  </si>
  <si>
    <t>67/306</t>
  </si>
  <si>
    <t>1/3</t>
  </si>
  <si>
    <t>46/981</t>
  </si>
  <si>
    <t>211/5811</t>
  </si>
  <si>
    <t>5/14</t>
  </si>
  <si>
    <t>जसबीर सिंह</t>
  </si>
  <si>
    <t>गुरबचन सिंह</t>
  </si>
  <si>
    <t>विशन सिंह</t>
  </si>
  <si>
    <t>जसवीर सिहं</t>
  </si>
  <si>
    <t>1</t>
  </si>
  <si>
    <t>जसवीर सिंह</t>
  </si>
  <si>
    <t>बिशन सिंह</t>
  </si>
  <si>
    <t>852/1703</t>
  </si>
  <si>
    <t>69/367</t>
  </si>
  <si>
    <t>जसवीर सिह</t>
  </si>
  <si>
    <t>गुरबचन सिह</t>
  </si>
  <si>
    <t>बिशन सिह</t>
  </si>
  <si>
    <t>6/96</t>
  </si>
  <si>
    <t>7/198</t>
  </si>
  <si>
    <t xml:space="preserve">391/7732 </t>
  </si>
  <si>
    <t>अमनदीप सिंह</t>
  </si>
  <si>
    <t>सुखपाल सिंह</t>
  </si>
  <si>
    <t>12/925</t>
  </si>
  <si>
    <t>अमनदीप सिह</t>
  </si>
  <si>
    <t>सुखपाल सिह</t>
  </si>
  <si>
    <t>589/92784</t>
  </si>
  <si>
    <t>गुरमीत सिंह</t>
  </si>
  <si>
    <t>4/72</t>
  </si>
  <si>
    <t>34/4129</t>
  </si>
  <si>
    <t>गुरमीत सिह</t>
  </si>
  <si>
    <t>7/89</t>
  </si>
  <si>
    <t>584/4392</t>
  </si>
  <si>
    <t>बलजिन्द्र सिंह</t>
  </si>
  <si>
    <t>सतपाल सिंह</t>
  </si>
  <si>
    <t>Nakal</t>
  </si>
  <si>
    <t>0//304</t>
  </si>
  <si>
    <t>गढडे</t>
  </si>
  <si>
    <t>1-0</t>
  </si>
  <si>
    <t>0//493</t>
  </si>
  <si>
    <t>0-3</t>
  </si>
  <si>
    <t>84-03</t>
  </si>
  <si>
    <t>13-14</t>
  </si>
  <si>
    <t>01-03</t>
  </si>
  <si>
    <t>99-00</t>
  </si>
  <si>
    <t>Amadeep Singh</t>
  </si>
  <si>
    <t>5/66</t>
  </si>
  <si>
    <t>19/220</t>
  </si>
  <si>
    <t>3/99</t>
  </si>
  <si>
    <t>??</t>
  </si>
  <si>
    <t>1/297</t>
  </si>
  <si>
    <t>29//1/1</t>
  </si>
  <si>
    <t>खाली/अन्य कुछ</t>
  </si>
  <si>
    <t>नहरी</t>
  </si>
  <si>
    <t>29//2/1</t>
  </si>
  <si>
    <t>6-0</t>
  </si>
  <si>
    <t>72//16</t>
  </si>
  <si>
    <t>72//24/2</t>
  </si>
  <si>
    <t>0-8</t>
  </si>
  <si>
    <t>72//25/2</t>
  </si>
  <si>
    <t>नहर</t>
  </si>
  <si>
    <t>85//4/2</t>
  </si>
  <si>
    <t>85//5</t>
  </si>
  <si>
    <t>0-5</t>
  </si>
  <si>
    <t>1-15</t>
  </si>
  <si>
    <t>3-18</t>
  </si>
  <si>
    <t>2-18</t>
  </si>
  <si>
    <t>1-14</t>
  </si>
  <si>
    <t>24//21/2</t>
  </si>
  <si>
    <t>बारानी</t>
  </si>
  <si>
    <t>24//22/2</t>
  </si>
  <si>
    <t>85//6/1</t>
  </si>
  <si>
    <t>3-6</t>
  </si>
  <si>
    <t>3-16</t>
  </si>
  <si>
    <t>5-17</t>
  </si>
  <si>
    <t>4-9</t>
  </si>
  <si>
    <t>24//23</t>
  </si>
  <si>
    <t>24//24</t>
  </si>
  <si>
    <t>29//11</t>
  </si>
  <si>
    <t>29//20/1</t>
  </si>
  <si>
    <t>0-4</t>
  </si>
  <si>
    <t>7-7</t>
  </si>
  <si>
    <t>6-12</t>
  </si>
  <si>
    <t>72//15</t>
  </si>
  <si>
    <t>1-11</t>
  </si>
  <si>
    <t>4-19</t>
  </si>
  <si>
    <t>24//25/2</t>
  </si>
  <si>
    <t>29//10/2</t>
  </si>
  <si>
    <t>0-19</t>
  </si>
  <si>
    <t>29//9/2</t>
  </si>
  <si>
    <t>4-0</t>
  </si>
  <si>
    <t>110</t>
  </si>
  <si>
    <t>3-10</t>
  </si>
  <si>
    <t>24//25/1</t>
  </si>
  <si>
    <t>29//1/2</t>
  </si>
  <si>
    <t>29//10/1</t>
  </si>
  <si>
    <t>29//2/2</t>
  </si>
  <si>
    <t>2-0</t>
  </si>
  <si>
    <t>29//9/1</t>
  </si>
  <si>
    <t>72//25/1</t>
  </si>
  <si>
    <t>Gurcharan</t>
  </si>
  <si>
    <t>31-3</t>
  </si>
  <si>
    <t>21,00,000 /- 􀅝. मे</t>
  </si>
  <si>
    <t>वाहक HDFC Bank</t>
  </si>
  <si>
    <t>Ltd.</t>
  </si>
  <si>
    <t>कालांवाली के पास ता</t>
  </si>
  <si>
    <t>अदायगी रकम रकबा</t>
  </si>
  <si>
    <t>आड</t>
  </si>
  <si>
    <t>रहन रहेगा</t>
  </si>
  <si>
    <t>TSC रपट न. 2976</t>
  </si>
  <si>
    <t>ितथी 13/03/2018 के</t>
  </si>
  <si>
    <t>अनुसार िमन जािनम</t>
  </si>
  <si>
    <t>हरपाल िसंह &amp; लखवीर</t>
  </si>
  <si>
    <t>िसंह पु􀅩ान &amp;</t>
  </si>
  <si>
    <t>िश􀈾 कौर प􀈉ी</t>
  </si>
  <si>
    <t>जगसीर िसंह का िकला</t>
  </si>
  <si>
    <t>रकबा</t>
  </si>
  <si>
    <t>76-18 का 761/1538</t>
  </si>
  <si>
    <t>भाग बकदर रकबा 38-0</t>
  </si>
  <si>
    <t>कु ल बकदर रकबा 88-7</t>
  </si>
  <si>
    <t>बदले मु. 34,88,000/-</t>
  </si>
  <si>
    <t>􀅝. मे वाहक</t>
  </si>
  <si>
    <t>HDFC Bank Ltd.</t>
  </si>
  <si>
    <t>Bhajan N Sons</t>
  </si>
  <si>
    <t>Basakha Singh</t>
  </si>
  <si>
    <t>1-1-2</t>
  </si>
  <si>
    <t>2-11-1</t>
  </si>
  <si>
    <t>Thadewala</t>
  </si>
  <si>
    <t>3k10m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</si>
</sst>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sz val="8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999999"/>
      </top>
      <bottom style="medium">
        <color rgb="FFDDDDDD"/>
      </bottom>
      <diagonal/>
    </border>
    <border>
      <left style="medium">
        <color rgb="FFDDDDDD"/>
      </left>
      <right style="medium">
        <color rgb="FF999999"/>
      </right>
      <top style="medium">
        <color rgb="FF999999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999999"/>
      </right>
      <top style="medium">
        <color rgb="FFDDDDDD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DDDDDD"/>
      </top>
      <bottom style="medium">
        <color rgb="FF999999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999999"/>
      </bottom>
      <diagonal/>
    </border>
    <border>
      <left style="medium">
        <color rgb="FFDDDDDD"/>
      </left>
      <right style="medium">
        <color rgb="FF999999"/>
      </right>
      <top style="medium">
        <color rgb="FFDDDDDD"/>
      </top>
      <bottom style="medium">
        <color rgb="FF999999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999999"/>
      </bottom>
      <diagonal/>
    </border>
    <border>
      <left style="medium">
        <color rgb="FFDDDDDD"/>
      </left>
      <right style="medium">
        <color rgb="FFDDDDDD"/>
      </right>
      <top style="medium">
        <color rgb="FF999999"/>
      </top>
      <bottom style="medium">
        <color rgb="FF999999"/>
      </bottom>
      <diagonal/>
    </border>
    <border>
      <left style="medium">
        <color rgb="FFDDDDDD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medium">
        <color rgb="FF999999"/>
      </left>
      <right style="medium">
        <color rgb="FFEAEAEA"/>
      </right>
      <top style="medium">
        <color rgb="FF999999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 style="medium">
        <color rgb="FF999999"/>
      </top>
      <bottom style="medium">
        <color rgb="FFEAEAEA"/>
      </bottom>
      <diagonal/>
    </border>
    <border>
      <left style="medium">
        <color rgb="FF999999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999999"/>
      </right>
      <top style="medium">
        <color rgb="FFEAEAEA"/>
      </top>
      <bottom style="medium">
        <color rgb="FFEAEAEA"/>
      </bottom>
      <diagonal/>
    </border>
    <border>
      <left style="medium">
        <color rgb="FF999999"/>
      </left>
      <right style="medium">
        <color rgb="FFEAEAEA"/>
      </right>
      <top style="medium">
        <color rgb="FFEAEAEA"/>
      </top>
      <bottom style="medium">
        <color rgb="FF999999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999999"/>
      </bottom>
      <diagonal/>
    </border>
    <border>
      <left style="medium">
        <color rgb="FFEAEAEA"/>
      </left>
      <right style="medium">
        <color rgb="FF999999"/>
      </right>
      <top style="medium">
        <color rgb="FFEAEAEA"/>
      </top>
      <bottom style="medium">
        <color rgb="FF999999"/>
      </bottom>
      <diagonal/>
    </border>
    <border>
      <left style="medium">
        <color rgb="FFDDDDDD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1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0" fontId="2" fillId="0" borderId="0" xfId="0" applyFont="1"/>
    <xf numFmtId="0" fontId="0" fillId="0" borderId="0" xfId="0" quotePrefix="1"/>
    <xf numFmtId="0" fontId="1" fillId="0" borderId="0" xfId="0" applyFont="1"/>
    <xf numFmtId="0" fontId="3" fillId="0" borderId="0" xfId="0" applyFont="1"/>
    <xf numFmtId="2" fontId="3" fillId="0" borderId="0" xfId="0" applyNumberFormat="1" applyFont="1"/>
    <xf numFmtId="2" fontId="0" fillId="0" borderId="0" xfId="0" quotePrefix="1" applyNumberFormat="1"/>
    <xf numFmtId="1" fontId="0" fillId="0" borderId="0" xfId="0" applyNumberFormat="1"/>
    <xf numFmtId="0" fontId="0" fillId="2" borderId="1" xfId="0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0" fillId="2" borderId="1" xfId="0" quotePrefix="1" applyFill="1" applyBorder="1"/>
    <xf numFmtId="2" fontId="0" fillId="2" borderId="1" xfId="0" applyNumberFormat="1" applyFill="1" applyBorder="1"/>
    <xf numFmtId="0" fontId="2" fillId="2" borderId="1" xfId="0" applyFont="1" applyFill="1" applyBorder="1"/>
    <xf numFmtId="2" fontId="1" fillId="2" borderId="1" xfId="0" applyNumberFormat="1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1" fillId="3" borderId="1" xfId="0" applyFont="1" applyFill="1" applyBorder="1"/>
    <xf numFmtId="0" fontId="0" fillId="3" borderId="1" xfId="0" quotePrefix="1" applyFill="1" applyBorder="1"/>
    <xf numFmtId="2" fontId="0" fillId="3" borderId="1" xfId="0" applyNumberFormat="1" applyFill="1" applyBorder="1"/>
    <xf numFmtId="0" fontId="2" fillId="3" borderId="1" xfId="0" applyFont="1" applyFill="1" applyBorder="1"/>
    <xf numFmtId="2" fontId="1" fillId="3" borderId="1" xfId="0" applyNumberFormat="1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0" fillId="4" borderId="1" xfId="0" quotePrefix="1" applyFill="1" applyBorder="1"/>
    <xf numFmtId="2" fontId="0" fillId="4" borderId="1" xfId="0" applyNumberFormat="1" applyFill="1" applyBorder="1"/>
    <xf numFmtId="2" fontId="1" fillId="4" borderId="1" xfId="0" applyNumberFormat="1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2" fillId="2" borderId="1" xfId="0" quotePrefix="1" applyFont="1" applyFill="1" applyBorder="1"/>
    <xf numFmtId="0" fontId="6" fillId="3" borderId="1" xfId="0" applyFont="1" applyFill="1" applyBorder="1"/>
    <xf numFmtId="0" fontId="2" fillId="3" borderId="1" xfId="0" quotePrefix="1" applyFont="1" applyFill="1" applyBorder="1"/>
    <xf numFmtId="0" fontId="6" fillId="4" borderId="1" xfId="0" applyFont="1" applyFill="1" applyBorder="1"/>
    <xf numFmtId="0" fontId="2" fillId="4" borderId="1" xfId="0" quotePrefix="1" applyFont="1" applyFill="1" applyBorder="1"/>
    <xf numFmtId="0" fontId="6" fillId="0" borderId="0" xfId="0" applyFont="1"/>
    <xf numFmtId="0" fontId="6" fillId="5" borderId="1" xfId="0" applyFont="1" applyFill="1" applyBorder="1"/>
    <xf numFmtId="2" fontId="6" fillId="5" borderId="1" xfId="0" applyNumberFormat="1" applyFont="1" applyFill="1" applyBorder="1"/>
    <xf numFmtId="0" fontId="1" fillId="5" borderId="1" xfId="0" applyFont="1" applyFill="1" applyBorder="1"/>
    <xf numFmtId="2" fontId="1" fillId="5" borderId="1" xfId="0" applyNumberFormat="1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2" fillId="5" borderId="1" xfId="0" applyFont="1" applyFill="1" applyBorder="1"/>
    <xf numFmtId="2" fontId="0" fillId="5" borderId="1" xfId="0" quotePrefix="1" applyNumberFormat="1" applyFill="1" applyBorder="1"/>
    <xf numFmtId="0" fontId="0" fillId="5" borderId="1" xfId="0" quotePrefix="1" applyFill="1" applyBorder="1"/>
    <xf numFmtId="0" fontId="1" fillId="6" borderId="1" xfId="0" applyFont="1" applyFill="1" applyBorder="1"/>
    <xf numFmtId="2" fontId="1" fillId="6" borderId="1" xfId="0" applyNumberFormat="1" applyFon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2" fillId="6" borderId="1" xfId="0" applyFont="1" applyFill="1" applyBorder="1"/>
    <xf numFmtId="2" fontId="0" fillId="6" borderId="1" xfId="0" quotePrefix="1" applyNumberFormat="1" applyFill="1" applyBorder="1"/>
    <xf numFmtId="0" fontId="0" fillId="6" borderId="1" xfId="0" quotePrefix="1" applyFill="1" applyBorder="1"/>
    <xf numFmtId="0" fontId="7" fillId="5" borderId="1" xfId="0" applyFont="1" applyFill="1" applyBorder="1"/>
    <xf numFmtId="1" fontId="7" fillId="6" borderId="1" xfId="0" applyNumberFormat="1" applyFont="1" applyFill="1" applyBorder="1"/>
    <xf numFmtId="0" fontId="0" fillId="7" borderId="1" xfId="0" applyFill="1" applyBorder="1"/>
    <xf numFmtId="2" fontId="0" fillId="7" borderId="1" xfId="0" applyNumberFormat="1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0" fillId="7" borderId="1" xfId="0" quotePrefix="1" applyFill="1" applyBorder="1"/>
    <xf numFmtId="2" fontId="1" fillId="7" borderId="1" xfId="0" applyNumberFormat="1" applyFont="1" applyFill="1" applyBorder="1"/>
    <xf numFmtId="0" fontId="3" fillId="6" borderId="1" xfId="0" applyFont="1" applyFill="1" applyBorder="1"/>
    <xf numFmtId="0" fontId="6" fillId="8" borderId="1" xfId="0" applyFont="1" applyFill="1" applyBorder="1"/>
    <xf numFmtId="0" fontId="1" fillId="8" borderId="1" xfId="0" applyFont="1" applyFill="1" applyBorder="1"/>
    <xf numFmtId="0" fontId="5" fillId="8" borderId="1" xfId="0" applyFont="1" applyFill="1" applyBorder="1"/>
    <xf numFmtId="0" fontId="0" fillId="8" borderId="1" xfId="0" applyFill="1" applyBorder="1"/>
    <xf numFmtId="0" fontId="2" fillId="8" borderId="1" xfId="0" applyFont="1" applyFill="1" applyBorder="1"/>
    <xf numFmtId="0" fontId="0" fillId="8" borderId="1" xfId="0" quotePrefix="1" applyFill="1" applyBorder="1"/>
    <xf numFmtId="2" fontId="0" fillId="8" borderId="1" xfId="0" applyNumberFormat="1" applyFill="1" applyBorder="1"/>
    <xf numFmtId="2" fontId="1" fillId="8" borderId="1" xfId="0" applyNumberFormat="1" applyFont="1" applyFill="1" applyBorder="1"/>
    <xf numFmtId="0" fontId="9" fillId="9" borderId="2" xfId="0" applyFont="1" applyFill="1" applyBorder="1" applyAlignment="1">
      <alignment horizontal="left" vertical="top" wrapText="1"/>
    </xf>
    <xf numFmtId="0" fontId="8" fillId="9" borderId="3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top" wrapText="1"/>
    </xf>
    <xf numFmtId="0" fontId="10" fillId="9" borderId="6" xfId="1" applyFill="1" applyBorder="1" applyAlignment="1">
      <alignment horizontal="left" vertical="top" wrapText="1"/>
    </xf>
    <xf numFmtId="0" fontId="9" fillId="9" borderId="7" xfId="0" applyFont="1" applyFill="1" applyBorder="1" applyAlignment="1">
      <alignment horizontal="left" vertical="top" wrapText="1"/>
    </xf>
    <xf numFmtId="0" fontId="10" fillId="10" borderId="8" xfId="1" applyFill="1" applyBorder="1" applyAlignment="1">
      <alignment horizontal="left" vertical="top" wrapText="1"/>
    </xf>
    <xf numFmtId="0" fontId="9" fillId="10" borderId="9" xfId="0" applyFont="1" applyFill="1" applyBorder="1" applyAlignment="1">
      <alignment horizontal="left" vertical="top" wrapText="1"/>
    </xf>
    <xf numFmtId="0" fontId="9" fillId="10" borderId="10" xfId="0" applyFont="1" applyFill="1" applyBorder="1" applyAlignment="1">
      <alignment horizontal="left" vertical="top" wrapText="1"/>
    </xf>
    <xf numFmtId="16" fontId="9" fillId="9" borderId="7" xfId="0" quotePrefix="1" applyNumberFormat="1" applyFont="1" applyFill="1" applyBorder="1" applyAlignment="1">
      <alignment horizontal="left" vertical="top" wrapText="1"/>
    </xf>
    <xf numFmtId="0" fontId="10" fillId="9" borderId="3" xfId="1" applyFill="1" applyBorder="1" applyAlignment="1">
      <alignment horizontal="left" vertical="top" wrapText="1"/>
    </xf>
    <xf numFmtId="0" fontId="9" fillId="9" borderId="4" xfId="0" applyFont="1" applyFill="1" applyBorder="1" applyAlignment="1">
      <alignment horizontal="left" vertical="top" wrapText="1"/>
    </xf>
    <xf numFmtId="0" fontId="9" fillId="9" borderId="5" xfId="0" applyFont="1" applyFill="1" applyBorder="1" applyAlignment="1">
      <alignment horizontal="left" vertical="top" wrapText="1"/>
    </xf>
    <xf numFmtId="0" fontId="10" fillId="9" borderId="8" xfId="1" applyFill="1" applyBorder="1" applyAlignment="1">
      <alignment horizontal="left" vertical="top" wrapText="1"/>
    </xf>
    <xf numFmtId="0" fontId="9" fillId="9" borderId="9" xfId="0" applyFont="1" applyFill="1" applyBorder="1" applyAlignment="1">
      <alignment horizontal="left" vertical="top" wrapText="1"/>
    </xf>
    <xf numFmtId="0" fontId="9" fillId="9" borderId="10" xfId="0" applyFont="1" applyFill="1" applyBorder="1" applyAlignment="1">
      <alignment horizontal="left" vertical="top" wrapText="1"/>
    </xf>
    <xf numFmtId="16" fontId="9" fillId="9" borderId="5" xfId="0" quotePrefix="1" applyNumberFormat="1" applyFont="1" applyFill="1" applyBorder="1" applyAlignment="1">
      <alignment horizontal="left" vertical="top" wrapText="1"/>
    </xf>
    <xf numFmtId="0" fontId="10" fillId="10" borderId="3" xfId="1" applyFill="1" applyBorder="1" applyAlignment="1">
      <alignment horizontal="left" vertical="top" wrapText="1"/>
    </xf>
    <xf numFmtId="0" fontId="9" fillId="10" borderId="4" xfId="0" applyFont="1" applyFill="1" applyBorder="1" applyAlignment="1">
      <alignment horizontal="left" vertical="top" wrapText="1"/>
    </xf>
    <xf numFmtId="0" fontId="10" fillId="10" borderId="11" xfId="1" applyFill="1" applyBorder="1" applyAlignment="1">
      <alignment horizontal="left" vertical="top" wrapText="1"/>
    </xf>
    <xf numFmtId="0" fontId="9" fillId="10" borderId="12" xfId="0" applyFont="1" applyFill="1" applyBorder="1" applyAlignment="1">
      <alignment horizontal="left" vertical="top" wrapText="1"/>
    </xf>
    <xf numFmtId="16" fontId="9" fillId="10" borderId="13" xfId="0" quotePrefix="1" applyNumberFormat="1" applyFont="1" applyFill="1" applyBorder="1" applyAlignment="1">
      <alignment horizontal="left" vertical="top" wrapText="1"/>
    </xf>
    <xf numFmtId="0" fontId="9" fillId="10" borderId="13" xfId="0" applyFont="1" applyFill="1" applyBorder="1" applyAlignment="1">
      <alignment horizontal="left" vertical="top" wrapText="1"/>
    </xf>
    <xf numFmtId="0" fontId="9" fillId="10" borderId="5" xfId="0" applyFont="1" applyFill="1" applyBorder="1" applyAlignment="1">
      <alignment horizontal="left" vertical="top" wrapText="1"/>
    </xf>
    <xf numFmtId="0" fontId="11" fillId="9" borderId="7" xfId="0" applyFont="1" applyFill="1" applyBorder="1" applyAlignment="1">
      <alignment horizontal="left" vertical="top" wrapText="1"/>
    </xf>
    <xf numFmtId="0" fontId="12" fillId="11" borderId="14" xfId="0" applyFont="1" applyFill="1" applyBorder="1" applyAlignment="1">
      <alignment wrapText="1"/>
    </xf>
    <xf numFmtId="16" fontId="9" fillId="10" borderId="5" xfId="0" quotePrefix="1" applyNumberFormat="1" applyFont="1" applyFill="1" applyBorder="1" applyAlignment="1">
      <alignment horizontal="left" vertical="top" wrapText="1"/>
    </xf>
    <xf numFmtId="0" fontId="13" fillId="9" borderId="15" xfId="0" applyFont="1" applyFill="1" applyBorder="1" applyAlignment="1">
      <alignment horizontal="left" vertical="center" wrapText="1"/>
    </xf>
    <xf numFmtId="0" fontId="13" fillId="12" borderId="15" xfId="0" applyFont="1" applyFill="1" applyBorder="1" applyAlignment="1">
      <alignment horizontal="left" vertical="center" wrapText="1"/>
    </xf>
    <xf numFmtId="0" fontId="10" fillId="9" borderId="16" xfId="1" applyFill="1" applyBorder="1" applyAlignment="1">
      <alignment horizontal="left" vertical="center" wrapText="1"/>
    </xf>
    <xf numFmtId="0" fontId="13" fillId="9" borderId="17" xfId="0" applyFont="1" applyFill="1" applyBorder="1" applyAlignment="1">
      <alignment horizontal="left" vertical="center" wrapText="1"/>
    </xf>
    <xf numFmtId="0" fontId="10" fillId="12" borderId="18" xfId="1" applyFill="1" applyBorder="1" applyAlignment="1">
      <alignment horizontal="left" vertical="center" wrapText="1"/>
    </xf>
    <xf numFmtId="0" fontId="13" fillId="12" borderId="19" xfId="0" applyFont="1" applyFill="1" applyBorder="1" applyAlignment="1">
      <alignment horizontal="left" vertical="center" wrapText="1"/>
    </xf>
    <xf numFmtId="0" fontId="10" fillId="9" borderId="18" xfId="1" applyFill="1" applyBorder="1" applyAlignment="1">
      <alignment horizontal="left" vertical="center" wrapText="1"/>
    </xf>
    <xf numFmtId="0" fontId="10" fillId="9" borderId="20" xfId="1" applyFill="1" applyBorder="1" applyAlignment="1">
      <alignment horizontal="left" vertical="center" wrapText="1"/>
    </xf>
    <xf numFmtId="0" fontId="13" fillId="9" borderId="21" xfId="0" applyFont="1" applyFill="1" applyBorder="1" applyAlignment="1">
      <alignment horizontal="left" vertical="center" wrapText="1"/>
    </xf>
    <xf numFmtId="0" fontId="13" fillId="9" borderId="22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top" wrapText="1"/>
    </xf>
    <xf numFmtId="0" fontId="9" fillId="9" borderId="8" xfId="0" applyFont="1" applyFill="1" applyBorder="1" applyAlignment="1">
      <alignment horizontal="left" vertical="top" wrapText="1"/>
    </xf>
    <xf numFmtId="0" fontId="2" fillId="0" borderId="0" xfId="0" quotePrefix="1" applyFont="1"/>
    <xf numFmtId="0" fontId="0" fillId="0" borderId="0" xfId="0" quotePrefix="1" applyFill="1" applyBorder="1"/>
    <xf numFmtId="0" fontId="9" fillId="9" borderId="6" xfId="0" applyFont="1" applyFill="1" applyBorder="1" applyAlignment="1">
      <alignment horizontal="left" vertical="top" wrapText="1"/>
    </xf>
    <xf numFmtId="16" fontId="9" fillId="9" borderId="10" xfId="0" quotePrefix="1" applyNumberFormat="1" applyFont="1" applyFill="1" applyBorder="1" applyAlignment="1">
      <alignment horizontal="left" vertical="top" wrapText="1"/>
    </xf>
    <xf numFmtId="0" fontId="9" fillId="9" borderId="3" xfId="0" applyFont="1" applyFill="1" applyBorder="1" applyAlignment="1">
      <alignment horizontal="left" vertical="top" wrapText="1"/>
    </xf>
    <xf numFmtId="0" fontId="9" fillId="9" borderId="11" xfId="0" applyFont="1" applyFill="1" applyBorder="1" applyAlignment="1">
      <alignment horizontal="left" vertical="top" wrapText="1"/>
    </xf>
    <xf numFmtId="0" fontId="9" fillId="9" borderId="12" xfId="0" applyFont="1" applyFill="1" applyBorder="1" applyAlignment="1">
      <alignment horizontal="left" vertical="top" wrapText="1"/>
    </xf>
    <xf numFmtId="0" fontId="9" fillId="9" borderId="13" xfId="0" applyFont="1" applyFill="1" applyBorder="1" applyAlignment="1">
      <alignment horizontal="left" vertical="top" wrapText="1"/>
    </xf>
    <xf numFmtId="0" fontId="9" fillId="10" borderId="23" xfId="0" quotePrefix="1" applyFont="1" applyFill="1" applyBorder="1" applyAlignment="1">
      <alignment horizontal="left" vertical="top" wrapText="1"/>
    </xf>
    <xf numFmtId="0" fontId="14" fillId="0" borderId="0" xfId="0" applyFont="1"/>
    <xf numFmtId="0" fontId="14" fillId="0" borderId="0" xfId="0" quotePrefix="1" applyFont="1"/>
    <xf numFmtId="2" fontId="14" fillId="0" borderId="0" xfId="0" applyNumberFormat="1" applyFont="1"/>
    <xf numFmtId="2" fontId="14" fillId="0" borderId="0" xfId="0" quotePrefix="1" applyNumberFormat="1" applyFont="1"/>
    <xf numFmtId="0" fontId="15" fillId="0" borderId="0" xfId="0" applyFont="1"/>
    <xf numFmtId="0" fontId="15" fillId="0" borderId="0" xfId="0" quotePrefix="1" applyFont="1"/>
    <xf numFmtId="2" fontId="15" fillId="0" borderId="0" xfId="0" applyNumberFormat="1" applyFont="1"/>
    <xf numFmtId="2" fontId="15" fillId="0" borderId="0" xfId="0" quotePrefix="1" applyNumberFormat="1" applyFont="1"/>
    <xf numFmtId="0" fontId="16" fillId="0" borderId="0" xfId="0" applyFont="1"/>
    <xf numFmtId="2" fontId="16" fillId="0" borderId="0" xfId="0" applyNumberFormat="1" applyFont="1"/>
    <xf numFmtId="0" fontId="17" fillId="0" borderId="0" xfId="0" applyFont="1"/>
    <xf numFmtId="2" fontId="1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__doPostBack('ctl00$ContentPlaceHolder1$GridView1$ctl07$LinkButton1','')" TargetMode="External"/><Relationship Id="rId18" Type="http://schemas.openxmlformats.org/officeDocument/2006/relationships/hyperlink" Target="javascript:__doPostBack('ctl00$ContentPlaceHolder1$GridView1$ctl05$LinkButton1','')" TargetMode="External"/><Relationship Id="rId26" Type="http://schemas.openxmlformats.org/officeDocument/2006/relationships/hyperlink" Target="javascript:__doPostBack('ctl00$ContentPlaceHolder1$GridView1$ctl04$LinkButton1','')" TargetMode="External"/><Relationship Id="rId39" Type="http://schemas.openxmlformats.org/officeDocument/2006/relationships/hyperlink" Target="javascript:__doPostBack('ctl00$ContentPlaceHolder1$GridView1$ctl04$LinkButton1','')" TargetMode="External"/><Relationship Id="rId21" Type="http://schemas.openxmlformats.org/officeDocument/2006/relationships/hyperlink" Target="javascript:__doPostBack('ctl00$ContentPlaceHolder1$GridView1$ctl02$LinkButton1','')" TargetMode="External"/><Relationship Id="rId34" Type="http://schemas.openxmlformats.org/officeDocument/2006/relationships/hyperlink" Target="javascript:__doPostBack('ctl00$ContentPlaceHolder1$GridView1$ctl08$LinkButton1','')" TargetMode="External"/><Relationship Id="rId42" Type="http://schemas.openxmlformats.org/officeDocument/2006/relationships/hyperlink" Target="javascript:__doPostBack('ctl00$ContentPlaceHolder1$GridView1$ctl05$LinkButton1','')" TargetMode="External"/><Relationship Id="rId47" Type="http://schemas.openxmlformats.org/officeDocument/2006/relationships/hyperlink" Target="javascript:__doPostBack('ctl00$ContentPlaceHolder1$GridView1$ctl03$LinkButton1','')" TargetMode="External"/><Relationship Id="rId50" Type="http://schemas.openxmlformats.org/officeDocument/2006/relationships/hyperlink" Target="javascript:__doPostBack('ctl00$ContentPlaceHolder1$GridView1$ctl03$LinkButton1','')" TargetMode="External"/><Relationship Id="rId55" Type="http://schemas.openxmlformats.org/officeDocument/2006/relationships/hyperlink" Target="javascript:__doPostBack('ctl00$ContentPlaceHolder1$GridView1$ctl03$LinkButton1','')" TargetMode="External"/><Relationship Id="rId63" Type="http://schemas.openxmlformats.org/officeDocument/2006/relationships/hyperlink" Target="javascript:__doPostBack('ctl00$ContentPlaceHolder1$GridView1$ctl05$LinkButton1','')" TargetMode="External"/><Relationship Id="rId68" Type="http://schemas.openxmlformats.org/officeDocument/2006/relationships/hyperlink" Target="javascript:__doPostBack('ctl00$ContentPlaceHolder1$GridView1$ctl03$LinkButton1','')" TargetMode="External"/><Relationship Id="rId7" Type="http://schemas.openxmlformats.org/officeDocument/2006/relationships/hyperlink" Target="javascript:__doPostBack('ctl00$ContentPlaceHolder1$GridView1$ctl08$LinkButton1','')" TargetMode="External"/><Relationship Id="rId71" Type="http://schemas.openxmlformats.org/officeDocument/2006/relationships/hyperlink" Target="javascript:__doPostBack('ctl00$ContentPlaceHolder1$GridView1$ctl06$LinkButton1','')" TargetMode="External"/><Relationship Id="rId2" Type="http://schemas.openxmlformats.org/officeDocument/2006/relationships/hyperlink" Target="javascript:__doPostBack('ctl00$ContentPlaceHolder1$GridView1$ctl03$LinkButton1','')" TargetMode="External"/><Relationship Id="rId16" Type="http://schemas.openxmlformats.org/officeDocument/2006/relationships/hyperlink" Target="javascript:__doPostBack('ctl00$ContentPlaceHolder1$GridView1$ctl03$LinkButton1','')" TargetMode="External"/><Relationship Id="rId29" Type="http://schemas.openxmlformats.org/officeDocument/2006/relationships/hyperlink" Target="javascript:__doPostBack('ctl00$ContentPlaceHolder1$GridView1$ctl03$LinkButton1','')" TargetMode="External"/><Relationship Id="rId11" Type="http://schemas.openxmlformats.org/officeDocument/2006/relationships/hyperlink" Target="javascript:__doPostBack('ctl00$ContentPlaceHolder1$GridView1$ctl05$LinkButton1','')" TargetMode="External"/><Relationship Id="rId24" Type="http://schemas.openxmlformats.org/officeDocument/2006/relationships/hyperlink" Target="javascript:__doPostBack('ctl00$ContentPlaceHolder1$GridView1$ctl04$LinkButton1','')" TargetMode="External"/><Relationship Id="rId32" Type="http://schemas.openxmlformats.org/officeDocument/2006/relationships/hyperlink" Target="javascript:__doPostBack('ctl00$ContentPlaceHolder1$GridView1$ctl06$LinkButton1','')" TargetMode="External"/><Relationship Id="rId37" Type="http://schemas.openxmlformats.org/officeDocument/2006/relationships/hyperlink" Target="javascript:__doPostBack('ctl00$ContentPlaceHolder1$GridView1$ctl02$LinkButton1','')" TargetMode="External"/><Relationship Id="rId40" Type="http://schemas.openxmlformats.org/officeDocument/2006/relationships/hyperlink" Target="javascript:__doPostBack('ctl00$ContentPlaceHolder1$GridView1$ctl05$LinkButton1','')" TargetMode="External"/><Relationship Id="rId45" Type="http://schemas.openxmlformats.org/officeDocument/2006/relationships/hyperlink" Target="javascript:__doPostBack('ctl00$ContentPlaceHolder1$GridView1$ctl08$LinkButton1','')" TargetMode="External"/><Relationship Id="rId53" Type="http://schemas.openxmlformats.org/officeDocument/2006/relationships/hyperlink" Target="javascript:__doPostBack('ctl00$ContentPlaceHolder1$GridView1$ctl03$LinkButton1','')" TargetMode="External"/><Relationship Id="rId58" Type="http://schemas.openxmlformats.org/officeDocument/2006/relationships/hyperlink" Target="javascript:__doPostBack('ctl00$ContentPlaceHolder1$GridView1$ctl06$LinkButton1','')" TargetMode="External"/><Relationship Id="rId66" Type="http://schemas.openxmlformats.org/officeDocument/2006/relationships/hyperlink" Target="javascript:__doPostBack('ctl00$ContentPlaceHolder1$GridView1$ctl08$LinkButton1','')" TargetMode="External"/><Relationship Id="rId74" Type="http://schemas.openxmlformats.org/officeDocument/2006/relationships/hyperlink" Target="javascript:__doPostBack('ctl00$ContentPlaceHolder1$GridView1','Select$4')" TargetMode="External"/><Relationship Id="rId5" Type="http://schemas.openxmlformats.org/officeDocument/2006/relationships/hyperlink" Target="javascript:__doPostBack('ctl00$ContentPlaceHolder1$GridView1$ctl06$LinkButton1','')" TargetMode="External"/><Relationship Id="rId15" Type="http://schemas.openxmlformats.org/officeDocument/2006/relationships/hyperlink" Target="javascript:__doPostBack('ctl00$ContentPlaceHolder1$GridView1$ctl02$LinkButton1','')" TargetMode="External"/><Relationship Id="rId23" Type="http://schemas.openxmlformats.org/officeDocument/2006/relationships/hyperlink" Target="javascript:__doPostBack('ctl00$ContentPlaceHolder1$GridView1$ctl04$LinkButton1','')" TargetMode="External"/><Relationship Id="rId28" Type="http://schemas.openxmlformats.org/officeDocument/2006/relationships/hyperlink" Target="javascript:__doPostBack('ctl00$ContentPlaceHolder1$GridView1$ctl02$LinkButton1','')" TargetMode="External"/><Relationship Id="rId36" Type="http://schemas.openxmlformats.org/officeDocument/2006/relationships/hyperlink" Target="javascript:__doPostBack('ctl00$ContentPlaceHolder1$GridView1$ctl05$LinkButton1','')" TargetMode="External"/><Relationship Id="rId49" Type="http://schemas.openxmlformats.org/officeDocument/2006/relationships/hyperlink" Target="javascript:__doPostBack('ctl00$ContentPlaceHolder1$GridView1$ctl02$LinkButton1','')" TargetMode="External"/><Relationship Id="rId57" Type="http://schemas.openxmlformats.org/officeDocument/2006/relationships/hyperlink" Target="javascript:__doPostBack('ctl00$ContentPlaceHolder1$GridView1$ctl05$LinkButton1','')" TargetMode="External"/><Relationship Id="rId61" Type="http://schemas.openxmlformats.org/officeDocument/2006/relationships/hyperlink" Target="javascript:__doPostBack('ctl00$ContentPlaceHolder1$GridView1$ctl02$LinkButton1','')" TargetMode="External"/><Relationship Id="rId10" Type="http://schemas.openxmlformats.org/officeDocument/2006/relationships/hyperlink" Target="javascript:__doPostBack('ctl00$ContentPlaceHolder1$GridView1$ctl04$LinkButton1','')" TargetMode="External"/><Relationship Id="rId19" Type="http://schemas.openxmlformats.org/officeDocument/2006/relationships/hyperlink" Target="javascript:__doPostBack('ctl00$ContentPlaceHolder1$GridView1$ctl02$LinkButton1','')" TargetMode="External"/><Relationship Id="rId31" Type="http://schemas.openxmlformats.org/officeDocument/2006/relationships/hyperlink" Target="javascript:__doPostBack('ctl00$ContentPlaceHolder1$GridView1$ctl05$LinkButton1','')" TargetMode="External"/><Relationship Id="rId44" Type="http://schemas.openxmlformats.org/officeDocument/2006/relationships/hyperlink" Target="javascript:__doPostBack('ctl00$ContentPlaceHolder1$GridView1$ctl08$LinkButton1','')" TargetMode="External"/><Relationship Id="rId52" Type="http://schemas.openxmlformats.org/officeDocument/2006/relationships/hyperlink" Target="javascript:__doPostBack('ctl00$ContentPlaceHolder1$GridView1$ctl02$LinkButton1','')" TargetMode="External"/><Relationship Id="rId60" Type="http://schemas.openxmlformats.org/officeDocument/2006/relationships/hyperlink" Target="javascript:__doPostBack('ctl00$ContentPlaceHolder1$GridView1$ctl08$LinkButton1','')" TargetMode="External"/><Relationship Id="rId65" Type="http://schemas.openxmlformats.org/officeDocument/2006/relationships/hyperlink" Target="javascript:__doPostBack('ctl00$ContentPlaceHolder1$GridView1$ctl07$LinkButton1','')" TargetMode="External"/><Relationship Id="rId73" Type="http://schemas.openxmlformats.org/officeDocument/2006/relationships/hyperlink" Target="javascript:__doPostBack('ctl00$ContentPlaceHolder1$GridView1','Select$3')" TargetMode="External"/><Relationship Id="rId4" Type="http://schemas.openxmlformats.org/officeDocument/2006/relationships/hyperlink" Target="javascript:__doPostBack('ctl00$ContentPlaceHolder1$GridView1$ctl05$LinkButton1','')" TargetMode="External"/><Relationship Id="rId9" Type="http://schemas.openxmlformats.org/officeDocument/2006/relationships/hyperlink" Target="javascript:__doPostBack('ctl00$ContentPlaceHolder1$GridView1$ctl03$LinkButton1','')" TargetMode="External"/><Relationship Id="rId14" Type="http://schemas.openxmlformats.org/officeDocument/2006/relationships/hyperlink" Target="javascript:__doPostBack('ctl00$ContentPlaceHolder1$GridView1$ctl08$LinkButton1','')" TargetMode="External"/><Relationship Id="rId22" Type="http://schemas.openxmlformats.org/officeDocument/2006/relationships/hyperlink" Target="javascript:__doPostBack('ctl00$ContentPlaceHolder1$GridView1$ctl03$LinkButton1','')" TargetMode="External"/><Relationship Id="rId27" Type="http://schemas.openxmlformats.org/officeDocument/2006/relationships/hyperlink" Target="javascript:__doPostBack('ctl00$ContentPlaceHolder1$GridView1$ctl05$LinkButton1','')" TargetMode="External"/><Relationship Id="rId30" Type="http://schemas.openxmlformats.org/officeDocument/2006/relationships/hyperlink" Target="javascript:__doPostBack('ctl00$ContentPlaceHolder1$GridView1$ctl04$LinkButton1','')" TargetMode="External"/><Relationship Id="rId35" Type="http://schemas.openxmlformats.org/officeDocument/2006/relationships/hyperlink" Target="javascript:__doPostBack('ctl00$ContentPlaceHolder1$GridView1$ctl02$LinkButton1','')" TargetMode="External"/><Relationship Id="rId43" Type="http://schemas.openxmlformats.org/officeDocument/2006/relationships/hyperlink" Target="javascript:__doPostBack('ctl00$ContentPlaceHolder1$GridView1$ctl06$LinkButton1','')" TargetMode="External"/><Relationship Id="rId48" Type="http://schemas.openxmlformats.org/officeDocument/2006/relationships/hyperlink" Target="javascript:__doPostBack('ctl00$ContentPlaceHolder1$GridView1$ctl04$LinkButton1','')" TargetMode="External"/><Relationship Id="rId56" Type="http://schemas.openxmlformats.org/officeDocument/2006/relationships/hyperlink" Target="javascript:__doPostBack('ctl00$ContentPlaceHolder1$GridView1$ctl04$LinkButton1','')" TargetMode="External"/><Relationship Id="rId64" Type="http://schemas.openxmlformats.org/officeDocument/2006/relationships/hyperlink" Target="javascript:__doPostBack('ctl00$ContentPlaceHolder1$GridView1$ctl06$LinkButton1','')" TargetMode="External"/><Relationship Id="rId69" Type="http://schemas.openxmlformats.org/officeDocument/2006/relationships/hyperlink" Target="javascript:__doPostBack('ctl00$ContentPlaceHolder1$GridView1$ctl04$LinkButton1','')" TargetMode="External"/><Relationship Id="rId8" Type="http://schemas.openxmlformats.org/officeDocument/2006/relationships/hyperlink" Target="javascript:__doPostBack('ctl00$ContentPlaceHolder1$GridView1$ctl02$LinkButton1','')" TargetMode="External"/><Relationship Id="rId51" Type="http://schemas.openxmlformats.org/officeDocument/2006/relationships/hyperlink" Target="javascript:__doPostBack('ctl00$ContentPlaceHolder1$GridView1$ctl03$LinkButton1','')" TargetMode="External"/><Relationship Id="rId72" Type="http://schemas.openxmlformats.org/officeDocument/2006/relationships/hyperlink" Target="javascript:__doPostBack('ctl00$ContentPlaceHolder1$GridView1','Select$0')" TargetMode="External"/><Relationship Id="rId3" Type="http://schemas.openxmlformats.org/officeDocument/2006/relationships/hyperlink" Target="javascript:__doPostBack('ctl00$ContentPlaceHolder1$GridView1$ctl04$LinkButton1','')" TargetMode="External"/><Relationship Id="rId12" Type="http://schemas.openxmlformats.org/officeDocument/2006/relationships/hyperlink" Target="javascript:__doPostBack('ctl00$ContentPlaceHolder1$GridView1$ctl06$LinkButton1','')" TargetMode="External"/><Relationship Id="rId17" Type="http://schemas.openxmlformats.org/officeDocument/2006/relationships/hyperlink" Target="javascript:__doPostBack('ctl00$ContentPlaceHolder1$GridView1$ctl04$LinkButton1','')" TargetMode="External"/><Relationship Id="rId25" Type="http://schemas.openxmlformats.org/officeDocument/2006/relationships/hyperlink" Target="javascript:__doPostBack('ctl00$ContentPlaceHolder1$GridView1$ctl03$LinkButton1','')" TargetMode="External"/><Relationship Id="rId33" Type="http://schemas.openxmlformats.org/officeDocument/2006/relationships/hyperlink" Target="javascript:__doPostBack('ctl00$ContentPlaceHolder1$GridView1$ctl07$LinkButton1','')" TargetMode="External"/><Relationship Id="rId38" Type="http://schemas.openxmlformats.org/officeDocument/2006/relationships/hyperlink" Target="javascript:__doPostBack('ctl00$ContentPlaceHolder1$GridView1$ctl03$LinkButton1','')" TargetMode="External"/><Relationship Id="rId46" Type="http://schemas.openxmlformats.org/officeDocument/2006/relationships/hyperlink" Target="javascript:__doPostBack('ctl00$ContentPlaceHolder1$GridView1$ctl02$LinkButton1','')" TargetMode="External"/><Relationship Id="rId59" Type="http://schemas.openxmlformats.org/officeDocument/2006/relationships/hyperlink" Target="javascript:__doPostBack('ctl00$ContentPlaceHolder1$GridView1$ctl07$LinkButton1','')" TargetMode="External"/><Relationship Id="rId67" Type="http://schemas.openxmlformats.org/officeDocument/2006/relationships/hyperlink" Target="javascript:__doPostBack('ctl00$ContentPlaceHolder1$GridView1$ctl02$LinkButton1','')" TargetMode="External"/><Relationship Id="rId20" Type="http://schemas.openxmlformats.org/officeDocument/2006/relationships/hyperlink" Target="javascript:__doPostBack('ctl00$ContentPlaceHolder1$GridView1$ctl03$LinkButton1','')" TargetMode="External"/><Relationship Id="rId41" Type="http://schemas.openxmlformats.org/officeDocument/2006/relationships/hyperlink" Target="javascript:__doPostBack('ctl00$ContentPlaceHolder1$GridView1$ctl04$LinkButton1','')" TargetMode="External"/><Relationship Id="rId54" Type="http://schemas.openxmlformats.org/officeDocument/2006/relationships/hyperlink" Target="javascript:__doPostBack('ctl00$ContentPlaceHolder1$GridView1$ctl02$LinkButton1','')" TargetMode="External"/><Relationship Id="rId62" Type="http://schemas.openxmlformats.org/officeDocument/2006/relationships/hyperlink" Target="javascript:__doPostBack('ctl00$ContentPlaceHolder1$GridView1$ctl03$LinkButton1','')" TargetMode="External"/><Relationship Id="rId70" Type="http://schemas.openxmlformats.org/officeDocument/2006/relationships/hyperlink" Target="javascript:__doPostBack('ctl00$ContentPlaceHolder1$GridView1$ctl05$LinkButton1','')" TargetMode="External"/><Relationship Id="rId75" Type="http://schemas.openxmlformats.org/officeDocument/2006/relationships/printerSettings" Target="../printerSettings/printerSettings3.bin"/><Relationship Id="rId1" Type="http://schemas.openxmlformats.org/officeDocument/2006/relationships/hyperlink" Target="javascript:__doPostBack('ctl00$ContentPlaceHolder1$GridView1$ctl02$LinkButton1','')" TargetMode="External"/><Relationship Id="rId6" Type="http://schemas.openxmlformats.org/officeDocument/2006/relationships/hyperlink" Target="javascript:__doPostBack('ctl00$ContentPlaceHolder1$GridView1$ctl07$LinkButton1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617E-C7E8-4FB4-884B-E04B29FE8ED3}">
  <dimension ref="A1:AN69"/>
  <sheetViews>
    <sheetView workbookViewId="0"/>
  </sheetViews>
  <sheetFormatPr defaultRowHeight="14.4" x14ac:dyDescent="0.3"/>
  <cols>
    <col min="1" max="1" width="35.44140625" customWidth="1"/>
    <col min="6" max="6" width="8" customWidth="1"/>
    <col min="7" max="7" width="5.44140625" customWidth="1"/>
    <col min="8" max="8" width="26.109375" customWidth="1"/>
    <col min="15" max="16" width="11.33203125" customWidth="1"/>
    <col min="20" max="20" width="10" customWidth="1"/>
    <col min="21" max="21" width="7.109375" customWidth="1"/>
    <col min="22" max="22" width="4.77734375" customWidth="1"/>
    <col min="23" max="23" width="15.5546875" customWidth="1"/>
    <col min="24" max="24" width="17.109375" customWidth="1"/>
    <col min="28" max="28" width="7.109375" customWidth="1"/>
    <col min="29" max="29" width="17.6640625" customWidth="1"/>
    <col min="31" max="31" width="6.6640625" customWidth="1"/>
    <col min="32" max="32" width="13.44140625" customWidth="1"/>
    <col min="34" max="34" width="8.88671875" style="2"/>
  </cols>
  <sheetData>
    <row r="1" spans="1:37" s="37" customFormat="1" ht="21" x14ac:dyDescent="0.4">
      <c r="A1" s="31"/>
      <c r="B1" s="31"/>
      <c r="C1" s="32" t="s">
        <v>81</v>
      </c>
      <c r="D1" s="31"/>
      <c r="E1" s="31"/>
      <c r="F1" s="31"/>
      <c r="G1" s="31"/>
      <c r="H1" s="33"/>
      <c r="I1" s="34" t="s">
        <v>82</v>
      </c>
      <c r="J1" s="33"/>
      <c r="K1" s="33"/>
      <c r="L1" s="33"/>
      <c r="M1" s="33"/>
      <c r="N1" s="33"/>
      <c r="O1" s="35"/>
      <c r="P1" s="35"/>
      <c r="Q1" s="35"/>
      <c r="R1" s="35"/>
      <c r="S1" s="36" t="s">
        <v>83</v>
      </c>
      <c r="T1" s="35"/>
      <c r="U1" s="35"/>
      <c r="V1" s="35"/>
      <c r="W1" s="63"/>
      <c r="X1" s="63"/>
      <c r="Y1" s="63"/>
      <c r="Z1" s="63"/>
      <c r="AA1" s="63"/>
      <c r="AB1" s="63"/>
      <c r="AF1" s="38"/>
      <c r="AG1" s="38"/>
      <c r="AH1" s="39"/>
      <c r="AI1" s="38"/>
      <c r="AJ1" s="38"/>
      <c r="AK1" s="38"/>
    </row>
    <row r="2" spans="1:37" ht="23.4" x14ac:dyDescent="0.45">
      <c r="A2" s="10"/>
      <c r="B2" s="10"/>
      <c r="C2" s="10"/>
      <c r="D2" s="10"/>
      <c r="E2" s="11">
        <v>77</v>
      </c>
      <c r="F2" s="10"/>
      <c r="G2" s="10"/>
      <c r="H2" s="17"/>
      <c r="I2" s="17"/>
      <c r="J2" s="17"/>
      <c r="K2" s="17"/>
      <c r="L2" s="18">
        <v>77</v>
      </c>
      <c r="M2" s="17"/>
      <c r="N2" s="17"/>
      <c r="O2" s="25" t="s">
        <v>12</v>
      </c>
      <c r="P2" s="25"/>
      <c r="Q2" s="30">
        <v>483</v>
      </c>
      <c r="R2" s="24"/>
      <c r="S2" s="24"/>
      <c r="T2" s="24"/>
      <c r="U2" s="24"/>
      <c r="V2" s="24"/>
      <c r="W2" s="64" t="s">
        <v>12</v>
      </c>
      <c r="X2" s="64"/>
      <c r="Y2" s="65">
        <v>482</v>
      </c>
      <c r="Z2" s="66"/>
      <c r="AA2" s="66"/>
      <c r="AB2" s="66"/>
      <c r="AC2" s="5" t="s">
        <v>19</v>
      </c>
      <c r="AF2" s="40" t="s">
        <v>12</v>
      </c>
      <c r="AG2" s="40"/>
      <c r="AH2" s="30">
        <v>484</v>
      </c>
      <c r="AI2" s="42"/>
      <c r="AJ2" s="42"/>
      <c r="AK2" s="42"/>
    </row>
    <row r="3" spans="1:37" ht="21" x14ac:dyDescent="0.4">
      <c r="A3" s="12" t="s">
        <v>12</v>
      </c>
      <c r="B3" s="12"/>
      <c r="C3" s="30">
        <v>339</v>
      </c>
      <c r="D3" s="12">
        <v>1385</v>
      </c>
      <c r="E3" s="10" t="s">
        <v>78</v>
      </c>
      <c r="F3" s="10">
        <v>5</v>
      </c>
      <c r="G3" s="10">
        <v>0</v>
      </c>
      <c r="H3" s="19" t="s">
        <v>12</v>
      </c>
      <c r="I3" s="19"/>
      <c r="J3" s="30">
        <v>402</v>
      </c>
      <c r="K3" s="19">
        <v>1385</v>
      </c>
      <c r="L3" s="17" t="s">
        <v>78</v>
      </c>
      <c r="M3" s="17">
        <v>5</v>
      </c>
      <c r="N3" s="17">
        <v>0</v>
      </c>
      <c r="O3" s="24"/>
      <c r="P3" s="24"/>
      <c r="Q3" s="24"/>
      <c r="R3" s="25">
        <v>640</v>
      </c>
      <c r="S3" s="26">
        <f>129</f>
        <v>129</v>
      </c>
      <c r="T3" s="24"/>
      <c r="U3" s="24"/>
      <c r="V3" s="24"/>
      <c r="W3" s="66"/>
      <c r="X3" s="66"/>
      <c r="Y3" s="66"/>
      <c r="Z3" s="64">
        <v>278</v>
      </c>
      <c r="AA3" s="67">
        <v>77</v>
      </c>
      <c r="AB3" s="66"/>
      <c r="AF3" s="42"/>
      <c r="AG3" s="42"/>
      <c r="AH3" s="43"/>
      <c r="AI3" s="40">
        <v>23</v>
      </c>
      <c r="AJ3" s="44">
        <v>78</v>
      </c>
      <c r="AK3" s="42"/>
    </row>
    <row r="4" spans="1:37" x14ac:dyDescent="0.3">
      <c r="A4" s="10"/>
      <c r="B4" s="10"/>
      <c r="C4" s="10"/>
      <c r="D4" s="12"/>
      <c r="E4" s="10" t="s">
        <v>77</v>
      </c>
      <c r="F4" s="10">
        <v>4</v>
      </c>
      <c r="G4" s="10">
        <v>12</v>
      </c>
      <c r="H4" s="17"/>
      <c r="I4" s="17"/>
      <c r="J4" s="17"/>
      <c r="K4" s="19"/>
      <c r="L4" s="17" t="s">
        <v>77</v>
      </c>
      <c r="M4" s="17">
        <v>4</v>
      </c>
      <c r="N4" s="17">
        <v>12</v>
      </c>
      <c r="O4" s="24" t="s">
        <v>5</v>
      </c>
      <c r="P4" s="27" t="s">
        <v>24</v>
      </c>
      <c r="Q4" s="24">
        <f>97/1440</f>
        <v>6.7361111111111108E-2</v>
      </c>
      <c r="R4" s="28">
        <f t="shared" ref="R4:R14" si="0">R$3*Q4</f>
        <v>43.111111111111107</v>
      </c>
      <c r="S4" s="24">
        <v>17</v>
      </c>
      <c r="T4" s="24">
        <v>8</v>
      </c>
      <c r="U4" s="24">
        <v>0</v>
      </c>
      <c r="V4" s="24"/>
      <c r="W4" s="66" t="s">
        <v>5</v>
      </c>
      <c r="X4" s="68" t="s">
        <v>34</v>
      </c>
      <c r="Y4" s="66">
        <f>100/1251</f>
        <v>7.9936051159072735E-2</v>
      </c>
      <c r="Z4" s="69">
        <f t="shared" ref="Z4:Z14" si="1">Z$3*Y4</f>
        <v>22.222222222222221</v>
      </c>
      <c r="AA4" s="66">
        <v>1</v>
      </c>
      <c r="AB4" s="66">
        <v>6.19</v>
      </c>
      <c r="AC4" s="2">
        <f>R4+Z4</f>
        <v>65.333333333333329</v>
      </c>
      <c r="AF4" s="42" t="s">
        <v>5</v>
      </c>
      <c r="AG4" s="45" t="s">
        <v>43</v>
      </c>
      <c r="AH4" s="43">
        <f>2/69</f>
        <v>2.8985507246376812E-2</v>
      </c>
      <c r="AI4" s="43">
        <f t="shared" ref="AI4:AI15" si="2">AI$3*AH4</f>
        <v>0.66666666666666663</v>
      </c>
      <c r="AJ4" s="46" t="s">
        <v>23</v>
      </c>
      <c r="AK4" s="42">
        <v>0.7</v>
      </c>
    </row>
    <row r="5" spans="1:37" x14ac:dyDescent="0.3">
      <c r="A5" s="10" t="s">
        <v>62</v>
      </c>
      <c r="B5" s="13" t="s">
        <v>61</v>
      </c>
      <c r="C5" s="13">
        <f>405/7784</f>
        <v>5.2029804727646456E-2</v>
      </c>
      <c r="D5" s="14">
        <f>D$3*C5</f>
        <v>72.061279547790335</v>
      </c>
      <c r="E5" s="10" t="s">
        <v>77</v>
      </c>
      <c r="F5" s="10">
        <v>2</v>
      </c>
      <c r="G5" s="10">
        <v>7</v>
      </c>
      <c r="H5" s="17" t="s">
        <v>62</v>
      </c>
      <c r="I5" s="20" t="s">
        <v>61</v>
      </c>
      <c r="J5" s="20">
        <f>405/7784</f>
        <v>5.2029804727646456E-2</v>
      </c>
      <c r="K5" s="21">
        <f>K$3*J5</f>
        <v>72.061279547790335</v>
      </c>
      <c r="L5" s="17" t="s">
        <v>77</v>
      </c>
      <c r="M5" s="17">
        <v>2</v>
      </c>
      <c r="N5" s="17">
        <v>7</v>
      </c>
      <c r="O5" s="24" t="s">
        <v>4</v>
      </c>
      <c r="P5" s="27" t="s">
        <v>24</v>
      </c>
      <c r="Q5" s="24">
        <f>97/1440</f>
        <v>6.7361111111111108E-2</v>
      </c>
      <c r="R5" s="28">
        <f t="shared" si="0"/>
        <v>43.111111111111107</v>
      </c>
      <c r="S5" s="24">
        <v>18</v>
      </c>
      <c r="T5" s="24">
        <v>8</v>
      </c>
      <c r="U5" s="24">
        <v>0</v>
      </c>
      <c r="V5" s="24"/>
      <c r="W5" s="66" t="s">
        <v>4</v>
      </c>
      <c r="X5" s="68" t="s">
        <v>34</v>
      </c>
      <c r="Y5" s="66">
        <f>100/1251</f>
        <v>7.9936051159072735E-2</v>
      </c>
      <c r="Z5" s="69">
        <f t="shared" si="1"/>
        <v>22.222222222222221</v>
      </c>
      <c r="AA5" s="66">
        <v>2</v>
      </c>
      <c r="AB5" s="66">
        <v>6.19</v>
      </c>
      <c r="AC5" s="2">
        <f>R5+Z5</f>
        <v>65.333333333333329</v>
      </c>
      <c r="AF5" s="42" t="s">
        <v>4</v>
      </c>
      <c r="AG5" s="45" t="s">
        <v>43</v>
      </c>
      <c r="AH5" s="43">
        <f>2/69</f>
        <v>2.8985507246376812E-2</v>
      </c>
      <c r="AI5" s="43">
        <f t="shared" si="2"/>
        <v>0.66666666666666663</v>
      </c>
      <c r="AJ5" s="46" t="s">
        <v>22</v>
      </c>
      <c r="AK5" s="42">
        <v>0.8</v>
      </c>
    </row>
    <row r="6" spans="1:37" x14ac:dyDescent="0.3">
      <c r="A6" s="10" t="s">
        <v>64</v>
      </c>
      <c r="B6" s="13" t="s">
        <v>63</v>
      </c>
      <c r="C6" s="13">
        <f>689/7784</f>
        <v>8.8514902363823228E-2</v>
      </c>
      <c r="D6" s="14">
        <f t="shared" ref="D6:D14" si="3">D$3*C6</f>
        <v>122.59313977389517</v>
      </c>
      <c r="E6" s="10" t="s">
        <v>78</v>
      </c>
      <c r="F6" s="10">
        <v>1</v>
      </c>
      <c r="G6" s="10">
        <v>19</v>
      </c>
      <c r="H6" s="17" t="s">
        <v>84</v>
      </c>
      <c r="I6" s="20" t="s">
        <v>63</v>
      </c>
      <c r="J6" s="20">
        <f>689/7784</f>
        <v>8.8514902363823228E-2</v>
      </c>
      <c r="K6" s="21">
        <f t="shared" ref="K6:K15" si="4">K$3*J6</f>
        <v>122.59313977389517</v>
      </c>
      <c r="L6" s="17" t="s">
        <v>78</v>
      </c>
      <c r="M6" s="17">
        <v>1</v>
      </c>
      <c r="N6" s="17">
        <v>19</v>
      </c>
      <c r="O6" s="24" t="s">
        <v>17</v>
      </c>
      <c r="P6" s="27" t="s">
        <v>25</v>
      </c>
      <c r="Q6" s="24">
        <f>979/5760</f>
        <v>0.16996527777777778</v>
      </c>
      <c r="R6" s="28">
        <f t="shared" si="0"/>
        <v>108.77777777777779</v>
      </c>
      <c r="S6" s="24">
        <v>23</v>
      </c>
      <c r="T6" s="24">
        <v>8</v>
      </c>
      <c r="U6" s="24">
        <v>0</v>
      </c>
      <c r="V6" s="24"/>
      <c r="W6" s="66" t="s">
        <v>17</v>
      </c>
      <c r="X6" s="68" t="s">
        <v>35</v>
      </c>
      <c r="Y6" s="66">
        <f>250/1251</f>
        <v>0.19984012789768185</v>
      </c>
      <c r="Z6" s="69">
        <f t="shared" si="1"/>
        <v>55.555555555555557</v>
      </c>
      <c r="AA6" s="66" t="s">
        <v>10</v>
      </c>
      <c r="AB6" s="66">
        <f>SUM(AB4:AB5)</f>
        <v>12.38</v>
      </c>
      <c r="AC6" s="2">
        <f>R6+Z6</f>
        <v>164.33333333333334</v>
      </c>
      <c r="AF6" s="42" t="s">
        <v>9</v>
      </c>
      <c r="AG6" s="45" t="s">
        <v>44</v>
      </c>
      <c r="AH6" s="43">
        <f>5/69</f>
        <v>7.2463768115942032E-2</v>
      </c>
      <c r="AI6" s="43">
        <f t="shared" si="2"/>
        <v>1.6666666666666667</v>
      </c>
      <c r="AJ6" s="46" t="s">
        <v>21</v>
      </c>
      <c r="AK6" s="42">
        <v>0.8</v>
      </c>
    </row>
    <row r="7" spans="1:37" ht="21" x14ac:dyDescent="0.4">
      <c r="A7" s="10" t="s">
        <v>65</v>
      </c>
      <c r="B7" s="13" t="s">
        <v>59</v>
      </c>
      <c r="C7" s="13">
        <f>281/3892</f>
        <v>7.2199383350462484E-2</v>
      </c>
      <c r="D7" s="14">
        <f t="shared" si="3"/>
        <v>99.996145940390534</v>
      </c>
      <c r="E7" s="15">
        <f>129</f>
        <v>129</v>
      </c>
      <c r="F7" s="10"/>
      <c r="G7" s="10"/>
      <c r="H7" s="17" t="s">
        <v>65</v>
      </c>
      <c r="I7" s="20" t="s">
        <v>59</v>
      </c>
      <c r="J7" s="20">
        <f>281/3892</f>
        <v>7.2199383350462484E-2</v>
      </c>
      <c r="K7" s="21">
        <f t="shared" si="4"/>
        <v>99.996145940390534</v>
      </c>
      <c r="L7" s="22">
        <f>129</f>
        <v>129</v>
      </c>
      <c r="M7" s="17"/>
      <c r="N7" s="17"/>
      <c r="O7" s="24" t="s">
        <v>16</v>
      </c>
      <c r="P7" s="24" t="s">
        <v>26</v>
      </c>
      <c r="Q7" s="24">
        <f>81/640</f>
        <v>0.12656249999999999</v>
      </c>
      <c r="R7" s="28">
        <f t="shared" si="0"/>
        <v>81</v>
      </c>
      <c r="S7" s="24">
        <v>24</v>
      </c>
      <c r="T7" s="24">
        <v>8</v>
      </c>
      <c r="U7" s="24">
        <v>0</v>
      </c>
      <c r="V7" s="24"/>
      <c r="W7" s="66" t="s">
        <v>16</v>
      </c>
      <c r="X7" s="68" t="s">
        <v>36</v>
      </c>
      <c r="Y7" s="66">
        <f>41/278</f>
        <v>0.14748201438848921</v>
      </c>
      <c r="Z7" s="69">
        <f t="shared" si="1"/>
        <v>41</v>
      </c>
      <c r="AA7" s="66" t="s">
        <v>10</v>
      </c>
      <c r="AB7" s="66">
        <v>13.18</v>
      </c>
      <c r="AC7" s="1">
        <f>SUM(AC4:AC6)</f>
        <v>295</v>
      </c>
      <c r="AF7" s="42" t="s">
        <v>16</v>
      </c>
      <c r="AG7" s="45" t="s">
        <v>45</v>
      </c>
      <c r="AH7" s="43">
        <f>1/46</f>
        <v>2.1739130434782608E-2</v>
      </c>
      <c r="AI7" s="43">
        <f t="shared" si="2"/>
        <v>0.5</v>
      </c>
      <c r="AJ7" s="42" t="s">
        <v>10</v>
      </c>
      <c r="AK7" s="42">
        <f>SUM(AK4:AK6)</f>
        <v>2.2999999999999998</v>
      </c>
    </row>
    <row r="8" spans="1:37" x14ac:dyDescent="0.3">
      <c r="A8" s="10" t="s">
        <v>66</v>
      </c>
      <c r="B8" s="13" t="s">
        <v>67</v>
      </c>
      <c r="C8" s="13">
        <f>365/3892</f>
        <v>9.3782117163412129E-2</v>
      </c>
      <c r="D8" s="14">
        <f t="shared" si="3"/>
        <v>129.88823227132579</v>
      </c>
      <c r="E8" s="10">
        <v>17</v>
      </c>
      <c r="F8" s="10">
        <v>8</v>
      </c>
      <c r="G8" s="10">
        <v>0</v>
      </c>
      <c r="H8" s="17" t="s">
        <v>66</v>
      </c>
      <c r="I8" s="20" t="s">
        <v>67</v>
      </c>
      <c r="J8" s="20">
        <f>365/3892</f>
        <v>9.3782117163412129E-2</v>
      </c>
      <c r="K8" s="21">
        <f t="shared" si="4"/>
        <v>129.88823227132579</v>
      </c>
      <c r="L8" s="17">
        <v>17</v>
      </c>
      <c r="M8" s="17">
        <v>8</v>
      </c>
      <c r="N8" s="17">
        <v>0</v>
      </c>
      <c r="O8" s="24" t="s">
        <v>15</v>
      </c>
      <c r="P8" s="27" t="s">
        <v>27</v>
      </c>
      <c r="Q8" s="24">
        <f>43/480</f>
        <v>8.9583333333333334E-2</v>
      </c>
      <c r="R8" s="28">
        <f t="shared" si="0"/>
        <v>57.333333333333336</v>
      </c>
      <c r="S8" s="24"/>
      <c r="T8" s="24"/>
      <c r="U8" s="24"/>
      <c r="V8" s="24"/>
      <c r="W8" s="66" t="s">
        <v>15</v>
      </c>
      <c r="X8" s="68" t="s">
        <v>37</v>
      </c>
      <c r="Y8" s="66">
        <f>43/417</f>
        <v>0.10311750599520383</v>
      </c>
      <c r="Z8" s="69">
        <f t="shared" si="1"/>
        <v>28.666666666666664</v>
      </c>
      <c r="AA8" s="66"/>
      <c r="AB8" s="66">
        <f>260+18</f>
        <v>278</v>
      </c>
      <c r="AF8" s="42" t="s">
        <v>15</v>
      </c>
      <c r="AG8" s="45" t="s">
        <v>43</v>
      </c>
      <c r="AH8" s="43">
        <f>2/69</f>
        <v>2.8985507246376812E-2</v>
      </c>
      <c r="AI8" s="43">
        <f t="shared" si="2"/>
        <v>0.66666666666666663</v>
      </c>
      <c r="AJ8" s="42"/>
      <c r="AK8" s="42">
        <v>23</v>
      </c>
    </row>
    <row r="9" spans="1:37" x14ac:dyDescent="0.3">
      <c r="A9" s="10" t="s">
        <v>68</v>
      </c>
      <c r="B9" s="13" t="s">
        <v>69</v>
      </c>
      <c r="C9" s="13">
        <f>95/556</f>
        <v>0.17086330935251798</v>
      </c>
      <c r="D9" s="14">
        <f t="shared" si="3"/>
        <v>236.64568345323741</v>
      </c>
      <c r="E9" s="10">
        <v>18</v>
      </c>
      <c r="F9" s="10">
        <v>8</v>
      </c>
      <c r="G9" s="10">
        <v>0</v>
      </c>
      <c r="H9" s="17" t="s">
        <v>68</v>
      </c>
      <c r="I9" s="20" t="s">
        <v>69</v>
      </c>
      <c r="J9" s="20">
        <f>95/556</f>
        <v>0.17086330935251798</v>
      </c>
      <c r="K9" s="21">
        <f t="shared" si="4"/>
        <v>236.64568345323741</v>
      </c>
      <c r="L9" s="17">
        <v>18</v>
      </c>
      <c r="M9" s="17">
        <v>8</v>
      </c>
      <c r="N9" s="17">
        <v>0</v>
      </c>
      <c r="O9" s="24" t="s">
        <v>14</v>
      </c>
      <c r="P9" s="27" t="s">
        <v>28</v>
      </c>
      <c r="Q9" s="24">
        <f>1/40</f>
        <v>2.5000000000000001E-2</v>
      </c>
      <c r="R9" s="28">
        <f t="shared" si="0"/>
        <v>16</v>
      </c>
      <c r="S9" s="24"/>
      <c r="T9" s="24"/>
      <c r="U9" s="24"/>
      <c r="V9" s="24"/>
      <c r="W9" s="66" t="s">
        <v>14</v>
      </c>
      <c r="X9" s="68" t="s">
        <v>38</v>
      </c>
      <c r="Y9" s="66">
        <f>9/278</f>
        <v>3.237410071942446E-2</v>
      </c>
      <c r="Z9" s="69">
        <f t="shared" si="1"/>
        <v>9</v>
      </c>
      <c r="AA9" s="66"/>
      <c r="AB9" s="66"/>
      <c r="AC9" s="1">
        <f>K7+K13</f>
        <v>298.20914696813975</v>
      </c>
      <c r="AF9" s="42" t="s">
        <v>14</v>
      </c>
      <c r="AG9" s="45" t="s">
        <v>45</v>
      </c>
      <c r="AH9" s="43">
        <f>1/46</f>
        <v>2.1739130434782608E-2</v>
      </c>
      <c r="AI9" s="43">
        <f t="shared" si="2"/>
        <v>0.5</v>
      </c>
      <c r="AJ9" s="42"/>
      <c r="AK9" s="42"/>
    </row>
    <row r="10" spans="1:37" x14ac:dyDescent="0.3">
      <c r="A10" s="10" t="s">
        <v>70</v>
      </c>
      <c r="B10" s="13" t="s">
        <v>71</v>
      </c>
      <c r="C10" s="13">
        <f>36/973</f>
        <v>3.6998972250770812E-2</v>
      </c>
      <c r="D10" s="14">
        <f t="shared" si="3"/>
        <v>51.243576567317575</v>
      </c>
      <c r="E10" s="10">
        <v>23</v>
      </c>
      <c r="F10" s="10">
        <v>8</v>
      </c>
      <c r="G10" s="10">
        <v>0</v>
      </c>
      <c r="H10" s="17" t="s">
        <v>70</v>
      </c>
      <c r="I10" s="20" t="s">
        <v>71</v>
      </c>
      <c r="J10" s="20">
        <f>36/973</f>
        <v>3.6998972250770812E-2</v>
      </c>
      <c r="K10" s="21">
        <f t="shared" si="4"/>
        <v>51.243576567317575</v>
      </c>
      <c r="L10" s="17">
        <v>23</v>
      </c>
      <c r="M10" s="17">
        <v>8</v>
      </c>
      <c r="N10" s="17">
        <v>0</v>
      </c>
      <c r="O10" s="24" t="s">
        <v>13</v>
      </c>
      <c r="P10" s="27" t="s">
        <v>29</v>
      </c>
      <c r="Q10" s="24">
        <f>37/640</f>
        <v>5.7812500000000003E-2</v>
      </c>
      <c r="R10" s="28">
        <f t="shared" si="0"/>
        <v>37</v>
      </c>
      <c r="S10" s="24"/>
      <c r="T10" s="24"/>
      <c r="U10" s="24"/>
      <c r="V10" s="24"/>
      <c r="W10" s="66" t="s">
        <v>13</v>
      </c>
      <c r="X10" s="68" t="s">
        <v>39</v>
      </c>
      <c r="Y10" s="66">
        <f>7/139</f>
        <v>5.0359712230215826E-2</v>
      </c>
      <c r="Z10" s="69">
        <f t="shared" si="1"/>
        <v>14</v>
      </c>
      <c r="AA10" s="66"/>
      <c r="AB10" s="66"/>
      <c r="AC10" s="2">
        <f>AC9-AC7</f>
        <v>3.2091469681397484</v>
      </c>
      <c r="AF10" s="42" t="s">
        <v>13</v>
      </c>
      <c r="AG10" s="45" t="s">
        <v>45</v>
      </c>
      <c r="AH10" s="43">
        <f>1/46</f>
        <v>2.1739130434782608E-2</v>
      </c>
      <c r="AI10" s="43">
        <f t="shared" si="2"/>
        <v>0.5</v>
      </c>
      <c r="AJ10" s="42"/>
      <c r="AK10" s="42"/>
    </row>
    <row r="11" spans="1:37" x14ac:dyDescent="0.3">
      <c r="A11" s="10" t="s">
        <v>72</v>
      </c>
      <c r="B11" s="13" t="s">
        <v>73</v>
      </c>
      <c r="C11" s="13">
        <f>18/973</f>
        <v>1.8499486125385406E-2</v>
      </c>
      <c r="D11" s="14">
        <f t="shared" si="3"/>
        <v>25.621788283658788</v>
      </c>
      <c r="E11" s="10">
        <v>24</v>
      </c>
      <c r="F11" s="10">
        <v>8</v>
      </c>
      <c r="G11" s="10">
        <v>0</v>
      </c>
      <c r="H11" s="17" t="s">
        <v>72</v>
      </c>
      <c r="I11" s="20" t="s">
        <v>73</v>
      </c>
      <c r="J11" s="20">
        <f>18/973</f>
        <v>1.8499486125385406E-2</v>
      </c>
      <c r="K11" s="21">
        <f t="shared" si="4"/>
        <v>25.621788283658788</v>
      </c>
      <c r="L11" s="17">
        <v>24</v>
      </c>
      <c r="M11" s="17">
        <v>8</v>
      </c>
      <c r="N11" s="17">
        <v>0</v>
      </c>
      <c r="O11" s="24" t="s">
        <v>3</v>
      </c>
      <c r="P11" s="27" t="s">
        <v>30</v>
      </c>
      <c r="Q11" s="24">
        <f>89/640</f>
        <v>0.13906250000000001</v>
      </c>
      <c r="R11" s="28">
        <f t="shared" si="0"/>
        <v>89</v>
      </c>
      <c r="S11" s="24"/>
      <c r="T11" s="24"/>
      <c r="U11" s="24"/>
      <c r="V11" s="24"/>
      <c r="W11" s="66" t="s">
        <v>3</v>
      </c>
      <c r="X11" s="68" t="s">
        <v>40</v>
      </c>
      <c r="Y11" s="66">
        <f>23/139</f>
        <v>0.16546762589928057</v>
      </c>
      <c r="Z11" s="69">
        <f t="shared" si="1"/>
        <v>46</v>
      </c>
      <c r="AA11" s="66"/>
      <c r="AB11" s="66"/>
      <c r="AF11" s="42" t="s">
        <v>3</v>
      </c>
      <c r="AG11" s="45" t="s">
        <v>46</v>
      </c>
      <c r="AH11" s="43">
        <f>3/46</f>
        <v>6.5217391304347824E-2</v>
      </c>
      <c r="AI11" s="43">
        <f t="shared" si="2"/>
        <v>1.5</v>
      </c>
      <c r="AJ11" s="42"/>
      <c r="AK11" s="42"/>
    </row>
    <row r="12" spans="1:37" ht="23.4" x14ac:dyDescent="0.45">
      <c r="A12" s="10" t="s">
        <v>202</v>
      </c>
      <c r="B12" s="13" t="s">
        <v>80</v>
      </c>
      <c r="C12" s="13">
        <f>96/973</f>
        <v>9.8663926002055494E-2</v>
      </c>
      <c r="D12" s="14">
        <f t="shared" si="3"/>
        <v>136.64953751284685</v>
      </c>
      <c r="E12" s="11">
        <v>78</v>
      </c>
      <c r="F12" s="10"/>
      <c r="G12" s="10"/>
      <c r="H12" s="17" t="s">
        <v>3</v>
      </c>
      <c r="I12" s="20" t="s">
        <v>80</v>
      </c>
      <c r="J12" s="20">
        <f>96/973</f>
        <v>9.8663926002055494E-2</v>
      </c>
      <c r="K12" s="21">
        <f t="shared" si="4"/>
        <v>136.64953751284685</v>
      </c>
      <c r="L12" s="18">
        <v>78</v>
      </c>
      <c r="M12" s="17"/>
      <c r="N12" s="17"/>
      <c r="O12" s="24" t="s">
        <v>2</v>
      </c>
      <c r="P12" s="27" t="s">
        <v>31</v>
      </c>
      <c r="Q12" s="24">
        <f>9/64</f>
        <v>0.140625</v>
      </c>
      <c r="R12" s="28">
        <f t="shared" si="0"/>
        <v>90</v>
      </c>
      <c r="S12" s="24"/>
      <c r="T12" s="24"/>
      <c r="U12" s="24"/>
      <c r="V12" s="24"/>
      <c r="W12" s="66" t="s">
        <v>2</v>
      </c>
      <c r="X12" s="66">
        <v>0</v>
      </c>
      <c r="Y12" s="66">
        <v>0</v>
      </c>
      <c r="Z12" s="69">
        <f t="shared" si="1"/>
        <v>0</v>
      </c>
      <c r="AA12" s="66"/>
      <c r="AB12" s="66"/>
      <c r="AC12" s="2">
        <f>R11+Z11</f>
        <v>135</v>
      </c>
      <c r="AF12" s="42" t="s">
        <v>2</v>
      </c>
      <c r="AG12" s="45" t="s">
        <v>47</v>
      </c>
      <c r="AH12" s="43">
        <f>11/23</f>
        <v>0.47826086956521741</v>
      </c>
      <c r="AI12" s="43">
        <f t="shared" si="2"/>
        <v>11</v>
      </c>
      <c r="AJ12" s="42"/>
      <c r="AK12" s="42"/>
    </row>
    <row r="13" spans="1:37" x14ac:dyDescent="0.3">
      <c r="A13" s="10" t="s">
        <v>74</v>
      </c>
      <c r="B13" s="13" t="s">
        <v>58</v>
      </c>
      <c r="C13" s="13">
        <f>557/3892</f>
        <v>0.14311408016443988</v>
      </c>
      <c r="D13" s="14">
        <f t="shared" si="3"/>
        <v>198.21300102774924</v>
      </c>
      <c r="E13" s="10">
        <v>5</v>
      </c>
      <c r="F13" s="10">
        <v>7</v>
      </c>
      <c r="G13" s="10">
        <v>7</v>
      </c>
      <c r="H13" s="17" t="s">
        <v>85</v>
      </c>
      <c r="I13" s="20" t="s">
        <v>58</v>
      </c>
      <c r="J13" s="20">
        <f>557/3892</f>
        <v>0.14311408016443988</v>
      </c>
      <c r="K13" s="21">
        <f t="shared" si="4"/>
        <v>198.21300102774924</v>
      </c>
      <c r="L13" s="17">
        <v>5</v>
      </c>
      <c r="M13" s="17">
        <v>7</v>
      </c>
      <c r="N13" s="17">
        <v>7</v>
      </c>
      <c r="O13" s="24" t="s">
        <v>1</v>
      </c>
      <c r="P13" s="27" t="s">
        <v>32</v>
      </c>
      <c r="Q13" s="24">
        <f>31/384</f>
        <v>8.0729166666666671E-2</v>
      </c>
      <c r="R13" s="28">
        <f t="shared" si="0"/>
        <v>51.666666666666671</v>
      </c>
      <c r="S13" s="24"/>
      <c r="T13" s="24"/>
      <c r="U13" s="24"/>
      <c r="V13" s="24"/>
      <c r="W13" s="66" t="s">
        <v>1</v>
      </c>
      <c r="X13" s="68" t="s">
        <v>41</v>
      </c>
      <c r="Y13" s="66">
        <f>161/1668</f>
        <v>9.6522781774580332E-2</v>
      </c>
      <c r="Z13" s="69">
        <f t="shared" si="1"/>
        <v>26.833333333333332</v>
      </c>
      <c r="AA13" s="66"/>
      <c r="AB13" s="66"/>
      <c r="AC13">
        <v>136.65</v>
      </c>
      <c r="AF13" s="42" t="s">
        <v>1</v>
      </c>
      <c r="AG13" s="45" t="s">
        <v>48</v>
      </c>
      <c r="AH13" s="43">
        <f>5/138</f>
        <v>3.6231884057971016E-2</v>
      </c>
      <c r="AI13" s="43">
        <f t="shared" si="2"/>
        <v>0.83333333333333337</v>
      </c>
      <c r="AJ13" s="42"/>
      <c r="AK13" s="42"/>
    </row>
    <row r="14" spans="1:37" x14ac:dyDescent="0.3">
      <c r="A14" s="10" t="s">
        <v>75</v>
      </c>
      <c r="B14" s="13" t="s">
        <v>76</v>
      </c>
      <c r="C14" s="13">
        <f>877/3892</f>
        <v>0.22533401849948612</v>
      </c>
      <c r="D14" s="14">
        <f t="shared" si="3"/>
        <v>312.08761562178825</v>
      </c>
      <c r="E14" s="10">
        <v>6</v>
      </c>
      <c r="F14" s="10">
        <v>8</v>
      </c>
      <c r="G14" s="10">
        <v>0</v>
      </c>
      <c r="H14" s="17" t="s">
        <v>20</v>
      </c>
      <c r="I14" s="20" t="s">
        <v>86</v>
      </c>
      <c r="J14" s="20">
        <f>877/3892</f>
        <v>0.22533401849948612</v>
      </c>
      <c r="K14" s="21">
        <f t="shared" si="4"/>
        <v>312.08761562178825</v>
      </c>
      <c r="L14" s="17">
        <v>6</v>
      </c>
      <c r="M14" s="17">
        <v>8</v>
      </c>
      <c r="N14" s="17">
        <v>0</v>
      </c>
      <c r="O14" s="24" t="s">
        <v>0</v>
      </c>
      <c r="P14" s="27" t="s">
        <v>33</v>
      </c>
      <c r="Q14" s="24">
        <f>23/640</f>
        <v>3.5937499999999997E-2</v>
      </c>
      <c r="R14" s="28">
        <f t="shared" si="0"/>
        <v>23</v>
      </c>
      <c r="S14" s="24"/>
      <c r="T14" s="24"/>
      <c r="U14" s="24"/>
      <c r="V14" s="24"/>
      <c r="W14" s="66" t="s">
        <v>0</v>
      </c>
      <c r="X14" s="68" t="s">
        <v>42</v>
      </c>
      <c r="Y14" s="66">
        <f>25/556</f>
        <v>4.4964028776978415E-2</v>
      </c>
      <c r="Z14" s="69">
        <f t="shared" si="1"/>
        <v>12.5</v>
      </c>
      <c r="AA14" s="66"/>
      <c r="AB14" s="66"/>
      <c r="AC14" s="2">
        <f>AC13-AC12</f>
        <v>1.6500000000000057</v>
      </c>
      <c r="AF14" s="42" t="s">
        <v>0</v>
      </c>
      <c r="AG14" s="45" t="s">
        <v>45</v>
      </c>
      <c r="AH14" s="43">
        <f>1/46</f>
        <v>2.1739130434782608E-2</v>
      </c>
      <c r="AI14" s="43">
        <f t="shared" si="2"/>
        <v>0.5</v>
      </c>
      <c r="AJ14" s="42"/>
      <c r="AK14" s="42"/>
    </row>
    <row r="15" spans="1:37" x14ac:dyDescent="0.3">
      <c r="A15" s="10"/>
      <c r="B15" s="13"/>
      <c r="C15" s="10"/>
      <c r="D15" s="14"/>
      <c r="E15" s="10" t="s">
        <v>79</v>
      </c>
      <c r="F15" s="10">
        <v>0</v>
      </c>
      <c r="G15" s="10">
        <v>5</v>
      </c>
      <c r="H15" s="17" t="s">
        <v>10</v>
      </c>
      <c r="I15" s="20" t="s">
        <v>10</v>
      </c>
      <c r="J15" s="20">
        <v>0</v>
      </c>
      <c r="K15" s="21">
        <f t="shared" si="4"/>
        <v>0</v>
      </c>
      <c r="L15" s="17" t="s">
        <v>79</v>
      </c>
      <c r="M15" s="17">
        <v>0</v>
      </c>
      <c r="N15" s="17">
        <v>5</v>
      </c>
      <c r="O15" s="24"/>
      <c r="P15" s="24"/>
      <c r="Q15" s="29">
        <f>SUM(Q4:Q14)</f>
        <v>1</v>
      </c>
      <c r="R15" s="29">
        <f>SUM(R4:R14)</f>
        <v>639.99999999999989</v>
      </c>
      <c r="S15" s="24" t="s">
        <v>10</v>
      </c>
      <c r="T15" s="24">
        <v>32</v>
      </c>
      <c r="U15" s="24">
        <v>0</v>
      </c>
      <c r="V15" s="24"/>
      <c r="W15" s="66"/>
      <c r="X15" s="66"/>
      <c r="Y15" s="70">
        <f>SUM(Y4:Y14)</f>
        <v>1</v>
      </c>
      <c r="Z15" s="70">
        <f>SUM(Z4:Z14)</f>
        <v>278</v>
      </c>
      <c r="AA15" s="66">
        <f>Z15/20</f>
        <v>13.9</v>
      </c>
      <c r="AB15" s="66"/>
      <c r="AF15" s="42" t="s">
        <v>20</v>
      </c>
      <c r="AG15" s="45" t="s">
        <v>49</v>
      </c>
      <c r="AH15" s="43">
        <f>4/23</f>
        <v>0.17391304347826086</v>
      </c>
      <c r="AI15" s="43">
        <f t="shared" si="2"/>
        <v>4</v>
      </c>
      <c r="AJ15" s="42">
        <f>AI15/20</f>
        <v>0.2</v>
      </c>
      <c r="AK15" s="42"/>
    </row>
    <row r="16" spans="1:37" x14ac:dyDescent="0.3">
      <c r="A16" s="10"/>
      <c r="B16" s="10"/>
      <c r="C16" s="16">
        <f>SUM(C5:C15)</f>
        <v>1</v>
      </c>
      <c r="D16" s="16">
        <f>SUM(D5:D15)</f>
        <v>1385</v>
      </c>
      <c r="E16" s="10" t="s">
        <v>79</v>
      </c>
      <c r="F16" s="10">
        <v>7</v>
      </c>
      <c r="G16" s="10">
        <v>15</v>
      </c>
      <c r="H16" s="17"/>
      <c r="I16" s="17"/>
      <c r="J16" s="23">
        <f>SUM(J5:J15)</f>
        <v>1</v>
      </c>
      <c r="K16" s="23">
        <f>SUM(K5:K15)</f>
        <v>1385</v>
      </c>
      <c r="L16" s="17" t="s">
        <v>79</v>
      </c>
      <c r="M16" s="17">
        <v>7</v>
      </c>
      <c r="N16" s="17">
        <v>15</v>
      </c>
      <c r="O16" s="24"/>
      <c r="P16" s="24"/>
      <c r="Q16" s="24"/>
      <c r="R16" s="24"/>
      <c r="S16" s="28" t="s">
        <v>10</v>
      </c>
      <c r="T16" s="24"/>
      <c r="U16" s="28">
        <f>R6+R5+R4+R13+R14+R8</f>
        <v>327</v>
      </c>
      <c r="V16" s="24">
        <v>0</v>
      </c>
      <c r="W16" s="66"/>
      <c r="X16" s="66"/>
      <c r="Y16" s="66"/>
      <c r="Z16" s="66"/>
      <c r="AA16" s="66"/>
      <c r="AB16" s="66"/>
      <c r="AC16" s="2">
        <f>R7+Z7</f>
        <v>122</v>
      </c>
      <c r="AF16" s="42"/>
      <c r="AG16" s="42"/>
      <c r="AH16" s="41">
        <f>SUM(AH4:AH15)</f>
        <v>1</v>
      </c>
      <c r="AI16" s="41">
        <f>SUM(AI4:AI15)</f>
        <v>23</v>
      </c>
      <c r="AJ16" s="42"/>
      <c r="AK16" s="42"/>
    </row>
    <row r="17" spans="1:40" x14ac:dyDescent="0.3">
      <c r="A17" s="10"/>
      <c r="B17" s="10"/>
      <c r="C17" s="10"/>
      <c r="D17" s="10"/>
      <c r="E17" s="10"/>
      <c r="F17" s="12">
        <f>SUM(F3:F16)</f>
        <v>66</v>
      </c>
      <c r="G17" s="12">
        <f>SUM(G3:G16)</f>
        <v>65</v>
      </c>
      <c r="H17" s="17"/>
      <c r="I17" s="17"/>
      <c r="J17" s="17"/>
      <c r="K17" s="17"/>
      <c r="L17" s="17"/>
      <c r="M17" s="19">
        <f>SUM(M3:M16)</f>
        <v>66</v>
      </c>
      <c r="N17" s="19">
        <f>SUM(N3:N16)</f>
        <v>65</v>
      </c>
      <c r="O17" s="24"/>
      <c r="P17" s="24">
        <f>97*4+97*4+979</f>
        <v>1755</v>
      </c>
      <c r="Q17" s="27" t="s">
        <v>57</v>
      </c>
      <c r="R17" s="27">
        <f>1755/5760</f>
        <v>0.3046875</v>
      </c>
      <c r="S17" s="24"/>
      <c r="T17" s="24"/>
      <c r="U17" s="24">
        <f>U16/20</f>
        <v>16.350000000000001</v>
      </c>
      <c r="V17" s="24"/>
      <c r="W17" s="66"/>
      <c r="X17" s="66"/>
      <c r="Y17" s="66"/>
      <c r="Z17" s="66"/>
      <c r="AA17" s="66"/>
      <c r="AB17" s="66"/>
      <c r="AF17" s="42"/>
      <c r="AG17" s="42"/>
      <c r="AH17" s="43"/>
      <c r="AI17" s="42"/>
      <c r="AJ17" s="42"/>
      <c r="AK17" s="42"/>
    </row>
    <row r="18" spans="1:40" x14ac:dyDescent="0.3">
      <c r="A18" s="10"/>
      <c r="B18" s="10">
        <f>97*4+97*4+979</f>
        <v>1755</v>
      </c>
      <c r="C18" s="13" t="s">
        <v>57</v>
      </c>
      <c r="D18" s="13">
        <f>1755/5760</f>
        <v>0.3046875</v>
      </c>
      <c r="E18" s="10"/>
      <c r="F18" s="12">
        <v>69</v>
      </c>
      <c r="G18" s="12">
        <v>5</v>
      </c>
      <c r="H18" s="17"/>
      <c r="I18" s="17">
        <f>97*4+97*4+979</f>
        <v>1755</v>
      </c>
      <c r="J18" s="20" t="s">
        <v>57</v>
      </c>
      <c r="K18" s="20">
        <f>1755/5760</f>
        <v>0.3046875</v>
      </c>
      <c r="L18" s="17"/>
      <c r="M18" s="19">
        <v>69</v>
      </c>
      <c r="N18" s="19">
        <v>5</v>
      </c>
      <c r="O18" s="24"/>
      <c r="P18" s="24"/>
      <c r="Q18" s="27" t="s">
        <v>58</v>
      </c>
      <c r="R18" s="24"/>
      <c r="S18" s="24"/>
      <c r="T18" s="24"/>
      <c r="U18" s="24"/>
      <c r="V18" s="24"/>
      <c r="W18" s="66"/>
      <c r="X18" s="66"/>
      <c r="Y18" s="66"/>
      <c r="Z18" s="66"/>
      <c r="AA18" s="66"/>
      <c r="AB18" s="66"/>
      <c r="AF18" s="42"/>
      <c r="AG18" s="42"/>
      <c r="AH18" s="43">
        <f>R4+Z4+AI4</f>
        <v>66</v>
      </c>
      <c r="AI18" s="42"/>
      <c r="AJ18" s="42"/>
      <c r="AK18" s="42"/>
    </row>
    <row r="19" spans="1:40" x14ac:dyDescent="0.3">
      <c r="A19" s="10"/>
      <c r="B19" s="10"/>
      <c r="C19" s="13" t="s">
        <v>58</v>
      </c>
      <c r="D19" s="10"/>
      <c r="E19" s="10"/>
      <c r="F19" s="10"/>
      <c r="G19" s="10"/>
      <c r="H19" s="17"/>
      <c r="I19" s="17"/>
      <c r="J19" s="20" t="s">
        <v>58</v>
      </c>
      <c r="K19" s="17"/>
      <c r="L19" s="17"/>
      <c r="M19" s="17"/>
      <c r="N19" s="17"/>
      <c r="O19" s="25" t="s">
        <v>19</v>
      </c>
      <c r="P19" s="25"/>
      <c r="Q19" s="27" t="s">
        <v>59</v>
      </c>
      <c r="R19" s="24"/>
      <c r="S19" s="28">
        <f>R10+R9</f>
        <v>53</v>
      </c>
      <c r="T19" s="24"/>
      <c r="U19" s="24"/>
      <c r="V19" s="24"/>
      <c r="W19" s="64"/>
      <c r="X19" s="64"/>
      <c r="Y19" s="64"/>
      <c r="Z19" s="66"/>
      <c r="AA19" s="66"/>
      <c r="AB19" s="66"/>
      <c r="AF19" s="40"/>
      <c r="AG19" s="40"/>
      <c r="AH19" s="41"/>
      <c r="AI19" s="42"/>
      <c r="AJ19" s="42"/>
      <c r="AK19" s="42"/>
    </row>
    <row r="20" spans="1:40" ht="21" x14ac:dyDescent="0.4">
      <c r="A20" s="12" t="s">
        <v>19</v>
      </c>
      <c r="B20" s="12"/>
      <c r="C20" s="13" t="s">
        <v>59</v>
      </c>
      <c r="D20" s="10"/>
      <c r="E20" s="10"/>
      <c r="F20" s="10"/>
      <c r="G20" s="10"/>
      <c r="H20" s="19" t="s">
        <v>19</v>
      </c>
      <c r="I20" s="19"/>
      <c r="J20" s="20" t="s">
        <v>59</v>
      </c>
      <c r="K20" s="17"/>
      <c r="L20" s="17"/>
      <c r="M20" s="17"/>
      <c r="N20" s="17"/>
      <c r="O20" s="24"/>
      <c r="P20" s="24">
        <f>557+281</f>
        <v>838</v>
      </c>
      <c r="Q20" s="24" t="s">
        <v>60</v>
      </c>
      <c r="R20" s="24">
        <f>838/3892</f>
        <v>0.21531346351490235</v>
      </c>
      <c r="S20" s="24"/>
      <c r="T20" s="28">
        <f>R6+R5+R4</f>
        <v>195</v>
      </c>
      <c r="U20" s="28">
        <f>R8+R14</f>
        <v>80.333333333333343</v>
      </c>
      <c r="V20" s="24"/>
      <c r="W20" s="66"/>
      <c r="X20" s="66"/>
      <c r="Y20" s="66"/>
      <c r="Z20" s="64"/>
      <c r="AA20" s="64"/>
      <c r="AB20" s="66"/>
      <c r="AC20" s="3">
        <v>78</v>
      </c>
      <c r="AF20" s="42"/>
      <c r="AG20" s="42"/>
      <c r="AH20" s="43"/>
      <c r="AI20" s="40"/>
      <c r="AJ20" s="40"/>
      <c r="AK20" s="44"/>
    </row>
    <row r="21" spans="1:40" x14ac:dyDescent="0.3">
      <c r="R21" s="2"/>
      <c r="S21" s="2"/>
      <c r="X21" s="4"/>
      <c r="Z21" s="2"/>
      <c r="AC21" s="4" t="s">
        <v>18</v>
      </c>
      <c r="AD21" s="2">
        <v>2.9</v>
      </c>
      <c r="AG21" s="8"/>
      <c r="AI21" s="2"/>
      <c r="AK21" s="4"/>
      <c r="AL21" s="2"/>
      <c r="AN21" s="2">
        <f>R21+AH21</f>
        <v>0</v>
      </c>
    </row>
    <row r="22" spans="1:40" ht="21.6" thickBot="1" x14ac:dyDescent="0.45">
      <c r="A22" s="40" t="s">
        <v>12</v>
      </c>
      <c r="B22" s="40"/>
      <c r="C22" s="54">
        <v>490</v>
      </c>
      <c r="D22" s="42"/>
      <c r="E22" s="42"/>
      <c r="F22" s="42"/>
      <c r="G22" s="43"/>
      <c r="H22" s="47" t="s">
        <v>12</v>
      </c>
      <c r="I22" s="47"/>
      <c r="J22" s="55">
        <v>491</v>
      </c>
      <c r="K22" s="49"/>
      <c r="L22" s="49"/>
      <c r="M22" s="49"/>
      <c r="N22" s="49"/>
      <c r="O22" s="56"/>
      <c r="P22" s="56"/>
      <c r="Q22" s="56"/>
      <c r="R22" s="57"/>
      <c r="S22" s="55">
        <v>492</v>
      </c>
      <c r="T22" s="56"/>
      <c r="U22" s="56"/>
      <c r="V22" s="56"/>
      <c r="W22" s="47" t="s">
        <v>12</v>
      </c>
      <c r="X22" s="55">
        <v>496</v>
      </c>
      <c r="Y22" s="62"/>
      <c r="Z22" s="49"/>
      <c r="AA22" s="49"/>
      <c r="AB22" s="49"/>
      <c r="AI22" s="2"/>
      <c r="AK22" s="3"/>
      <c r="AL22" s="2"/>
    </row>
    <row r="23" spans="1:40" ht="21.6" thickBot="1" x14ac:dyDescent="0.45">
      <c r="A23" s="42"/>
      <c r="B23" s="42"/>
      <c r="C23" s="42"/>
      <c r="D23" s="40">
        <v>614</v>
      </c>
      <c r="E23" s="40" t="s">
        <v>11</v>
      </c>
      <c r="F23" s="42"/>
      <c r="G23" s="43"/>
      <c r="H23" s="49"/>
      <c r="I23" s="49"/>
      <c r="J23" s="50"/>
      <c r="K23" s="47">
        <v>12</v>
      </c>
      <c r="L23" s="47" t="s">
        <v>11</v>
      </c>
      <c r="M23" s="51" t="s">
        <v>10</v>
      </c>
      <c r="N23" s="49"/>
      <c r="O23" s="56"/>
      <c r="P23" s="56"/>
      <c r="Q23" s="57"/>
      <c r="R23" s="58">
        <v>112</v>
      </c>
      <c r="S23" s="58" t="s">
        <v>11</v>
      </c>
      <c r="T23" s="59" t="s">
        <v>10</v>
      </c>
      <c r="U23" s="56"/>
      <c r="V23" s="56"/>
      <c r="W23" s="49"/>
      <c r="X23" s="49"/>
      <c r="Y23" s="49"/>
      <c r="Z23" s="47">
        <v>1980</v>
      </c>
      <c r="AA23" s="47" t="s">
        <v>11</v>
      </c>
      <c r="AB23" s="49"/>
      <c r="AC23" s="110" t="s">
        <v>143</v>
      </c>
      <c r="AD23" s="108">
        <v>496</v>
      </c>
      <c r="AE23" s="89">
        <v>761</v>
      </c>
      <c r="AF23" s="89" t="s">
        <v>138</v>
      </c>
      <c r="AG23" s="89"/>
      <c r="AH23" s="89" t="s">
        <v>139</v>
      </c>
      <c r="AI23" s="94" t="s">
        <v>140</v>
      </c>
      <c r="AJ23">
        <v>1</v>
      </c>
      <c r="AK23" s="4"/>
      <c r="AL23" s="2"/>
    </row>
    <row r="24" spans="1:40" ht="21.6" thickBot="1" x14ac:dyDescent="0.45">
      <c r="A24" s="42" t="s">
        <v>5</v>
      </c>
      <c r="B24" s="46" t="s">
        <v>56</v>
      </c>
      <c r="C24" s="42">
        <f>1/12</f>
        <v>8.3333333333333329E-2</v>
      </c>
      <c r="D24" s="43">
        <f>D$23*C24</f>
        <v>51.166666666666664</v>
      </c>
      <c r="E24" s="42"/>
      <c r="F24" s="42"/>
      <c r="G24" s="42"/>
      <c r="H24" s="49" t="s">
        <v>5</v>
      </c>
      <c r="I24" s="52" t="s">
        <v>55</v>
      </c>
      <c r="J24" s="50">
        <f>353/19170</f>
        <v>1.8414188836724049E-2</v>
      </c>
      <c r="K24" s="50">
        <f>K$23*J24</f>
        <v>0.22097026604068859</v>
      </c>
      <c r="L24" s="49"/>
      <c r="M24" s="53">
        <v>232</v>
      </c>
      <c r="N24" s="50">
        <v>0.3</v>
      </c>
      <c r="O24" s="56" t="s">
        <v>5</v>
      </c>
      <c r="P24" s="60" t="s">
        <v>55</v>
      </c>
      <c r="Q24" s="56">
        <f>353/19170</f>
        <v>1.8414188836724049E-2</v>
      </c>
      <c r="R24" s="57">
        <f>R$23*Q24</f>
        <v>2.0623891497130935</v>
      </c>
      <c r="S24" s="56"/>
      <c r="T24" s="59">
        <v>142</v>
      </c>
      <c r="U24" s="57" t="s">
        <v>10</v>
      </c>
      <c r="V24" s="56"/>
      <c r="W24" s="49" t="s">
        <v>5</v>
      </c>
      <c r="X24" s="53" t="s">
        <v>121</v>
      </c>
      <c r="Y24" s="53">
        <f>7/198</f>
        <v>3.5353535353535352E-2</v>
      </c>
      <c r="Z24" s="50">
        <f>Z$23*Y24</f>
        <v>70</v>
      </c>
      <c r="AA24" s="49"/>
      <c r="AB24" s="49"/>
      <c r="AC24" s="4" t="s">
        <v>144</v>
      </c>
      <c r="AD24" s="109">
        <v>496</v>
      </c>
      <c r="AE24" s="85">
        <v>761</v>
      </c>
      <c r="AF24" s="85" t="s">
        <v>141</v>
      </c>
      <c r="AG24" s="85"/>
      <c r="AH24" s="85" t="s">
        <v>139</v>
      </c>
      <c r="AI24" s="86" t="s">
        <v>142</v>
      </c>
      <c r="AK24">
        <v>3</v>
      </c>
      <c r="AL24" s="2"/>
    </row>
    <row r="25" spans="1:40" ht="30.6" thickBot="1" x14ac:dyDescent="0.45">
      <c r="A25" s="42" t="s">
        <v>4</v>
      </c>
      <c r="B25" s="46" t="s">
        <v>56</v>
      </c>
      <c r="C25" s="42">
        <f>1/12</f>
        <v>8.3333333333333329E-2</v>
      </c>
      <c r="D25" s="43">
        <f t="shared" ref="D25:D35" si="5">D$23*C25</f>
        <v>51.166666666666664</v>
      </c>
      <c r="E25" s="42"/>
      <c r="F25" s="42"/>
      <c r="G25" s="41"/>
      <c r="H25" s="49" t="s">
        <v>4</v>
      </c>
      <c r="I25" s="49"/>
      <c r="J25" s="50"/>
      <c r="K25" s="50">
        <f t="shared" ref="K25:K35" si="6">K$23*J25</f>
        <v>0</v>
      </c>
      <c r="L25" s="49"/>
      <c r="M25" s="51">
        <v>299</v>
      </c>
      <c r="N25" s="50">
        <v>0.6</v>
      </c>
      <c r="O25" s="56" t="s">
        <v>4</v>
      </c>
      <c r="P25" s="56"/>
      <c r="Q25" s="57"/>
      <c r="R25" s="57">
        <f t="shared" ref="R25:R35" si="7">R$23*Q25</f>
        <v>0</v>
      </c>
      <c r="S25" s="56"/>
      <c r="T25" s="60" t="s">
        <v>8</v>
      </c>
      <c r="U25" s="57">
        <v>5.12</v>
      </c>
      <c r="V25" s="56"/>
      <c r="W25" s="49" t="s">
        <v>147</v>
      </c>
      <c r="X25" s="53" t="s">
        <v>121</v>
      </c>
      <c r="Y25" s="53">
        <f>7/198</f>
        <v>3.5353535353535352E-2</v>
      </c>
      <c r="Z25" s="50">
        <f t="shared" ref="Z25:Z35" si="8">Z$23*Y25</f>
        <v>70</v>
      </c>
      <c r="AA25" s="49"/>
      <c r="AB25" s="49"/>
      <c r="AC25" s="4" t="s">
        <v>143</v>
      </c>
      <c r="AD25" s="108">
        <v>496</v>
      </c>
      <c r="AE25" s="89">
        <v>762</v>
      </c>
      <c r="AF25" s="89" t="s">
        <v>153</v>
      </c>
      <c r="AG25" s="89" t="s">
        <v>154</v>
      </c>
      <c r="AH25" s="89" t="s">
        <v>155</v>
      </c>
      <c r="AI25" s="97" t="s">
        <v>165</v>
      </c>
      <c r="AK25" s="3">
        <v>5</v>
      </c>
      <c r="AL25" s="2"/>
    </row>
    <row r="26" spans="1:40" ht="30.6" thickBot="1" x14ac:dyDescent="0.35">
      <c r="A26" s="42" t="s">
        <v>9</v>
      </c>
      <c r="B26" s="46" t="s">
        <v>51</v>
      </c>
      <c r="C26" s="42">
        <f>1/48</f>
        <v>2.0833333333333332E-2</v>
      </c>
      <c r="D26" s="43">
        <f t="shared" si="5"/>
        <v>12.791666666666666</v>
      </c>
      <c r="E26" s="42"/>
      <c r="F26" s="42"/>
      <c r="G26" s="42"/>
      <c r="H26" s="49" t="s">
        <v>9</v>
      </c>
      <c r="I26" s="49"/>
      <c r="J26" s="50"/>
      <c r="K26" s="50">
        <f t="shared" si="6"/>
        <v>0</v>
      </c>
      <c r="L26" s="49"/>
      <c r="M26" s="53">
        <v>490</v>
      </c>
      <c r="N26" s="50">
        <v>0.3</v>
      </c>
      <c r="O26" s="56" t="s">
        <v>9</v>
      </c>
      <c r="P26" s="56"/>
      <c r="Q26" s="57"/>
      <c r="R26" s="57">
        <f t="shared" si="7"/>
        <v>0</v>
      </c>
      <c r="S26" s="56"/>
      <c r="T26" s="60" t="s">
        <v>10</v>
      </c>
      <c r="U26" s="57" t="s">
        <v>10</v>
      </c>
      <c r="V26" s="56"/>
      <c r="W26" s="49" t="s">
        <v>9</v>
      </c>
      <c r="X26" s="53" t="s">
        <v>102</v>
      </c>
      <c r="Y26" s="53">
        <f>79/1980</f>
        <v>3.9898989898989899E-2</v>
      </c>
      <c r="Z26" s="50">
        <f t="shared" si="8"/>
        <v>79</v>
      </c>
      <c r="AA26" s="49"/>
      <c r="AB26" s="49"/>
      <c r="AC26" s="4" t="s">
        <v>145</v>
      </c>
      <c r="AD26" s="112">
        <v>496</v>
      </c>
      <c r="AE26" s="71">
        <v>762</v>
      </c>
      <c r="AF26" s="71" t="s">
        <v>156</v>
      </c>
      <c r="AG26" s="71" t="s">
        <v>154</v>
      </c>
      <c r="AH26" s="71" t="s">
        <v>155</v>
      </c>
      <c r="AI26" s="76" t="s">
        <v>157</v>
      </c>
      <c r="AJ26">
        <v>6</v>
      </c>
      <c r="AL26" s="2"/>
    </row>
    <row r="27" spans="1:40" ht="30.6" thickBot="1" x14ac:dyDescent="0.35">
      <c r="A27" s="42" t="s">
        <v>7</v>
      </c>
      <c r="B27" s="46" t="s">
        <v>50</v>
      </c>
      <c r="C27" s="42">
        <f>1/16</f>
        <v>6.25E-2</v>
      </c>
      <c r="D27" s="43">
        <f t="shared" si="5"/>
        <v>38.375</v>
      </c>
      <c r="E27" s="43">
        <f>D27+D25+D24</f>
        <v>140.70833333333331</v>
      </c>
      <c r="F27" s="42"/>
      <c r="G27" s="42"/>
      <c r="H27" s="49" t="s">
        <v>7</v>
      </c>
      <c r="I27" s="49"/>
      <c r="J27" s="50"/>
      <c r="K27" s="50">
        <f t="shared" si="6"/>
        <v>0</v>
      </c>
      <c r="L27" s="49"/>
      <c r="M27" s="49"/>
      <c r="N27" s="50"/>
      <c r="O27" s="56" t="s">
        <v>7</v>
      </c>
      <c r="P27" s="56"/>
      <c r="Q27" s="57"/>
      <c r="R27" s="57">
        <f t="shared" si="7"/>
        <v>0</v>
      </c>
      <c r="S27" s="56"/>
      <c r="T27" s="56"/>
      <c r="U27" s="57"/>
      <c r="V27" s="56"/>
      <c r="W27" s="49" t="s">
        <v>7</v>
      </c>
      <c r="X27" s="53" t="s">
        <v>149</v>
      </c>
      <c r="Y27" s="53">
        <f>19/220</f>
        <v>8.6363636363636365E-2</v>
      </c>
      <c r="Z27" s="50">
        <f t="shared" si="8"/>
        <v>171</v>
      </c>
      <c r="AA27" s="49"/>
      <c r="AB27" s="49"/>
      <c r="AC27" s="111" t="s">
        <v>146</v>
      </c>
      <c r="AD27" s="112">
        <v>496</v>
      </c>
      <c r="AE27" s="71">
        <v>762</v>
      </c>
      <c r="AF27" s="71" t="s">
        <v>158</v>
      </c>
      <c r="AG27" s="71" t="s">
        <v>154</v>
      </c>
      <c r="AH27" s="71" t="s">
        <v>155</v>
      </c>
      <c r="AI27" s="80" t="s">
        <v>166</v>
      </c>
      <c r="AJ27">
        <v>1</v>
      </c>
      <c r="AK27">
        <v>15</v>
      </c>
      <c r="AL27" s="2"/>
    </row>
    <row r="28" spans="1:40" ht="30.6" thickBot="1" x14ac:dyDescent="0.45">
      <c r="A28" s="42" t="s">
        <v>6</v>
      </c>
      <c r="B28" s="46" t="s">
        <v>52</v>
      </c>
      <c r="C28" s="42">
        <f>1/4</f>
        <v>0.25</v>
      </c>
      <c r="D28" s="43">
        <f t="shared" si="5"/>
        <v>153.5</v>
      </c>
      <c r="E28" s="42"/>
      <c r="F28" s="42"/>
      <c r="G28" s="42"/>
      <c r="H28" s="49" t="s">
        <v>6</v>
      </c>
      <c r="I28" s="49"/>
      <c r="J28" s="50"/>
      <c r="K28" s="50">
        <f t="shared" si="6"/>
        <v>0</v>
      </c>
      <c r="L28" s="49"/>
      <c r="M28" s="51"/>
      <c r="N28" s="50"/>
      <c r="O28" s="56" t="s">
        <v>6</v>
      </c>
      <c r="P28" s="56"/>
      <c r="Q28" s="57"/>
      <c r="R28" s="57">
        <f t="shared" si="7"/>
        <v>0</v>
      </c>
      <c r="S28" s="56"/>
      <c r="T28" s="59"/>
      <c r="U28" s="57"/>
      <c r="V28" s="56"/>
      <c r="W28" s="49" t="s">
        <v>6</v>
      </c>
      <c r="X28" s="53" t="s">
        <v>150</v>
      </c>
      <c r="Y28" s="53">
        <f>3/99</f>
        <v>3.0303030303030304E-2</v>
      </c>
      <c r="Z28" s="50">
        <f t="shared" si="8"/>
        <v>60</v>
      </c>
      <c r="AA28" s="49"/>
      <c r="AB28" s="49"/>
      <c r="AC28" s="3">
        <f>99*20</f>
        <v>1980</v>
      </c>
      <c r="AD28" s="112">
        <v>496</v>
      </c>
      <c r="AE28" s="71">
        <v>762</v>
      </c>
      <c r="AF28" s="71" t="s">
        <v>159</v>
      </c>
      <c r="AG28" s="71" t="s">
        <v>154</v>
      </c>
      <c r="AH28" s="71" t="s">
        <v>155</v>
      </c>
      <c r="AI28" s="76" t="s">
        <v>160</v>
      </c>
      <c r="AK28">
        <v>8</v>
      </c>
      <c r="AL28" s="1"/>
    </row>
    <row r="29" spans="1:40" ht="15.6" thickBot="1" x14ac:dyDescent="0.35">
      <c r="A29" s="42" t="s">
        <v>1</v>
      </c>
      <c r="B29" s="46" t="s">
        <v>53</v>
      </c>
      <c r="C29" s="42">
        <f>3/8</f>
        <v>0.375</v>
      </c>
      <c r="D29" s="43">
        <f t="shared" si="5"/>
        <v>230.25</v>
      </c>
      <c r="E29" s="42"/>
      <c r="F29" s="42"/>
      <c r="G29" s="42"/>
      <c r="H29" s="49" t="s">
        <v>5</v>
      </c>
      <c r="I29" s="49"/>
      <c r="J29" s="50"/>
      <c r="K29" s="50">
        <f t="shared" si="6"/>
        <v>0</v>
      </c>
      <c r="L29" s="49"/>
      <c r="M29" s="49"/>
      <c r="N29" s="50"/>
      <c r="O29" s="56" t="s">
        <v>5</v>
      </c>
      <c r="P29" s="56"/>
      <c r="Q29" s="57"/>
      <c r="R29" s="57">
        <f t="shared" si="7"/>
        <v>0</v>
      </c>
      <c r="S29" s="56"/>
      <c r="T29" s="56"/>
      <c r="U29" s="57"/>
      <c r="V29" s="56"/>
      <c r="W29" s="49" t="s">
        <v>151</v>
      </c>
      <c r="X29" s="49" t="s">
        <v>152</v>
      </c>
      <c r="Y29" s="49">
        <f>1/297</f>
        <v>3.3670033670033669E-3</v>
      </c>
      <c r="Z29" s="50">
        <f t="shared" si="8"/>
        <v>6.6666666666666661</v>
      </c>
      <c r="AA29" s="49"/>
      <c r="AB29" s="49"/>
      <c r="AD29" s="112">
        <v>496</v>
      </c>
      <c r="AE29" s="71">
        <v>762</v>
      </c>
      <c r="AF29" s="71" t="s">
        <v>161</v>
      </c>
      <c r="AG29" s="71" t="s">
        <v>162</v>
      </c>
      <c r="AH29" s="71" t="s">
        <v>155</v>
      </c>
      <c r="AI29" s="80" t="s">
        <v>167</v>
      </c>
      <c r="AJ29">
        <v>3</v>
      </c>
      <c r="AK29">
        <v>18</v>
      </c>
      <c r="AL29" s="2"/>
    </row>
    <row r="30" spans="1:40" ht="30.6" thickBot="1" x14ac:dyDescent="0.35">
      <c r="A30" s="42" t="s">
        <v>0</v>
      </c>
      <c r="B30" s="46" t="s">
        <v>54</v>
      </c>
      <c r="C30" s="42">
        <f>1/8</f>
        <v>0.125</v>
      </c>
      <c r="D30" s="43">
        <f t="shared" si="5"/>
        <v>76.75</v>
      </c>
      <c r="E30" s="42"/>
      <c r="F30" s="42"/>
      <c r="G30" s="42"/>
      <c r="H30" s="49" t="s">
        <v>4</v>
      </c>
      <c r="I30" s="49"/>
      <c r="J30" s="50"/>
      <c r="K30" s="50">
        <f t="shared" si="6"/>
        <v>0</v>
      </c>
      <c r="L30" s="49"/>
      <c r="M30" s="49"/>
      <c r="N30" s="50"/>
      <c r="O30" s="56" t="s">
        <v>4</v>
      </c>
      <c r="P30" s="56"/>
      <c r="Q30" s="57"/>
      <c r="R30" s="57">
        <f t="shared" si="7"/>
        <v>0</v>
      </c>
      <c r="S30" s="56"/>
      <c r="T30" s="56"/>
      <c r="U30" s="57"/>
      <c r="V30" s="56"/>
      <c r="W30" s="49" t="s">
        <v>4</v>
      </c>
      <c r="X30" s="53" t="s">
        <v>121</v>
      </c>
      <c r="Y30" s="53">
        <f>7/198</f>
        <v>3.5353535353535352E-2</v>
      </c>
      <c r="Z30" s="50">
        <f t="shared" si="8"/>
        <v>70</v>
      </c>
      <c r="AA30" s="49"/>
      <c r="AB30" s="49"/>
      <c r="AD30" s="112">
        <v>496</v>
      </c>
      <c r="AE30" s="71">
        <v>762</v>
      </c>
      <c r="AF30" s="71" t="s">
        <v>163</v>
      </c>
      <c r="AG30" s="71" t="s">
        <v>154</v>
      </c>
      <c r="AH30" s="71" t="s">
        <v>155</v>
      </c>
      <c r="AI30" s="80" t="s">
        <v>168</v>
      </c>
      <c r="AJ30">
        <v>2</v>
      </c>
      <c r="AK30">
        <v>18</v>
      </c>
    </row>
    <row r="31" spans="1:40" ht="30.6" thickBot="1" x14ac:dyDescent="0.35">
      <c r="A31" s="42"/>
      <c r="B31" s="42"/>
      <c r="C31" s="42"/>
      <c r="D31" s="43">
        <f t="shared" si="5"/>
        <v>0</v>
      </c>
      <c r="E31" s="42"/>
      <c r="F31" s="42"/>
      <c r="G31" s="42"/>
      <c r="H31" s="49" t="s">
        <v>3</v>
      </c>
      <c r="I31" s="49"/>
      <c r="J31" s="50"/>
      <c r="K31" s="50">
        <f t="shared" si="6"/>
        <v>0</v>
      </c>
      <c r="L31" s="49"/>
      <c r="M31" s="49"/>
      <c r="N31" s="48">
        <f>SUM(N24:N30)</f>
        <v>1.2</v>
      </c>
      <c r="O31" s="56" t="s">
        <v>3</v>
      </c>
      <c r="P31" s="56"/>
      <c r="Q31" s="57"/>
      <c r="R31" s="57">
        <f t="shared" si="7"/>
        <v>0</v>
      </c>
      <c r="S31" s="56"/>
      <c r="T31" s="56"/>
      <c r="U31" s="61" t="s">
        <v>10</v>
      </c>
      <c r="V31" s="56"/>
      <c r="W31" s="49" t="s">
        <v>3</v>
      </c>
      <c r="X31" s="49"/>
      <c r="Y31" s="49"/>
      <c r="Z31" s="50">
        <f t="shared" si="8"/>
        <v>0</v>
      </c>
      <c r="AA31" s="49"/>
      <c r="AB31" s="49"/>
      <c r="AD31" s="109">
        <v>496</v>
      </c>
      <c r="AE31" s="85">
        <v>762</v>
      </c>
      <c r="AF31" s="85" t="s">
        <v>164</v>
      </c>
      <c r="AG31" s="85" t="s">
        <v>154</v>
      </c>
      <c r="AH31" s="85" t="s">
        <v>155</v>
      </c>
      <c r="AI31" s="113" t="s">
        <v>169</v>
      </c>
      <c r="AJ31">
        <v>1</v>
      </c>
      <c r="AK31">
        <v>14</v>
      </c>
    </row>
    <row r="32" spans="1:40" ht="30.6" thickBot="1" x14ac:dyDescent="0.35">
      <c r="A32" s="42"/>
      <c r="B32" s="42"/>
      <c r="C32" s="42"/>
      <c r="D32" s="43">
        <f t="shared" si="5"/>
        <v>0</v>
      </c>
      <c r="E32" s="42"/>
      <c r="F32" s="42"/>
      <c r="G32" s="42"/>
      <c r="H32" s="49" t="s">
        <v>2</v>
      </c>
      <c r="I32" s="49"/>
      <c r="J32" s="50"/>
      <c r="K32" s="50">
        <f t="shared" si="6"/>
        <v>0</v>
      </c>
      <c r="L32" s="49"/>
      <c r="M32" s="49"/>
      <c r="N32" s="50">
        <f>12</f>
        <v>12</v>
      </c>
      <c r="O32" s="56" t="s">
        <v>2</v>
      </c>
      <c r="P32" s="56"/>
      <c r="Q32" s="57"/>
      <c r="R32" s="57">
        <f t="shared" si="7"/>
        <v>0</v>
      </c>
      <c r="S32" s="56"/>
      <c r="T32" s="56"/>
      <c r="U32" s="57" t="s">
        <v>10</v>
      </c>
      <c r="V32" s="56"/>
      <c r="W32" s="49" t="s">
        <v>2</v>
      </c>
      <c r="X32" s="53" t="s">
        <v>148</v>
      </c>
      <c r="Y32" s="53">
        <f>5/66</f>
        <v>7.575757575757576E-2</v>
      </c>
      <c r="Z32" s="50">
        <f t="shared" si="8"/>
        <v>150</v>
      </c>
      <c r="AA32" s="49"/>
      <c r="AB32" s="49"/>
      <c r="AD32" s="108">
        <v>496</v>
      </c>
      <c r="AE32" s="89">
        <v>763</v>
      </c>
      <c r="AF32" s="89" t="s">
        <v>170</v>
      </c>
      <c r="AG32" s="89" t="s">
        <v>154</v>
      </c>
      <c r="AH32" s="89" t="s">
        <v>171</v>
      </c>
      <c r="AI32" s="97" t="s">
        <v>174</v>
      </c>
      <c r="AJ32">
        <v>3</v>
      </c>
      <c r="AK32">
        <v>6</v>
      </c>
    </row>
    <row r="33" spans="1:37" ht="30.6" thickBot="1" x14ac:dyDescent="0.35">
      <c r="A33" s="42"/>
      <c r="B33" s="46"/>
      <c r="C33" s="42"/>
      <c r="D33" s="43"/>
      <c r="E33" s="42"/>
      <c r="F33" s="42"/>
      <c r="G33" s="42"/>
      <c r="H33" s="49" t="s">
        <v>1</v>
      </c>
      <c r="I33" s="49"/>
      <c r="J33" s="50"/>
      <c r="K33" s="50">
        <f t="shared" si="6"/>
        <v>0</v>
      </c>
      <c r="L33" s="49"/>
      <c r="M33" s="49"/>
      <c r="N33" s="49"/>
      <c r="O33" s="56" t="s">
        <v>1</v>
      </c>
      <c r="P33" s="56"/>
      <c r="Q33" s="57"/>
      <c r="R33" s="57">
        <f t="shared" si="7"/>
        <v>0</v>
      </c>
      <c r="S33" s="56"/>
      <c r="T33" s="56"/>
      <c r="U33" s="56"/>
      <c r="V33" s="56"/>
      <c r="W33" s="49" t="s">
        <v>1</v>
      </c>
      <c r="X33" s="53" t="s">
        <v>56</v>
      </c>
      <c r="Y33" s="53">
        <f>1/12</f>
        <v>8.3333333333333329E-2</v>
      </c>
      <c r="Z33" s="50">
        <f t="shared" si="8"/>
        <v>165</v>
      </c>
      <c r="AA33" s="49"/>
      <c r="AB33" s="49"/>
      <c r="AD33" s="112">
        <v>496</v>
      </c>
      <c r="AE33" s="71">
        <v>763</v>
      </c>
      <c r="AF33" s="71" t="s">
        <v>172</v>
      </c>
      <c r="AG33" s="71" t="s">
        <v>154</v>
      </c>
      <c r="AH33" s="71" t="s">
        <v>171</v>
      </c>
      <c r="AI33" s="80" t="s">
        <v>175</v>
      </c>
      <c r="AJ33">
        <v>3</v>
      </c>
      <c r="AK33">
        <v>16</v>
      </c>
    </row>
    <row r="34" spans="1:37" ht="30.6" thickBot="1" x14ac:dyDescent="0.35">
      <c r="A34" s="42"/>
      <c r="B34" s="46"/>
      <c r="C34" s="42"/>
      <c r="D34" s="43"/>
      <c r="E34" s="42"/>
      <c r="F34" s="42"/>
      <c r="G34" s="42"/>
      <c r="H34" s="49" t="s">
        <v>0</v>
      </c>
      <c r="I34" s="49"/>
      <c r="J34" s="50"/>
      <c r="K34" s="50">
        <f t="shared" si="6"/>
        <v>0</v>
      </c>
      <c r="L34" s="49"/>
      <c r="M34" s="49"/>
      <c r="N34" s="49"/>
      <c r="O34" s="56" t="s">
        <v>0</v>
      </c>
      <c r="P34" s="56"/>
      <c r="Q34" s="57"/>
      <c r="R34" s="57">
        <f t="shared" si="7"/>
        <v>0</v>
      </c>
      <c r="S34" s="56"/>
      <c r="T34" s="56"/>
      <c r="U34" s="56"/>
      <c r="V34" s="56"/>
      <c r="W34" s="49" t="s">
        <v>0</v>
      </c>
      <c r="X34" s="53" t="s">
        <v>56</v>
      </c>
      <c r="Y34" s="53">
        <f>1/12</f>
        <v>8.3333333333333329E-2</v>
      </c>
      <c r="Z34" s="50">
        <f t="shared" si="8"/>
        <v>165</v>
      </c>
      <c r="AA34" s="49"/>
      <c r="AB34" s="49"/>
      <c r="AD34" s="112">
        <v>496</v>
      </c>
      <c r="AE34" s="71">
        <v>763</v>
      </c>
      <c r="AF34" s="71" t="s">
        <v>164</v>
      </c>
      <c r="AG34" s="71" t="s">
        <v>154</v>
      </c>
      <c r="AH34" s="71" t="s">
        <v>155</v>
      </c>
      <c r="AI34" s="80" t="s">
        <v>176</v>
      </c>
      <c r="AJ34">
        <v>5</v>
      </c>
      <c r="AK34">
        <v>17</v>
      </c>
    </row>
    <row r="35" spans="1:37" ht="30.6" thickBot="1" x14ac:dyDescent="0.35">
      <c r="A35" s="42"/>
      <c r="B35" s="42"/>
      <c r="C35" s="42"/>
      <c r="D35" s="43">
        <f t="shared" si="5"/>
        <v>0</v>
      </c>
      <c r="E35" s="42">
        <f>D35/20</f>
        <v>0</v>
      </c>
      <c r="F35" s="42"/>
      <c r="G35" s="42"/>
      <c r="H35" s="49"/>
      <c r="I35" s="49"/>
      <c r="J35" s="50"/>
      <c r="K35" s="50">
        <f t="shared" si="6"/>
        <v>0</v>
      </c>
      <c r="L35" s="49">
        <f>K35/20</f>
        <v>0</v>
      </c>
      <c r="M35" s="49"/>
      <c r="N35" s="49"/>
      <c r="O35" s="56"/>
      <c r="P35" s="56"/>
      <c r="Q35" s="57"/>
      <c r="R35" s="57">
        <f t="shared" si="7"/>
        <v>0</v>
      </c>
      <c r="S35" s="56">
        <f>R35/20</f>
        <v>0</v>
      </c>
      <c r="T35" s="56"/>
      <c r="U35" s="56"/>
      <c r="V35" s="56"/>
      <c r="W35" s="49"/>
      <c r="X35" s="49"/>
      <c r="Y35" s="49"/>
      <c r="Z35" s="50">
        <f t="shared" si="8"/>
        <v>0</v>
      </c>
      <c r="AA35" s="49">
        <f>Z35/20</f>
        <v>0</v>
      </c>
      <c r="AB35" s="49"/>
      <c r="AD35" s="109">
        <v>496</v>
      </c>
      <c r="AE35" s="85">
        <v>763</v>
      </c>
      <c r="AF35" s="85" t="s">
        <v>173</v>
      </c>
      <c r="AG35" s="85" t="s">
        <v>154</v>
      </c>
      <c r="AH35" s="85" t="s">
        <v>155</v>
      </c>
      <c r="AI35" s="113" t="s">
        <v>177</v>
      </c>
      <c r="AJ35">
        <v>4</v>
      </c>
      <c r="AK35">
        <v>9</v>
      </c>
    </row>
    <row r="36" spans="1:37" ht="30.6" thickBot="1" x14ac:dyDescent="0.35">
      <c r="A36" s="42"/>
      <c r="B36" s="42"/>
      <c r="C36" s="41">
        <f>SUM(C24:C35)</f>
        <v>1</v>
      </c>
      <c r="D36" s="41">
        <f>SUM(D24:D35)</f>
        <v>614</v>
      </c>
      <c r="E36" s="42"/>
      <c r="F36" s="42"/>
      <c r="G36" s="42"/>
      <c r="H36" s="49"/>
      <c r="I36" s="49"/>
      <c r="J36" s="50"/>
      <c r="K36" s="48">
        <f>SUM(K24:K35)</f>
        <v>0.22097026604068859</v>
      </c>
      <c r="L36" s="49"/>
      <c r="M36" s="49"/>
      <c r="N36" s="49"/>
      <c r="O36" s="56"/>
      <c r="P36" s="56"/>
      <c r="Q36" s="57"/>
      <c r="R36" s="61">
        <f>SUM(R24:R35)</f>
        <v>2.0623891497130935</v>
      </c>
      <c r="S36" s="56"/>
      <c r="T36" s="56"/>
      <c r="U36" s="56"/>
      <c r="V36" s="56"/>
      <c r="W36" s="49"/>
      <c r="X36" s="49"/>
      <c r="Y36" s="48">
        <f>SUM(Y24:Y35)</f>
        <v>0.50841750841750843</v>
      </c>
      <c r="Z36" s="48">
        <f>SUM(Z24:Z35)</f>
        <v>1006.6666666666667</v>
      </c>
      <c r="AA36" s="49"/>
      <c r="AB36" s="49"/>
      <c r="AD36" s="108">
        <v>496</v>
      </c>
      <c r="AE36" s="89">
        <v>764</v>
      </c>
      <c r="AF36" s="89" t="s">
        <v>178</v>
      </c>
      <c r="AG36" s="89" t="s">
        <v>154</v>
      </c>
      <c r="AH36" s="89" t="s">
        <v>155</v>
      </c>
      <c r="AI36" s="80" t="s">
        <v>183</v>
      </c>
      <c r="AJ36">
        <v>7</v>
      </c>
      <c r="AK36">
        <v>7</v>
      </c>
    </row>
    <row r="37" spans="1:37" ht="30.6" thickBot="1" x14ac:dyDescent="0.35">
      <c r="J37" s="2"/>
      <c r="AD37" s="112">
        <v>496</v>
      </c>
      <c r="AE37" s="71">
        <v>764</v>
      </c>
      <c r="AF37" s="71" t="s">
        <v>179</v>
      </c>
      <c r="AG37" s="71" t="s">
        <v>154</v>
      </c>
      <c r="AH37" s="71" t="s">
        <v>155</v>
      </c>
      <c r="AI37" s="80" t="s">
        <v>183</v>
      </c>
      <c r="AJ37">
        <v>7</v>
      </c>
      <c r="AK37">
        <v>7</v>
      </c>
    </row>
    <row r="38" spans="1:37" ht="30.6" thickBot="1" x14ac:dyDescent="0.35">
      <c r="J38" s="2"/>
      <c r="P38" s="5"/>
      <c r="V38" s="5"/>
      <c r="W38" s="6"/>
      <c r="X38" s="6"/>
      <c r="AD38" s="112">
        <v>496</v>
      </c>
      <c r="AE38" s="71">
        <v>764</v>
      </c>
      <c r="AF38" s="71" t="s">
        <v>180</v>
      </c>
      <c r="AG38" s="71" t="s">
        <v>154</v>
      </c>
      <c r="AH38" s="71" t="s">
        <v>171</v>
      </c>
      <c r="AI38" s="80" t="s">
        <v>184</v>
      </c>
      <c r="AJ38">
        <v>6</v>
      </c>
      <c r="AK38">
        <v>12</v>
      </c>
    </row>
    <row r="39" spans="1:37" ht="30.6" thickBot="1" x14ac:dyDescent="0.45">
      <c r="Q39" s="5"/>
      <c r="R39" s="5"/>
      <c r="T39" s="3"/>
      <c r="Y39" s="5"/>
      <c r="Z39" s="5"/>
      <c r="AB39" s="3"/>
      <c r="AD39" s="109">
        <v>496</v>
      </c>
      <c r="AE39" s="85">
        <v>764</v>
      </c>
      <c r="AF39" s="85" t="s">
        <v>181</v>
      </c>
      <c r="AG39" s="85" t="s">
        <v>154</v>
      </c>
      <c r="AH39" s="85" t="s">
        <v>155</v>
      </c>
      <c r="AI39" s="86" t="s">
        <v>182</v>
      </c>
      <c r="AJ39" s="3">
        <v>0</v>
      </c>
      <c r="AK39">
        <v>4</v>
      </c>
    </row>
    <row r="40" spans="1:37" ht="30.6" thickBot="1" x14ac:dyDescent="0.35">
      <c r="O40" s="4"/>
      <c r="Q40" s="2"/>
      <c r="T40" s="4"/>
      <c r="U40" s="2"/>
      <c r="Y40" s="2"/>
      <c r="AB40" s="4"/>
      <c r="AC40" s="9"/>
      <c r="AD40" s="108">
        <v>496</v>
      </c>
      <c r="AE40" s="89">
        <v>765</v>
      </c>
      <c r="AF40" s="89" t="s">
        <v>185</v>
      </c>
      <c r="AG40" s="89" t="s">
        <v>154</v>
      </c>
      <c r="AH40" s="89" t="s">
        <v>155</v>
      </c>
      <c r="AI40" s="97" t="s">
        <v>186</v>
      </c>
      <c r="AJ40" s="4">
        <v>1</v>
      </c>
      <c r="AK40" s="2">
        <v>11</v>
      </c>
    </row>
    <row r="41" spans="1:37" ht="30.6" thickBot="1" x14ac:dyDescent="0.45">
      <c r="Q41" s="2"/>
      <c r="T41" s="3"/>
      <c r="U41" s="2"/>
      <c r="Y41" s="2"/>
      <c r="AB41" s="4"/>
      <c r="AC41" s="9"/>
      <c r="AD41" s="109">
        <v>496</v>
      </c>
      <c r="AE41" s="85">
        <v>765</v>
      </c>
      <c r="AF41" s="85" t="s">
        <v>158</v>
      </c>
      <c r="AG41" s="85" t="s">
        <v>154</v>
      </c>
      <c r="AH41" s="85" t="s">
        <v>155</v>
      </c>
      <c r="AI41" s="113" t="s">
        <v>187</v>
      </c>
      <c r="AJ41" s="3">
        <v>4</v>
      </c>
      <c r="AK41" s="2">
        <v>19</v>
      </c>
    </row>
    <row r="42" spans="1:37" ht="30.6" thickBot="1" x14ac:dyDescent="0.35">
      <c r="Q42" s="2"/>
      <c r="T42" s="4"/>
      <c r="U42" s="2"/>
      <c r="Y42" s="2"/>
      <c r="AB42" s="4"/>
      <c r="AC42" s="9"/>
      <c r="AD42" s="108">
        <v>496</v>
      </c>
      <c r="AE42" s="89">
        <v>766</v>
      </c>
      <c r="AF42" s="89" t="s">
        <v>188</v>
      </c>
      <c r="AG42" s="89" t="s">
        <v>154</v>
      </c>
      <c r="AH42" s="89" t="s">
        <v>155</v>
      </c>
      <c r="AI42" s="97" t="s">
        <v>193</v>
      </c>
      <c r="AJ42" s="4">
        <v>1</v>
      </c>
      <c r="AK42" s="2">
        <v>10</v>
      </c>
    </row>
    <row r="43" spans="1:37" ht="30.6" thickBot="1" x14ac:dyDescent="0.35">
      <c r="Q43" s="2"/>
      <c r="U43" s="2"/>
      <c r="Y43" s="2"/>
      <c r="AC43" s="9"/>
      <c r="AD43" s="112">
        <v>496</v>
      </c>
      <c r="AE43" s="71">
        <v>766</v>
      </c>
      <c r="AF43" s="71" t="s">
        <v>189</v>
      </c>
      <c r="AG43" s="71" t="s">
        <v>154</v>
      </c>
      <c r="AH43" s="71" t="s">
        <v>155</v>
      </c>
      <c r="AI43" s="80" t="s">
        <v>194</v>
      </c>
      <c r="AJ43">
        <v>3</v>
      </c>
      <c r="AK43" s="2">
        <v>10</v>
      </c>
    </row>
    <row r="44" spans="1:37" ht="30.6" thickBot="1" x14ac:dyDescent="0.45">
      <c r="Q44" s="2"/>
      <c r="T44" s="3"/>
      <c r="U44" s="2"/>
      <c r="Y44" s="2"/>
      <c r="AB44" s="3"/>
      <c r="AC44" s="9"/>
      <c r="AD44" s="112">
        <v>496</v>
      </c>
      <c r="AE44" s="71">
        <v>766</v>
      </c>
      <c r="AF44" s="71" t="s">
        <v>181</v>
      </c>
      <c r="AG44" s="71" t="s">
        <v>154</v>
      </c>
      <c r="AH44" s="71" t="s">
        <v>155</v>
      </c>
      <c r="AI44" s="76" t="s">
        <v>190</v>
      </c>
      <c r="AJ44" s="3"/>
      <c r="AK44" s="2">
        <v>19</v>
      </c>
    </row>
    <row r="45" spans="1:37" ht="30.6" thickBot="1" x14ac:dyDescent="0.35">
      <c r="Q45" s="2"/>
      <c r="U45" s="2"/>
      <c r="Y45" s="2"/>
      <c r="AC45" s="9"/>
      <c r="AD45" s="109">
        <v>496</v>
      </c>
      <c r="AE45" s="85">
        <v>766</v>
      </c>
      <c r="AF45" s="85" t="s">
        <v>191</v>
      </c>
      <c r="AG45" s="85" t="s">
        <v>154</v>
      </c>
      <c r="AH45" s="85" t="s">
        <v>155</v>
      </c>
      <c r="AI45" s="86" t="s">
        <v>192</v>
      </c>
      <c r="AJ45">
        <v>4</v>
      </c>
      <c r="AK45" s="2"/>
    </row>
    <row r="46" spans="1:37" ht="30.6" thickBot="1" x14ac:dyDescent="0.35">
      <c r="Q46" s="2"/>
      <c r="U46" s="2"/>
      <c r="Y46" s="2"/>
      <c r="AC46" s="9"/>
      <c r="AD46" s="114">
        <v>496</v>
      </c>
      <c r="AE46" s="82">
        <v>767</v>
      </c>
      <c r="AF46" s="82" t="s">
        <v>195</v>
      </c>
      <c r="AG46" s="82" t="s">
        <v>154</v>
      </c>
      <c r="AH46" s="82" t="s">
        <v>155</v>
      </c>
      <c r="AI46" s="87" t="s">
        <v>176</v>
      </c>
      <c r="AJ46">
        <v>5</v>
      </c>
      <c r="AK46" s="2">
        <v>17</v>
      </c>
    </row>
    <row r="47" spans="1:37" ht="30.6" thickBot="1" x14ac:dyDescent="0.35">
      <c r="Q47" s="2"/>
      <c r="U47" s="1"/>
      <c r="Y47" s="2"/>
      <c r="AC47" s="1"/>
      <c r="AD47" s="112">
        <v>496</v>
      </c>
      <c r="AE47" s="71">
        <v>767</v>
      </c>
      <c r="AF47" s="71" t="s">
        <v>196</v>
      </c>
      <c r="AG47" s="71" t="s">
        <v>154</v>
      </c>
      <c r="AH47" s="71" t="s">
        <v>155</v>
      </c>
      <c r="AI47" s="80" t="s">
        <v>166</v>
      </c>
      <c r="AJ47">
        <v>1</v>
      </c>
      <c r="AK47" s="1">
        <v>15</v>
      </c>
    </row>
    <row r="48" spans="1:37" ht="30.6" thickBot="1" x14ac:dyDescent="0.35">
      <c r="Q48" s="2"/>
      <c r="U48" s="2"/>
      <c r="Y48" s="2"/>
      <c r="AC48" s="2"/>
      <c r="AD48" s="112">
        <v>496</v>
      </c>
      <c r="AE48" s="71">
        <v>767</v>
      </c>
      <c r="AF48" s="71" t="s">
        <v>197</v>
      </c>
      <c r="AG48" s="71" t="s">
        <v>154</v>
      </c>
      <c r="AH48" s="71" t="s">
        <v>155</v>
      </c>
      <c r="AI48" s="80" t="s">
        <v>194</v>
      </c>
      <c r="AJ48">
        <v>3</v>
      </c>
      <c r="AK48" s="2">
        <v>10</v>
      </c>
    </row>
    <row r="49" spans="17:37" ht="30.6" thickBot="1" x14ac:dyDescent="0.35">
      <c r="Q49" s="2"/>
      <c r="Y49" s="2"/>
      <c r="AD49" s="112">
        <v>496</v>
      </c>
      <c r="AE49" s="71">
        <v>767</v>
      </c>
      <c r="AF49" s="71" t="s">
        <v>198</v>
      </c>
      <c r="AG49" s="71" t="s">
        <v>154</v>
      </c>
      <c r="AH49" s="71" t="s">
        <v>155</v>
      </c>
      <c r="AI49" s="76" t="s">
        <v>199</v>
      </c>
      <c r="AJ49">
        <v>2</v>
      </c>
    </row>
    <row r="50" spans="17:37" ht="30.6" thickBot="1" x14ac:dyDescent="0.35">
      <c r="Q50" s="2"/>
      <c r="Y50" s="2"/>
      <c r="AD50" s="109">
        <v>496</v>
      </c>
      <c r="AE50" s="85">
        <v>767</v>
      </c>
      <c r="AF50" s="85" t="s">
        <v>200</v>
      </c>
      <c r="AG50" s="85" t="s">
        <v>154</v>
      </c>
      <c r="AH50" s="85" t="s">
        <v>155</v>
      </c>
      <c r="AI50" s="86" t="s">
        <v>192</v>
      </c>
      <c r="AJ50">
        <v>4</v>
      </c>
    </row>
    <row r="51" spans="17:37" ht="30.6" thickBot="1" x14ac:dyDescent="0.35">
      <c r="Q51" s="2"/>
      <c r="Y51" s="2"/>
      <c r="AD51" s="115">
        <v>496</v>
      </c>
      <c r="AE51" s="116">
        <v>768</v>
      </c>
      <c r="AF51" s="116" t="s">
        <v>201</v>
      </c>
      <c r="AG51" s="116" t="s">
        <v>154</v>
      </c>
      <c r="AH51" s="116" t="s">
        <v>155</v>
      </c>
      <c r="AI51" s="117" t="s">
        <v>192</v>
      </c>
      <c r="AJ51">
        <v>4</v>
      </c>
    </row>
    <row r="52" spans="17:37" x14ac:dyDescent="0.3">
      <c r="Q52" s="1"/>
      <c r="Y52" s="1"/>
      <c r="AG52" s="2"/>
      <c r="AH52" s="1"/>
      <c r="AJ52" s="5">
        <f>SUM(AJ23:AJ51)</f>
        <v>81</v>
      </c>
      <c r="AK52" s="5">
        <f>SUM(AK23:AK51)</f>
        <v>270</v>
      </c>
    </row>
    <row r="53" spans="17:37" x14ac:dyDescent="0.3">
      <c r="AG53" s="2"/>
      <c r="AH53"/>
      <c r="AK53">
        <f>AK52/20</f>
        <v>13.5</v>
      </c>
    </row>
    <row r="54" spans="17:37" x14ac:dyDescent="0.3">
      <c r="AG54" s="2"/>
      <c r="AH54"/>
      <c r="AJ54">
        <v>94</v>
      </c>
      <c r="AK54">
        <v>10</v>
      </c>
    </row>
    <row r="55" spans="17:37" x14ac:dyDescent="0.3">
      <c r="AG55" s="2"/>
      <c r="AH55"/>
    </row>
    <row r="56" spans="17:37" x14ac:dyDescent="0.3">
      <c r="AG56" s="2"/>
      <c r="AH56"/>
    </row>
    <row r="57" spans="17:37" x14ac:dyDescent="0.3">
      <c r="AG57" s="2"/>
      <c r="AH57"/>
    </row>
    <row r="58" spans="17:37" x14ac:dyDescent="0.3">
      <c r="AG58" s="2"/>
      <c r="AH58"/>
    </row>
    <row r="59" spans="17:37" x14ac:dyDescent="0.3">
      <c r="AG59" s="2"/>
      <c r="AH59"/>
    </row>
    <row r="60" spans="17:37" x14ac:dyDescent="0.3">
      <c r="AG60" s="2"/>
      <c r="AH60"/>
    </row>
    <row r="61" spans="17:37" x14ac:dyDescent="0.3">
      <c r="AG61" s="2"/>
      <c r="AH61"/>
    </row>
    <row r="62" spans="17:37" x14ac:dyDescent="0.3">
      <c r="AG62" s="2"/>
      <c r="AH62"/>
    </row>
    <row r="63" spans="17:37" x14ac:dyDescent="0.3">
      <c r="AG63" s="2"/>
      <c r="AH63"/>
    </row>
    <row r="64" spans="17:37" x14ac:dyDescent="0.3">
      <c r="AG64" s="2"/>
      <c r="AH64"/>
    </row>
    <row r="65" spans="33:34" x14ac:dyDescent="0.3">
      <c r="AG65" s="2"/>
      <c r="AH65"/>
    </row>
    <row r="66" spans="33:34" x14ac:dyDescent="0.3">
      <c r="AG66" s="2"/>
      <c r="AH66"/>
    </row>
    <row r="67" spans="33:34" x14ac:dyDescent="0.3">
      <c r="AG67" s="2"/>
      <c r="AH67"/>
    </row>
    <row r="68" spans="33:34" x14ac:dyDescent="0.3">
      <c r="AG68" s="2"/>
      <c r="AH68"/>
    </row>
    <row r="69" spans="33:34" x14ac:dyDescent="0.3">
      <c r="AG69" s="2"/>
      <c r="AH6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78F9-C185-4442-B733-B8F206D468C2}">
  <dimension ref="A1:Z49"/>
  <sheetViews>
    <sheetView tabSelected="1" topLeftCell="H22" workbookViewId="0">
      <selection activeCell="Y38" sqref="Y38"/>
    </sheetView>
  </sheetViews>
  <sheetFormatPr defaultRowHeight="14.4" x14ac:dyDescent="0.3"/>
  <cols>
    <col min="1" max="2" width="11.33203125" customWidth="1"/>
    <col min="6" max="6" width="5.109375" customWidth="1"/>
    <col min="8" max="8" width="4.77734375" customWidth="1"/>
    <col min="9" max="9" width="15.5546875" customWidth="1"/>
    <col min="10" max="10" width="17.109375" customWidth="1"/>
    <col min="14" max="14" width="2.6640625" customWidth="1"/>
    <col min="17" max="17" width="6.6640625" customWidth="1"/>
    <col min="18" max="18" width="13.44140625" customWidth="1"/>
    <col min="20" max="20" width="8.88671875" style="2"/>
  </cols>
  <sheetData>
    <row r="1" spans="1:24" x14ac:dyDescent="0.3">
      <c r="A1" s="5" t="s">
        <v>12</v>
      </c>
      <c r="B1" s="5"/>
      <c r="C1" s="5">
        <v>483</v>
      </c>
      <c r="I1" s="5" t="s">
        <v>12</v>
      </c>
      <c r="J1" s="5"/>
      <c r="K1" s="5">
        <v>482</v>
      </c>
      <c r="R1" s="5" t="s">
        <v>12</v>
      </c>
      <c r="S1" s="5"/>
      <c r="T1" s="1">
        <v>484</v>
      </c>
    </row>
    <row r="2" spans="1:24" ht="21" x14ac:dyDescent="0.4">
      <c r="D2" s="5">
        <v>640</v>
      </c>
      <c r="E2" s="5" t="s">
        <v>11</v>
      </c>
      <c r="G2" s="3">
        <f>129</f>
        <v>129</v>
      </c>
      <c r="L2" s="5">
        <v>278</v>
      </c>
      <c r="M2" s="5" t="s">
        <v>11</v>
      </c>
      <c r="O2" s="3">
        <v>77</v>
      </c>
      <c r="U2" s="5">
        <v>23</v>
      </c>
      <c r="V2" s="5" t="s">
        <v>11</v>
      </c>
      <c r="W2" s="3">
        <v>78</v>
      </c>
    </row>
    <row r="3" spans="1:24" s="123" customFormat="1" ht="15.6" x14ac:dyDescent="0.3">
      <c r="A3" s="123" t="s">
        <v>5</v>
      </c>
      <c r="B3" s="124" t="s">
        <v>24</v>
      </c>
      <c r="C3" s="123">
        <f>97/1440</f>
        <v>6.7361111111111108E-2</v>
      </c>
      <c r="D3" s="125">
        <f t="shared" ref="D3:D13" si="0">D$2*C3</f>
        <v>43.111111111111107</v>
      </c>
      <c r="E3" s="124" t="s">
        <v>228</v>
      </c>
      <c r="G3" s="123">
        <v>17</v>
      </c>
      <c r="I3" s="123" t="s">
        <v>5</v>
      </c>
      <c r="J3" s="124" t="s">
        <v>34</v>
      </c>
      <c r="K3" s="123">
        <f>100/1251</f>
        <v>7.9936051159072735E-2</v>
      </c>
      <c r="L3" s="125">
        <f t="shared" ref="L3:L13" si="1">L$2*K3</f>
        <v>22.222222222222221</v>
      </c>
      <c r="M3" s="124" t="s">
        <v>227</v>
      </c>
      <c r="O3" s="123">
        <v>1</v>
      </c>
      <c r="P3" s="123">
        <v>6.19</v>
      </c>
      <c r="R3" s="123" t="s">
        <v>5</v>
      </c>
      <c r="S3" s="126" t="s">
        <v>43</v>
      </c>
      <c r="T3" s="125">
        <f>2/69</f>
        <v>2.8985507246376812E-2</v>
      </c>
      <c r="U3" s="125">
        <f t="shared" ref="U3:U14" si="2">U$2*T3</f>
        <v>0.66666666666666663</v>
      </c>
      <c r="W3" s="124" t="s">
        <v>23</v>
      </c>
      <c r="X3" s="123">
        <v>0.7</v>
      </c>
    </row>
    <row r="4" spans="1:24" x14ac:dyDescent="0.3">
      <c r="A4" t="s">
        <v>4</v>
      </c>
      <c r="B4" s="4" t="s">
        <v>24</v>
      </c>
      <c r="C4">
        <f>97/1440</f>
        <v>6.7361111111111108E-2</v>
      </c>
      <c r="D4" s="2">
        <f t="shared" si="0"/>
        <v>43.111111111111107</v>
      </c>
      <c r="G4">
        <v>18</v>
      </c>
      <c r="I4" t="s">
        <v>4</v>
      </c>
      <c r="J4" s="4" t="s">
        <v>34</v>
      </c>
      <c r="K4">
        <f>100/1251</f>
        <v>7.9936051159072735E-2</v>
      </c>
      <c r="L4" s="2">
        <f t="shared" si="1"/>
        <v>22.222222222222221</v>
      </c>
      <c r="O4">
        <v>2</v>
      </c>
      <c r="P4">
        <v>6.19</v>
      </c>
      <c r="R4" t="s">
        <v>4</v>
      </c>
      <c r="S4" s="8" t="s">
        <v>43</v>
      </c>
      <c r="T4" s="2">
        <f>2/69</f>
        <v>2.8985507246376812E-2</v>
      </c>
      <c r="U4" s="2">
        <f t="shared" si="2"/>
        <v>0.66666666666666663</v>
      </c>
      <c r="W4" s="4" t="s">
        <v>22</v>
      </c>
      <c r="X4">
        <v>0.8</v>
      </c>
    </row>
    <row r="5" spans="1:24" x14ac:dyDescent="0.3">
      <c r="A5" t="s">
        <v>17</v>
      </c>
      <c r="B5" s="4" t="s">
        <v>25</v>
      </c>
      <c r="C5">
        <f>979/5760</f>
        <v>0.16996527777777778</v>
      </c>
      <c r="D5" s="2">
        <f t="shared" si="0"/>
        <v>108.77777777777779</v>
      </c>
      <c r="G5">
        <v>23</v>
      </c>
      <c r="I5" t="s">
        <v>17</v>
      </c>
      <c r="J5" s="4" t="s">
        <v>35</v>
      </c>
      <c r="K5">
        <f>250/1251</f>
        <v>0.19984012789768185</v>
      </c>
      <c r="L5" s="2">
        <f t="shared" si="1"/>
        <v>55.555555555555557</v>
      </c>
      <c r="O5" t="s">
        <v>10</v>
      </c>
      <c r="P5">
        <f>SUM(P3:P4)</f>
        <v>12.38</v>
      </c>
      <c r="R5" t="s">
        <v>9</v>
      </c>
      <c r="S5" s="8" t="s">
        <v>44</v>
      </c>
      <c r="T5" s="2">
        <f>5/69</f>
        <v>7.2463768115942032E-2</v>
      </c>
      <c r="U5" s="2">
        <f t="shared" si="2"/>
        <v>1.6666666666666667</v>
      </c>
      <c r="W5" s="4" t="s">
        <v>21</v>
      </c>
      <c r="X5">
        <v>0.8</v>
      </c>
    </row>
    <row r="6" spans="1:24" x14ac:dyDescent="0.3">
      <c r="A6" t="s">
        <v>16</v>
      </c>
      <c r="B6" t="s">
        <v>26</v>
      </c>
      <c r="C6">
        <f>81/640</f>
        <v>0.12656249999999999</v>
      </c>
      <c r="D6" s="2">
        <f t="shared" si="0"/>
        <v>81</v>
      </c>
      <c r="G6">
        <v>24</v>
      </c>
      <c r="I6" t="s">
        <v>16</v>
      </c>
      <c r="J6" s="4" t="s">
        <v>36</v>
      </c>
      <c r="K6">
        <f>41/278</f>
        <v>0.14748201438848921</v>
      </c>
      <c r="L6" s="2">
        <f t="shared" si="1"/>
        <v>41</v>
      </c>
      <c r="O6" t="s">
        <v>10</v>
      </c>
      <c r="P6">
        <v>13.18</v>
      </c>
      <c r="R6" t="s">
        <v>16</v>
      </c>
      <c r="S6" s="8" t="s">
        <v>45</v>
      </c>
      <c r="T6" s="2">
        <f>1/46</f>
        <v>2.1739130434782608E-2</v>
      </c>
      <c r="U6" s="2">
        <f t="shared" si="2"/>
        <v>0.5</v>
      </c>
      <c r="W6" t="s">
        <v>10</v>
      </c>
      <c r="X6">
        <f>SUM(X3:X5)</f>
        <v>2.2999999999999998</v>
      </c>
    </row>
    <row r="7" spans="1:24" x14ac:dyDescent="0.3">
      <c r="A7" t="s">
        <v>15</v>
      </c>
      <c r="B7" s="4" t="s">
        <v>27</v>
      </c>
      <c r="C7">
        <f>43/480</f>
        <v>8.9583333333333334E-2</v>
      </c>
      <c r="D7" s="2">
        <f t="shared" si="0"/>
        <v>57.333333333333336</v>
      </c>
      <c r="E7" s="7">
        <f>D3+D4+D7</f>
        <v>143.55555555555554</v>
      </c>
      <c r="I7" t="s">
        <v>15</v>
      </c>
      <c r="J7" s="4" t="s">
        <v>37</v>
      </c>
      <c r="K7">
        <f>43/417</f>
        <v>0.10311750599520383</v>
      </c>
      <c r="L7" s="2">
        <f t="shared" si="1"/>
        <v>28.666666666666664</v>
      </c>
      <c r="P7">
        <f>260+18</f>
        <v>278</v>
      </c>
      <c r="R7" t="s">
        <v>15</v>
      </c>
      <c r="S7" s="8" t="s">
        <v>43</v>
      </c>
      <c r="T7" s="2">
        <f>2/69</f>
        <v>2.8985507246376812E-2</v>
      </c>
      <c r="U7" s="2">
        <f t="shared" si="2"/>
        <v>0.66666666666666663</v>
      </c>
      <c r="X7">
        <v>23</v>
      </c>
    </row>
    <row r="8" spans="1:24" x14ac:dyDescent="0.3">
      <c r="A8" t="s">
        <v>14</v>
      </c>
      <c r="B8" s="4" t="s">
        <v>28</v>
      </c>
      <c r="C8">
        <f>1/40</f>
        <v>2.5000000000000001E-2</v>
      </c>
      <c r="D8" s="2">
        <f t="shared" si="0"/>
        <v>16</v>
      </c>
      <c r="I8" t="s">
        <v>14</v>
      </c>
      <c r="J8" s="4" t="s">
        <v>38</v>
      </c>
      <c r="K8">
        <f>9/278</f>
        <v>3.237410071942446E-2</v>
      </c>
      <c r="L8" s="2">
        <f t="shared" si="1"/>
        <v>9</v>
      </c>
      <c r="R8" t="s">
        <v>14</v>
      </c>
      <c r="S8" s="8" t="s">
        <v>45</v>
      </c>
      <c r="T8" s="2">
        <f>1/46</f>
        <v>2.1739130434782608E-2</v>
      </c>
      <c r="U8" s="2">
        <f t="shared" si="2"/>
        <v>0.5</v>
      </c>
    </row>
    <row r="9" spans="1:24" x14ac:dyDescent="0.3">
      <c r="A9" t="s">
        <v>13</v>
      </c>
      <c r="B9" s="4" t="s">
        <v>29</v>
      </c>
      <c r="C9">
        <f>37/640</f>
        <v>5.7812500000000003E-2</v>
      </c>
      <c r="D9" s="2">
        <f t="shared" si="0"/>
        <v>37</v>
      </c>
      <c r="I9" t="s">
        <v>13</v>
      </c>
      <c r="J9" s="4" t="s">
        <v>39</v>
      </c>
      <c r="K9">
        <f>7/139</f>
        <v>5.0359712230215826E-2</v>
      </c>
      <c r="L9" s="2">
        <f t="shared" si="1"/>
        <v>14</v>
      </c>
      <c r="R9" t="s">
        <v>13</v>
      </c>
      <c r="S9" s="8" t="s">
        <v>45</v>
      </c>
      <c r="T9" s="2">
        <f>1/46</f>
        <v>2.1739130434782608E-2</v>
      </c>
      <c r="U9" s="2">
        <f t="shared" si="2"/>
        <v>0.5</v>
      </c>
    </row>
    <row r="10" spans="1:24" x14ac:dyDescent="0.3">
      <c r="A10" t="s">
        <v>3</v>
      </c>
      <c r="B10" s="4" t="s">
        <v>30</v>
      </c>
      <c r="C10">
        <f>89/640</f>
        <v>0.13906250000000001</v>
      </c>
      <c r="D10" s="2">
        <f t="shared" si="0"/>
        <v>89</v>
      </c>
      <c r="I10" t="s">
        <v>3</v>
      </c>
      <c r="J10" s="4" t="s">
        <v>40</v>
      </c>
      <c r="K10">
        <f>23/139</f>
        <v>0.16546762589928057</v>
      </c>
      <c r="L10" s="2">
        <f t="shared" si="1"/>
        <v>46</v>
      </c>
      <c r="R10" t="s">
        <v>3</v>
      </c>
      <c r="S10" s="8" t="s">
        <v>46</v>
      </c>
      <c r="T10" s="2">
        <f>3/46</f>
        <v>6.5217391304347824E-2</v>
      </c>
      <c r="U10" s="2">
        <f t="shared" si="2"/>
        <v>1.5</v>
      </c>
    </row>
    <row r="11" spans="1:24" x14ac:dyDescent="0.3">
      <c r="A11" t="s">
        <v>2</v>
      </c>
      <c r="B11" s="4" t="s">
        <v>31</v>
      </c>
      <c r="C11">
        <f>9/64</f>
        <v>0.140625</v>
      </c>
      <c r="D11" s="2">
        <f t="shared" si="0"/>
        <v>90</v>
      </c>
      <c r="I11" t="s">
        <v>2</v>
      </c>
      <c r="J11">
        <v>0</v>
      </c>
      <c r="K11">
        <v>0</v>
      </c>
      <c r="L11" s="2">
        <f t="shared" si="1"/>
        <v>0</v>
      </c>
      <c r="R11" t="s">
        <v>2</v>
      </c>
      <c r="S11" s="8" t="s">
        <v>47</v>
      </c>
      <c r="T11" s="2">
        <f>11/23</f>
        <v>0.47826086956521741</v>
      </c>
      <c r="U11" s="2">
        <f t="shared" si="2"/>
        <v>11</v>
      </c>
    </row>
    <row r="12" spans="1:24" x14ac:dyDescent="0.3">
      <c r="A12" t="s">
        <v>1</v>
      </c>
      <c r="B12" s="4" t="s">
        <v>32</v>
      </c>
      <c r="C12">
        <f>31/384</f>
        <v>8.0729166666666671E-2</v>
      </c>
      <c r="D12" s="2">
        <f t="shared" si="0"/>
        <v>51.666666666666671</v>
      </c>
      <c r="I12" t="s">
        <v>1</v>
      </c>
      <c r="J12" s="4" t="s">
        <v>41</v>
      </c>
      <c r="K12">
        <f>161/1668</f>
        <v>9.6522781774580332E-2</v>
      </c>
      <c r="L12" s="2">
        <f t="shared" si="1"/>
        <v>26.833333333333332</v>
      </c>
      <c r="R12" t="s">
        <v>1</v>
      </c>
      <c r="S12" s="8" t="s">
        <v>48</v>
      </c>
      <c r="T12" s="2">
        <f>5/138</f>
        <v>3.6231884057971016E-2</v>
      </c>
      <c r="U12" s="2">
        <f t="shared" si="2"/>
        <v>0.83333333333333337</v>
      </c>
    </row>
    <row r="13" spans="1:24" x14ac:dyDescent="0.3">
      <c r="A13" t="s">
        <v>0</v>
      </c>
      <c r="B13" s="4" t="s">
        <v>33</v>
      </c>
      <c r="C13">
        <f>23/640</f>
        <v>3.5937499999999997E-2</v>
      </c>
      <c r="D13" s="2">
        <f t="shared" si="0"/>
        <v>23</v>
      </c>
      <c r="I13" t="s">
        <v>0</v>
      </c>
      <c r="J13" s="4" t="s">
        <v>42</v>
      </c>
      <c r="K13">
        <f>25/556</f>
        <v>4.4964028776978415E-2</v>
      </c>
      <c r="L13" s="2">
        <f t="shared" si="1"/>
        <v>12.5</v>
      </c>
      <c r="R13" t="s">
        <v>0</v>
      </c>
      <c r="S13" s="8" t="s">
        <v>45</v>
      </c>
      <c r="T13" s="2">
        <f>1/46</f>
        <v>2.1739130434782608E-2</v>
      </c>
      <c r="U13" s="2">
        <f t="shared" si="2"/>
        <v>0.5</v>
      </c>
    </row>
    <row r="14" spans="1:24" x14ac:dyDescent="0.3">
      <c r="C14" s="1">
        <f>SUM(C3:C13)</f>
        <v>1</v>
      </c>
      <c r="D14" s="1">
        <f>SUM(D3:D13)</f>
        <v>639.99999999999989</v>
      </c>
      <c r="E14">
        <f>D14/20</f>
        <v>31.999999999999993</v>
      </c>
      <c r="K14" s="1">
        <f>SUM(K3:K13)</f>
        <v>1</v>
      </c>
      <c r="L14" s="1">
        <f>SUM(L3:L13)</f>
        <v>278</v>
      </c>
      <c r="M14">
        <f>L14/20</f>
        <v>13.9</v>
      </c>
      <c r="R14" t="s">
        <v>20</v>
      </c>
      <c r="S14" s="8" t="s">
        <v>49</v>
      </c>
      <c r="T14" s="2">
        <f>4/23</f>
        <v>0.17391304347826086</v>
      </c>
      <c r="U14" s="2">
        <f t="shared" si="2"/>
        <v>4</v>
      </c>
      <c r="V14">
        <f>U14/20</f>
        <v>0.2</v>
      </c>
    </row>
    <row r="15" spans="1:24" x14ac:dyDescent="0.3">
      <c r="E15" s="2" t="s">
        <v>10</v>
      </c>
      <c r="G15" s="2">
        <f>D5+D4+D3+D12+D13+D7</f>
        <v>327</v>
      </c>
      <c r="H15">
        <v>0</v>
      </c>
      <c r="T15" s="1">
        <f>SUM(T3:T14)</f>
        <v>1</v>
      </c>
      <c r="U15" s="1">
        <f>SUM(U3:U14)</f>
        <v>23</v>
      </c>
    </row>
    <row r="16" spans="1:24" x14ac:dyDescent="0.3">
      <c r="B16">
        <f>97*4+97*4+979</f>
        <v>1755</v>
      </c>
      <c r="C16" s="4" t="s">
        <v>57</v>
      </c>
      <c r="D16" s="4">
        <f>1755/5760</f>
        <v>0.3046875</v>
      </c>
      <c r="G16">
        <f>G15/20</f>
        <v>16.350000000000001</v>
      </c>
    </row>
    <row r="17" spans="1:26" x14ac:dyDescent="0.3">
      <c r="C17" s="4" t="s">
        <v>58</v>
      </c>
      <c r="T17" s="2">
        <f>D3+L3+U3</f>
        <v>66</v>
      </c>
    </row>
    <row r="18" spans="1:26" s="119" customFormat="1" ht="15.6" x14ac:dyDescent="0.3">
      <c r="A18" s="127" t="s">
        <v>19</v>
      </c>
      <c r="B18" s="127"/>
      <c r="C18" s="120" t="s">
        <v>59</v>
      </c>
      <c r="E18" s="121">
        <f>D7+D13</f>
        <v>80.333333333333343</v>
      </c>
      <c r="I18" s="127" t="s">
        <v>12</v>
      </c>
      <c r="J18" s="127" t="s">
        <v>229</v>
      </c>
      <c r="K18" s="127">
        <v>490</v>
      </c>
      <c r="R18" s="127" t="s">
        <v>12</v>
      </c>
      <c r="S18" s="127"/>
      <c r="T18" s="128">
        <v>491</v>
      </c>
    </row>
    <row r="19" spans="1:26" ht="21" x14ac:dyDescent="0.4">
      <c r="B19">
        <f>557+281</f>
        <v>838</v>
      </c>
      <c r="C19" t="s">
        <v>60</v>
      </c>
      <c r="D19">
        <f>838/3892</f>
        <v>0.21531346351490235</v>
      </c>
      <c r="L19" s="5">
        <v>614</v>
      </c>
      <c r="M19" s="5" t="s">
        <v>11</v>
      </c>
      <c r="O19" s="3">
        <v>78</v>
      </c>
      <c r="U19" s="5">
        <v>12</v>
      </c>
      <c r="V19" s="5" t="s">
        <v>11</v>
      </c>
      <c r="W19" s="3" t="s">
        <v>10</v>
      </c>
    </row>
    <row r="20" spans="1:26" s="119" customFormat="1" ht="15.6" x14ac:dyDescent="0.3">
      <c r="A20" s="119" t="s">
        <v>5</v>
      </c>
      <c r="D20" s="121">
        <f>D3+L3+U3+U20+D35+L35</f>
        <v>139.19238914971311</v>
      </c>
      <c r="E20" s="121">
        <f>D20+D35+U20+U35</f>
        <v>146.03078768909754</v>
      </c>
      <c r="G20" s="119">
        <f>E20/20</f>
        <v>7.3015393844548768</v>
      </c>
      <c r="I20" s="119" t="s">
        <v>5</v>
      </c>
      <c r="J20" s="120" t="s">
        <v>56</v>
      </c>
      <c r="K20" s="119">
        <f>1/12</f>
        <v>8.3333333333333329E-2</v>
      </c>
      <c r="L20" s="121">
        <f t="shared" ref="L20:L31" si="3">L$19*K20</f>
        <v>51.166666666666664</v>
      </c>
      <c r="M20" s="120" t="s">
        <v>228</v>
      </c>
      <c r="O20" s="120" t="s">
        <v>18</v>
      </c>
      <c r="P20" s="121">
        <v>2.9</v>
      </c>
      <c r="R20" s="119" t="s">
        <v>5</v>
      </c>
      <c r="S20" s="122" t="s">
        <v>55</v>
      </c>
      <c r="T20" s="121">
        <f>353/19170</f>
        <v>1.8414188836724049E-2</v>
      </c>
      <c r="U20" s="121">
        <v>1.1299999999999999</v>
      </c>
      <c r="W20" s="120">
        <v>232</v>
      </c>
      <c r="X20" s="121">
        <v>0.3</v>
      </c>
      <c r="Z20" s="121">
        <f>D20+T20</f>
        <v>139.21080333854982</v>
      </c>
    </row>
    <row r="21" spans="1:26" ht="21" x14ac:dyDescent="0.4">
      <c r="A21" t="s">
        <v>4</v>
      </c>
      <c r="D21" s="2">
        <f t="shared" ref="D21:D30" si="4">D4+L4+U4</f>
        <v>66</v>
      </c>
      <c r="I21" t="s">
        <v>4</v>
      </c>
      <c r="J21" s="4" t="s">
        <v>56</v>
      </c>
      <c r="K21">
        <f>1/12</f>
        <v>8.3333333333333329E-2</v>
      </c>
      <c r="L21" s="2">
        <f t="shared" si="3"/>
        <v>51.166666666666664</v>
      </c>
      <c r="O21" s="3">
        <v>141</v>
      </c>
      <c r="P21" s="2" t="s">
        <v>10</v>
      </c>
      <c r="R21" t="s">
        <v>4</v>
      </c>
      <c r="U21" s="2">
        <f t="shared" ref="U20:U31" si="5">U$19*T21</f>
        <v>0</v>
      </c>
      <c r="W21" s="3">
        <v>299</v>
      </c>
      <c r="X21" s="2">
        <v>0.6</v>
      </c>
    </row>
    <row r="22" spans="1:26" x14ac:dyDescent="0.3">
      <c r="A22" t="s">
        <v>17</v>
      </c>
      <c r="D22" s="2">
        <f t="shared" si="4"/>
        <v>166</v>
      </c>
      <c r="E22" s="2">
        <f>D22+D21+D20</f>
        <v>371.19238914971311</v>
      </c>
      <c r="G22">
        <f>E22/20</f>
        <v>18.559619457485656</v>
      </c>
      <c r="I22" t="s">
        <v>9</v>
      </c>
      <c r="J22" s="4" t="s">
        <v>51</v>
      </c>
      <c r="K22">
        <f>1/48</f>
        <v>2.0833333333333332E-2</v>
      </c>
      <c r="L22" s="2">
        <f t="shared" si="3"/>
        <v>12.791666666666666</v>
      </c>
      <c r="O22" s="4">
        <v>5</v>
      </c>
      <c r="P22" s="2">
        <v>7.11</v>
      </c>
      <c r="R22" t="s">
        <v>9</v>
      </c>
      <c r="U22" s="2">
        <f t="shared" si="5"/>
        <v>0</v>
      </c>
      <c r="W22" s="4">
        <v>490</v>
      </c>
      <c r="X22" s="2">
        <v>0.3</v>
      </c>
    </row>
    <row r="23" spans="1:26" x14ac:dyDescent="0.3">
      <c r="A23" t="s">
        <v>16</v>
      </c>
      <c r="D23" s="2">
        <f t="shared" si="4"/>
        <v>122.5</v>
      </c>
      <c r="I23" t="s">
        <v>7</v>
      </c>
      <c r="J23" s="4" t="s">
        <v>50</v>
      </c>
      <c r="K23">
        <f>1/16</f>
        <v>6.25E-2</v>
      </c>
      <c r="L23" s="2">
        <f t="shared" si="3"/>
        <v>38.375</v>
      </c>
      <c r="M23" s="2">
        <f>L23+L21+L20</f>
        <v>140.70833333333331</v>
      </c>
      <c r="O23">
        <v>6</v>
      </c>
      <c r="P23" s="2">
        <v>8</v>
      </c>
      <c r="R23" t="s">
        <v>7</v>
      </c>
      <c r="U23" s="2">
        <f t="shared" si="5"/>
        <v>0</v>
      </c>
      <c r="X23" s="2"/>
    </row>
    <row r="24" spans="1:26" ht="21" x14ac:dyDescent="0.4">
      <c r="A24" t="s">
        <v>15</v>
      </c>
      <c r="D24" s="2">
        <f t="shared" si="4"/>
        <v>86.666666666666671</v>
      </c>
      <c r="I24" t="s">
        <v>6</v>
      </c>
      <c r="J24" s="4" t="s">
        <v>52</v>
      </c>
      <c r="K24">
        <f>1/4</f>
        <v>0.25</v>
      </c>
      <c r="L24" s="2">
        <f t="shared" si="3"/>
        <v>153.5</v>
      </c>
      <c r="O24" s="3">
        <v>142</v>
      </c>
      <c r="P24" s="2" t="s">
        <v>10</v>
      </c>
      <c r="R24" t="s">
        <v>6</v>
      </c>
      <c r="U24" s="2">
        <f t="shared" si="5"/>
        <v>0</v>
      </c>
      <c r="W24" s="3"/>
      <c r="X24" s="2"/>
    </row>
    <row r="25" spans="1:26" x14ac:dyDescent="0.3">
      <c r="A25" t="s">
        <v>14</v>
      </c>
      <c r="D25" s="2">
        <f t="shared" si="4"/>
        <v>25.5</v>
      </c>
      <c r="I25" t="s">
        <v>5</v>
      </c>
      <c r="J25" s="4" t="s">
        <v>51</v>
      </c>
      <c r="K25">
        <v>0</v>
      </c>
      <c r="L25" s="2">
        <f t="shared" si="3"/>
        <v>0</v>
      </c>
      <c r="O25">
        <v>1</v>
      </c>
      <c r="P25" s="2">
        <v>5.2</v>
      </c>
      <c r="R25" t="s">
        <v>5</v>
      </c>
      <c r="U25" s="2">
        <f t="shared" si="5"/>
        <v>0</v>
      </c>
      <c r="X25" s="2"/>
    </row>
    <row r="26" spans="1:26" x14ac:dyDescent="0.3">
      <c r="A26" t="s">
        <v>13</v>
      </c>
      <c r="D26" s="2">
        <f t="shared" si="4"/>
        <v>51.5</v>
      </c>
      <c r="I26" t="s">
        <v>4</v>
      </c>
      <c r="J26" s="4" t="s">
        <v>51</v>
      </c>
      <c r="K26">
        <v>0</v>
      </c>
      <c r="L26" s="2">
        <f t="shared" si="3"/>
        <v>0</v>
      </c>
      <c r="O26">
        <v>10</v>
      </c>
      <c r="P26" s="2">
        <v>7.12</v>
      </c>
      <c r="R26" t="s">
        <v>4</v>
      </c>
      <c r="U26" s="2">
        <f t="shared" si="5"/>
        <v>0</v>
      </c>
      <c r="X26" s="2"/>
    </row>
    <row r="27" spans="1:26" x14ac:dyDescent="0.3">
      <c r="A27" t="s">
        <v>3</v>
      </c>
      <c r="D27" s="2">
        <f t="shared" si="4"/>
        <v>136.5</v>
      </c>
      <c r="I27" t="s">
        <v>3</v>
      </c>
      <c r="L27" s="2">
        <f t="shared" si="3"/>
        <v>0</v>
      </c>
      <c r="P27" s="1">
        <f>SUM(P20:P26)</f>
        <v>30.33</v>
      </c>
      <c r="R27" t="s">
        <v>3</v>
      </c>
      <c r="U27" s="2">
        <f t="shared" si="5"/>
        <v>0</v>
      </c>
      <c r="X27" s="1">
        <f>SUM(X20:X26)</f>
        <v>1.2</v>
      </c>
    </row>
    <row r="28" spans="1:26" x14ac:dyDescent="0.3">
      <c r="A28" t="s">
        <v>2</v>
      </c>
      <c r="D28" s="2">
        <f t="shared" si="4"/>
        <v>101</v>
      </c>
      <c r="I28" t="s">
        <v>2</v>
      </c>
      <c r="L28" s="2">
        <f t="shared" si="3"/>
        <v>0</v>
      </c>
      <c r="P28" s="2">
        <v>30.14</v>
      </c>
      <c r="R28" t="s">
        <v>2</v>
      </c>
      <c r="U28" s="2">
        <f t="shared" si="5"/>
        <v>0</v>
      </c>
      <c r="X28" s="2">
        <f>12</f>
        <v>12</v>
      </c>
    </row>
    <row r="29" spans="1:26" x14ac:dyDescent="0.3">
      <c r="A29" t="s">
        <v>1</v>
      </c>
      <c r="D29" s="2">
        <f t="shared" si="4"/>
        <v>79.333333333333329</v>
      </c>
      <c r="I29" t="s">
        <v>1</v>
      </c>
      <c r="J29" s="4" t="s">
        <v>53</v>
      </c>
      <c r="K29">
        <f>3/8</f>
        <v>0.375</v>
      </c>
      <c r="L29" s="2">
        <f t="shared" si="3"/>
        <v>230.25</v>
      </c>
      <c r="R29" t="s">
        <v>1</v>
      </c>
      <c r="U29" s="2">
        <f t="shared" si="5"/>
        <v>0</v>
      </c>
    </row>
    <row r="30" spans="1:26" x14ac:dyDescent="0.3">
      <c r="A30" t="s">
        <v>0</v>
      </c>
      <c r="D30" s="2">
        <f t="shared" si="4"/>
        <v>36</v>
      </c>
      <c r="I30" t="s">
        <v>0</v>
      </c>
      <c r="J30" s="4" t="s">
        <v>54</v>
      </c>
      <c r="K30">
        <f>1/8</f>
        <v>0.125</v>
      </c>
      <c r="L30" s="2">
        <f t="shared" si="3"/>
        <v>76.75</v>
      </c>
      <c r="R30" t="s">
        <v>0</v>
      </c>
      <c r="U30" s="2">
        <f t="shared" si="5"/>
        <v>0</v>
      </c>
    </row>
    <row r="31" spans="1:26" x14ac:dyDescent="0.3">
      <c r="L31" s="2">
        <f t="shared" si="3"/>
        <v>0</v>
      </c>
      <c r="M31">
        <f>L31/20</f>
        <v>0</v>
      </c>
      <c r="Q31" s="2">
        <f>L23+L22+L21+L20+L25+L26</f>
        <v>153.5</v>
      </c>
      <c r="U31" s="2">
        <f t="shared" si="5"/>
        <v>0</v>
      </c>
      <c r="V31">
        <f>U31/20</f>
        <v>0</v>
      </c>
    </row>
    <row r="32" spans="1:26" x14ac:dyDescent="0.3">
      <c r="K32" s="1">
        <f>SUM(K20:K31)</f>
        <v>1</v>
      </c>
      <c r="L32" s="1">
        <f>SUM(L20:L31)</f>
        <v>614</v>
      </c>
      <c r="U32" s="1">
        <f>SUM(U20:U31)</f>
        <v>1.1299999999999999</v>
      </c>
    </row>
    <row r="33" spans="1:24" s="119" customFormat="1" ht="15.6" x14ac:dyDescent="0.3">
      <c r="A33" s="127" t="s">
        <v>12</v>
      </c>
      <c r="B33" s="127"/>
      <c r="C33" s="127">
        <v>492</v>
      </c>
      <c r="I33" s="127" t="s">
        <v>12</v>
      </c>
      <c r="J33" s="129"/>
      <c r="K33" s="129">
        <v>496</v>
      </c>
      <c r="R33" s="127" t="s">
        <v>12</v>
      </c>
      <c r="S33" s="127"/>
      <c r="T33" s="130">
        <v>496</v>
      </c>
    </row>
    <row r="34" spans="1:24" ht="21" x14ac:dyDescent="0.4">
      <c r="D34" s="5">
        <v>112</v>
      </c>
      <c r="E34" s="5" t="s">
        <v>11</v>
      </c>
      <c r="G34" s="3" t="s">
        <v>10</v>
      </c>
      <c r="L34" s="5">
        <v>1980</v>
      </c>
      <c r="M34" s="5" t="s">
        <v>11</v>
      </c>
      <c r="O34" s="3">
        <v>142</v>
      </c>
      <c r="U34" s="5">
        <v>198</v>
      </c>
      <c r="V34" s="5" t="s">
        <v>11</v>
      </c>
      <c r="W34" s="3" t="s">
        <v>10</v>
      </c>
    </row>
    <row r="35" spans="1:24" x14ac:dyDescent="0.3">
      <c r="A35" t="s">
        <v>5</v>
      </c>
      <c r="B35" s="4" t="s">
        <v>55</v>
      </c>
      <c r="C35">
        <f>353/19170</f>
        <v>1.8414188836724049E-2</v>
      </c>
      <c r="D35" s="2">
        <f>D$34*C35</f>
        <v>2.0623891497130935</v>
      </c>
      <c r="G35" s="4" t="s">
        <v>10</v>
      </c>
      <c r="H35" s="2" t="s">
        <v>10</v>
      </c>
      <c r="I35" t="s">
        <v>5</v>
      </c>
      <c r="K35">
        <f>7/198</f>
        <v>3.5353535353535352E-2</v>
      </c>
      <c r="L35" s="2">
        <f>L$34*K35</f>
        <v>70</v>
      </c>
      <c r="M35" t="s">
        <v>230</v>
      </c>
      <c r="O35" s="4">
        <v>304</v>
      </c>
      <c r="P35" s="9">
        <v>1</v>
      </c>
      <c r="Q35" s="9">
        <v>0</v>
      </c>
      <c r="R35" t="s">
        <v>5</v>
      </c>
      <c r="S35" s="4" t="s">
        <v>55</v>
      </c>
      <c r="T35" s="2">
        <f>353/19170</f>
        <v>1.8414188836724049E-2</v>
      </c>
      <c r="U35" s="2">
        <f>U$34*T35</f>
        <v>3.6460093896713617</v>
      </c>
      <c r="W35" s="4" t="s">
        <v>10</v>
      </c>
      <c r="X35" s="2" t="s">
        <v>10</v>
      </c>
    </row>
    <row r="36" spans="1:24" ht="21" x14ac:dyDescent="0.4">
      <c r="A36" t="s">
        <v>4</v>
      </c>
      <c r="D36" s="2">
        <f t="shared" ref="D36:D46" si="6">D$19*C36</f>
        <v>0</v>
      </c>
      <c r="G36" s="3">
        <v>142</v>
      </c>
      <c r="H36" s="2" t="s">
        <v>10</v>
      </c>
      <c r="I36" t="s">
        <v>4</v>
      </c>
      <c r="L36" s="2">
        <f t="shared" ref="L36:L46" si="7">L$19*K36</f>
        <v>0</v>
      </c>
      <c r="O36" s="4">
        <v>493</v>
      </c>
      <c r="P36" s="9">
        <v>0</v>
      </c>
      <c r="Q36" s="9">
        <v>4</v>
      </c>
      <c r="R36" t="s">
        <v>4</v>
      </c>
      <c r="U36" s="2">
        <f t="shared" ref="U36:U46" si="8">U$19*T36</f>
        <v>0</v>
      </c>
      <c r="W36" s="3">
        <v>142</v>
      </c>
      <c r="X36" s="2" t="s">
        <v>10</v>
      </c>
    </row>
    <row r="37" spans="1:24" x14ac:dyDescent="0.3">
      <c r="A37" t="s">
        <v>9</v>
      </c>
      <c r="D37" s="2">
        <f t="shared" si="6"/>
        <v>0</v>
      </c>
      <c r="G37" s="4" t="s">
        <v>8</v>
      </c>
      <c r="H37" s="2">
        <v>5.12</v>
      </c>
      <c r="I37" t="s">
        <v>9</v>
      </c>
      <c r="L37" s="2">
        <f t="shared" si="7"/>
        <v>0</v>
      </c>
      <c r="O37" s="4">
        <v>77</v>
      </c>
      <c r="P37" s="9">
        <v>0</v>
      </c>
      <c r="Q37" s="9">
        <v>0</v>
      </c>
      <c r="R37" t="s">
        <v>9</v>
      </c>
      <c r="U37" s="2">
        <f t="shared" si="8"/>
        <v>0</v>
      </c>
      <c r="W37" s="4" t="s">
        <v>8</v>
      </c>
      <c r="X37" s="2">
        <v>5.12</v>
      </c>
    </row>
    <row r="38" spans="1:24" x14ac:dyDescent="0.3">
      <c r="A38" t="s">
        <v>7</v>
      </c>
      <c r="D38" s="2">
        <f t="shared" si="6"/>
        <v>0</v>
      </c>
      <c r="H38" s="2"/>
      <c r="I38" t="s">
        <v>7</v>
      </c>
      <c r="L38" s="2">
        <f t="shared" si="7"/>
        <v>0</v>
      </c>
      <c r="P38" s="9"/>
      <c r="Q38" s="9"/>
      <c r="R38" t="s">
        <v>7</v>
      </c>
      <c r="U38" s="2">
        <f t="shared" si="8"/>
        <v>0</v>
      </c>
      <c r="X38" s="2"/>
    </row>
    <row r="39" spans="1:24" ht="21" x14ac:dyDescent="0.4">
      <c r="A39" t="s">
        <v>6</v>
      </c>
      <c r="D39" s="2">
        <f t="shared" si="6"/>
        <v>0</v>
      </c>
      <c r="G39" s="3"/>
      <c r="H39" s="2"/>
      <c r="I39" t="s">
        <v>6</v>
      </c>
      <c r="L39" s="2">
        <f t="shared" si="7"/>
        <v>0</v>
      </c>
      <c r="O39" s="3"/>
      <c r="P39" s="9"/>
      <c r="Q39" s="9"/>
      <c r="R39" t="s">
        <v>6</v>
      </c>
      <c r="U39" s="2">
        <f t="shared" si="8"/>
        <v>0</v>
      </c>
      <c r="W39" s="3"/>
      <c r="X39" s="2"/>
    </row>
    <row r="40" spans="1:24" x14ac:dyDescent="0.3">
      <c r="A40" t="s">
        <v>5</v>
      </c>
      <c r="D40" s="2">
        <f t="shared" si="6"/>
        <v>0</v>
      </c>
      <c r="H40" s="2"/>
      <c r="I40" t="s">
        <v>5</v>
      </c>
      <c r="L40" s="2">
        <f t="shared" si="7"/>
        <v>0</v>
      </c>
      <c r="P40" s="9"/>
      <c r="Q40" s="9"/>
      <c r="R40" t="s">
        <v>5</v>
      </c>
      <c r="U40" s="2">
        <f t="shared" si="8"/>
        <v>0</v>
      </c>
      <c r="X40" s="2"/>
    </row>
    <row r="41" spans="1:24" x14ac:dyDescent="0.3">
      <c r="A41" t="s">
        <v>4</v>
      </c>
      <c r="D41" s="2">
        <f t="shared" si="6"/>
        <v>0</v>
      </c>
      <c r="H41" s="2"/>
      <c r="I41" t="s">
        <v>4</v>
      </c>
      <c r="L41" s="2">
        <f t="shared" si="7"/>
        <v>0</v>
      </c>
      <c r="P41" s="9"/>
      <c r="Q41" s="9"/>
      <c r="R41" t="s">
        <v>4</v>
      </c>
      <c r="U41" s="2">
        <f t="shared" si="8"/>
        <v>0</v>
      </c>
      <c r="X41" s="2"/>
    </row>
    <row r="42" spans="1:24" x14ac:dyDescent="0.3">
      <c r="A42" t="s">
        <v>3</v>
      </c>
      <c r="D42" s="2">
        <f t="shared" si="6"/>
        <v>0</v>
      </c>
      <c r="H42" s="1">
        <f>SUM(H35:H41)</f>
        <v>5.12</v>
      </c>
      <c r="I42" t="s">
        <v>3</v>
      </c>
      <c r="L42" s="2">
        <f t="shared" si="7"/>
        <v>0</v>
      </c>
      <c r="P42" s="1">
        <f>SUM(P35:P41)</f>
        <v>1</v>
      </c>
      <c r="Q42" s="1">
        <f>SUM(Q35:Q41)</f>
        <v>4</v>
      </c>
      <c r="R42" t="s">
        <v>3</v>
      </c>
      <c r="U42" s="2">
        <f t="shared" si="8"/>
        <v>0</v>
      </c>
      <c r="X42" s="1">
        <f>SUM(X35:X41)</f>
        <v>5.12</v>
      </c>
    </row>
    <row r="43" spans="1:24" x14ac:dyDescent="0.3">
      <c r="A43" t="s">
        <v>2</v>
      </c>
      <c r="D43" s="2">
        <f t="shared" si="6"/>
        <v>0</v>
      </c>
      <c r="H43" s="2">
        <f>12</f>
        <v>12</v>
      </c>
      <c r="I43" t="s">
        <v>2</v>
      </c>
      <c r="L43" s="2">
        <f t="shared" si="7"/>
        <v>0</v>
      </c>
      <c r="P43" s="2">
        <f>12</f>
        <v>12</v>
      </c>
      <c r="R43" t="s">
        <v>2</v>
      </c>
      <c r="U43" s="2">
        <f t="shared" si="8"/>
        <v>0</v>
      </c>
      <c r="X43" s="2">
        <f>12</f>
        <v>12</v>
      </c>
    </row>
    <row r="44" spans="1:24" x14ac:dyDescent="0.3">
      <c r="A44" t="s">
        <v>1</v>
      </c>
      <c r="D44" s="2">
        <f t="shared" si="6"/>
        <v>0</v>
      </c>
      <c r="I44" t="s">
        <v>1</v>
      </c>
      <c r="L44" s="2">
        <f t="shared" si="7"/>
        <v>0</v>
      </c>
      <c r="R44" t="s">
        <v>1</v>
      </c>
      <c r="U44" s="2">
        <f t="shared" si="8"/>
        <v>0</v>
      </c>
    </row>
    <row r="45" spans="1:24" x14ac:dyDescent="0.3">
      <c r="A45" t="s">
        <v>0</v>
      </c>
      <c r="D45" s="2">
        <f t="shared" si="6"/>
        <v>0</v>
      </c>
      <c r="I45" t="s">
        <v>0</v>
      </c>
      <c r="L45" s="2">
        <f t="shared" si="7"/>
        <v>0</v>
      </c>
      <c r="R45" t="s">
        <v>0</v>
      </c>
      <c r="U45" s="2">
        <f t="shared" si="8"/>
        <v>0</v>
      </c>
    </row>
    <row r="46" spans="1:24" x14ac:dyDescent="0.3">
      <c r="D46" s="2">
        <f t="shared" si="6"/>
        <v>0</v>
      </c>
      <c r="E46">
        <f>D46/20</f>
        <v>0</v>
      </c>
      <c r="L46" s="2">
        <f t="shared" si="7"/>
        <v>0</v>
      </c>
      <c r="M46">
        <f>L46/20</f>
        <v>0</v>
      </c>
      <c r="U46" s="2">
        <f t="shared" si="8"/>
        <v>0</v>
      </c>
      <c r="V46">
        <f>U46/20</f>
        <v>0</v>
      </c>
    </row>
    <row r="47" spans="1:24" x14ac:dyDescent="0.3">
      <c r="D47" s="1">
        <f>SUM(D35:D46)</f>
        <v>2.0623891497130935</v>
      </c>
      <c r="L47" s="1">
        <f>SUM(L35:L46)</f>
        <v>70</v>
      </c>
      <c r="U47" s="1">
        <f>SUM(U35:U46)</f>
        <v>3.6460093896713617</v>
      </c>
    </row>
    <row r="49" spans="11:11" x14ac:dyDescent="0.3">
      <c r="K49">
        <f>70*198/7</f>
        <v>1980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916E-2606-4898-8DBB-FD281C1D9B92}">
  <dimension ref="B3:E21"/>
  <sheetViews>
    <sheetView workbookViewId="0">
      <selection activeCell="H6" sqref="H6"/>
    </sheetView>
  </sheetViews>
  <sheetFormatPr defaultRowHeight="14.4" x14ac:dyDescent="0.3"/>
  <sheetData>
    <row r="3" spans="2:5" x14ac:dyDescent="0.3">
      <c r="B3" t="s">
        <v>211</v>
      </c>
      <c r="E3" t="s">
        <v>204</v>
      </c>
    </row>
    <row r="4" spans="2:5" x14ac:dyDescent="0.3">
      <c r="B4" t="s">
        <v>212</v>
      </c>
      <c r="E4" t="s">
        <v>205</v>
      </c>
    </row>
    <row r="5" spans="2:5" x14ac:dyDescent="0.3">
      <c r="B5" t="s">
        <v>213</v>
      </c>
      <c r="E5" t="s">
        <v>206</v>
      </c>
    </row>
    <row r="6" spans="2:5" x14ac:dyDescent="0.3">
      <c r="B6" t="s">
        <v>214</v>
      </c>
      <c r="E6" t="s">
        <v>207</v>
      </c>
    </row>
    <row r="7" spans="2:5" x14ac:dyDescent="0.3">
      <c r="B7" t="s">
        <v>215</v>
      </c>
      <c r="E7" t="s">
        <v>208</v>
      </c>
    </row>
    <row r="8" spans="2:5" x14ac:dyDescent="0.3">
      <c r="B8" t="s">
        <v>216</v>
      </c>
      <c r="E8" t="s">
        <v>209</v>
      </c>
    </row>
    <row r="9" spans="2:5" x14ac:dyDescent="0.3">
      <c r="B9" t="s">
        <v>217</v>
      </c>
      <c r="E9" t="s">
        <v>210</v>
      </c>
    </row>
    <row r="12" spans="2:5" x14ac:dyDescent="0.3">
      <c r="B12" t="s">
        <v>226</v>
      </c>
      <c r="E12" t="s">
        <v>218</v>
      </c>
    </row>
    <row r="13" spans="2:5" x14ac:dyDescent="0.3">
      <c r="E13" t="s">
        <v>219</v>
      </c>
    </row>
    <row r="14" spans="2:5" x14ac:dyDescent="0.3">
      <c r="E14" t="s">
        <v>220</v>
      </c>
    </row>
    <row r="15" spans="2:5" x14ac:dyDescent="0.3">
      <c r="E15" t="s">
        <v>221</v>
      </c>
    </row>
    <row r="16" spans="2:5" x14ac:dyDescent="0.3">
      <c r="E16" t="s">
        <v>222</v>
      </c>
    </row>
    <row r="17" spans="2:5" x14ac:dyDescent="0.3">
      <c r="E17" t="s">
        <v>223</v>
      </c>
    </row>
    <row r="18" spans="2:5" x14ac:dyDescent="0.3">
      <c r="E18" t="s">
        <v>224</v>
      </c>
    </row>
    <row r="21" spans="2:5" x14ac:dyDescent="0.3">
      <c r="B21" t="s">
        <v>225</v>
      </c>
      <c r="E21">
        <f>366000*2</f>
        <v>732000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2"/>
  <sheetViews>
    <sheetView topLeftCell="A36" workbookViewId="0">
      <selection activeCell="L55" sqref="L55"/>
    </sheetView>
  </sheetViews>
  <sheetFormatPr defaultRowHeight="14.4" x14ac:dyDescent="0.3"/>
  <cols>
    <col min="5" max="5" width="15" customWidth="1"/>
    <col min="6" max="6" width="15.21875" customWidth="1"/>
    <col min="7" max="7" width="17" customWidth="1"/>
    <col min="8" max="8" width="14.88671875" customWidth="1"/>
  </cols>
  <sheetData>
    <row r="1" spans="2:12" ht="15" thickBot="1" x14ac:dyDescent="0.35"/>
    <row r="2" spans="2:12" ht="31.8" thickBot="1" x14ac:dyDescent="0.35">
      <c r="B2" s="72" t="s">
        <v>87</v>
      </c>
      <c r="C2" s="73" t="s">
        <v>12</v>
      </c>
      <c r="D2" s="73" t="s">
        <v>88</v>
      </c>
      <c r="E2" s="73" t="s">
        <v>89</v>
      </c>
      <c r="F2" s="73" t="s">
        <v>90</v>
      </c>
      <c r="G2" s="73" t="s">
        <v>91</v>
      </c>
      <c r="H2" s="74" t="s">
        <v>92</v>
      </c>
    </row>
    <row r="3" spans="2:12" ht="32.4" thickTop="1" thickBot="1" x14ac:dyDescent="0.35">
      <c r="B3" s="75" t="s">
        <v>87</v>
      </c>
      <c r="C3" s="71">
        <v>307</v>
      </c>
      <c r="D3" s="71">
        <v>509</v>
      </c>
      <c r="E3" s="71" t="s">
        <v>93</v>
      </c>
      <c r="F3" s="71" t="s">
        <v>94</v>
      </c>
      <c r="G3" s="71" t="s">
        <v>95</v>
      </c>
      <c r="H3" s="76" t="s">
        <v>96</v>
      </c>
      <c r="K3" s="96" t="s">
        <v>122</v>
      </c>
      <c r="L3">
        <f>7731*3</f>
        <v>23193</v>
      </c>
    </row>
    <row r="4" spans="2:12" ht="15.6" thickBot="1" x14ac:dyDescent="0.35">
      <c r="B4" s="75" t="s">
        <v>87</v>
      </c>
      <c r="C4" s="71">
        <v>316</v>
      </c>
      <c r="D4" s="71">
        <v>523</v>
      </c>
      <c r="E4" s="71" t="s">
        <v>93</v>
      </c>
      <c r="F4" s="71" t="s">
        <v>94</v>
      </c>
      <c r="G4" s="71" t="s">
        <v>95</v>
      </c>
      <c r="H4" s="80" t="s">
        <v>98</v>
      </c>
    </row>
    <row r="5" spans="2:12" ht="15.6" thickBot="1" x14ac:dyDescent="0.35">
      <c r="B5" s="75" t="s">
        <v>87</v>
      </c>
      <c r="C5" s="71">
        <v>384</v>
      </c>
      <c r="D5" s="71">
        <v>618</v>
      </c>
      <c r="E5" s="71" t="s">
        <v>93</v>
      </c>
      <c r="F5" s="71" t="s">
        <v>94</v>
      </c>
      <c r="G5" s="71" t="s">
        <v>95</v>
      </c>
      <c r="H5" s="80" t="s">
        <v>99</v>
      </c>
    </row>
    <row r="6" spans="2:12" ht="15.6" thickBot="1" x14ac:dyDescent="0.35">
      <c r="B6" s="75" t="s">
        <v>87</v>
      </c>
      <c r="C6" s="71">
        <v>477</v>
      </c>
      <c r="D6" s="71">
        <v>737</v>
      </c>
      <c r="E6" s="71" t="s">
        <v>93</v>
      </c>
      <c r="F6" s="71" t="s">
        <v>94</v>
      </c>
      <c r="G6" s="71" t="s">
        <v>95</v>
      </c>
      <c r="H6" s="76" t="s">
        <v>97</v>
      </c>
    </row>
    <row r="7" spans="2:12" ht="15.6" thickBot="1" x14ac:dyDescent="0.35">
      <c r="B7" s="75" t="s">
        <v>87</v>
      </c>
      <c r="C7" s="71">
        <v>482</v>
      </c>
      <c r="D7" s="71">
        <v>742</v>
      </c>
      <c r="E7" s="71" t="s">
        <v>93</v>
      </c>
      <c r="F7" s="71" t="s">
        <v>94</v>
      </c>
      <c r="G7" s="71" t="s">
        <v>95</v>
      </c>
      <c r="H7" s="76" t="s">
        <v>35</v>
      </c>
    </row>
    <row r="8" spans="2:12" ht="15.6" thickBot="1" x14ac:dyDescent="0.35">
      <c r="B8" s="75" t="s">
        <v>87</v>
      </c>
      <c r="C8" s="71">
        <v>483</v>
      </c>
      <c r="D8" s="71">
        <v>743</v>
      </c>
      <c r="E8" s="71" t="s">
        <v>93</v>
      </c>
      <c r="F8" s="71" t="s">
        <v>94</v>
      </c>
      <c r="G8" s="71" t="s">
        <v>95</v>
      </c>
      <c r="H8" s="76" t="s">
        <v>25</v>
      </c>
    </row>
    <row r="9" spans="2:12" ht="15.6" thickBot="1" x14ac:dyDescent="0.35">
      <c r="B9" s="77" t="s">
        <v>87</v>
      </c>
      <c r="C9" s="78">
        <v>484</v>
      </c>
      <c r="D9" s="78">
        <v>744</v>
      </c>
      <c r="E9" s="78" t="s">
        <v>93</v>
      </c>
      <c r="F9" s="78" t="s">
        <v>94</v>
      </c>
      <c r="G9" s="78" t="s">
        <v>95</v>
      </c>
      <c r="H9" s="79" t="s">
        <v>44</v>
      </c>
    </row>
    <row r="10" spans="2:12" ht="15.6" thickBot="1" x14ac:dyDescent="0.35">
      <c r="B10" s="81" t="s">
        <v>87</v>
      </c>
      <c r="C10" s="82">
        <v>485</v>
      </c>
      <c r="D10" s="82">
        <v>745</v>
      </c>
      <c r="E10" s="82" t="s">
        <v>93</v>
      </c>
      <c r="F10" s="82" t="s">
        <v>94</v>
      </c>
      <c r="G10" s="82" t="s">
        <v>95</v>
      </c>
      <c r="H10" s="83" t="s">
        <v>100</v>
      </c>
    </row>
    <row r="11" spans="2:12" ht="15.6" thickBot="1" x14ac:dyDescent="0.35">
      <c r="B11" s="75" t="s">
        <v>87</v>
      </c>
      <c r="C11" s="71">
        <v>490</v>
      </c>
      <c r="D11" s="71">
        <v>751</v>
      </c>
      <c r="E11" s="71" t="s">
        <v>93</v>
      </c>
      <c r="F11" s="71" t="s">
        <v>94</v>
      </c>
      <c r="G11" s="71" t="s">
        <v>95</v>
      </c>
      <c r="H11" s="80" t="s">
        <v>50</v>
      </c>
    </row>
    <row r="12" spans="2:12" ht="15.6" thickBot="1" x14ac:dyDescent="0.35">
      <c r="B12" s="75" t="s">
        <v>87</v>
      </c>
      <c r="C12" s="71">
        <v>491</v>
      </c>
      <c r="D12" s="71">
        <v>752</v>
      </c>
      <c r="E12" s="71" t="s">
        <v>93</v>
      </c>
      <c r="F12" s="71" t="s">
        <v>94</v>
      </c>
      <c r="G12" s="71" t="s">
        <v>95</v>
      </c>
      <c r="H12" s="76" t="s">
        <v>101</v>
      </c>
    </row>
    <row r="13" spans="2:12" ht="15.6" thickBot="1" x14ac:dyDescent="0.35">
      <c r="B13" s="75" t="s">
        <v>87</v>
      </c>
      <c r="C13" s="71">
        <v>492</v>
      </c>
      <c r="D13" s="71">
        <v>757</v>
      </c>
      <c r="E13" s="71" t="s">
        <v>93</v>
      </c>
      <c r="F13" s="71" t="s">
        <v>94</v>
      </c>
      <c r="G13" s="71" t="s">
        <v>95</v>
      </c>
      <c r="H13" s="76" t="s">
        <v>101</v>
      </c>
    </row>
    <row r="14" spans="2:12" ht="15.6" thickBot="1" x14ac:dyDescent="0.35">
      <c r="B14" s="75" t="s">
        <v>87</v>
      </c>
      <c r="C14" s="71">
        <v>494</v>
      </c>
      <c r="D14" s="71">
        <v>759</v>
      </c>
      <c r="E14" s="71" t="s">
        <v>93</v>
      </c>
      <c r="F14" s="71" t="s">
        <v>94</v>
      </c>
      <c r="G14" s="71" t="s">
        <v>95</v>
      </c>
      <c r="H14" s="80" t="s">
        <v>104</v>
      </c>
    </row>
    <row r="15" spans="2:12" ht="15.6" thickBot="1" x14ac:dyDescent="0.35">
      <c r="B15" s="75" t="s">
        <v>87</v>
      </c>
      <c r="C15" s="71">
        <v>496</v>
      </c>
      <c r="D15" s="71">
        <v>761</v>
      </c>
      <c r="E15" s="71" t="s">
        <v>93</v>
      </c>
      <c r="F15" s="71" t="s">
        <v>94</v>
      </c>
      <c r="G15" s="71" t="s">
        <v>95</v>
      </c>
      <c r="H15" s="76" t="s">
        <v>102</v>
      </c>
    </row>
    <row r="16" spans="2:12" ht="15.6" thickBot="1" x14ac:dyDescent="0.35">
      <c r="B16" s="77" t="s">
        <v>87</v>
      </c>
      <c r="C16" s="78">
        <v>506</v>
      </c>
      <c r="D16" s="78">
        <v>779</v>
      </c>
      <c r="E16" s="78" t="s">
        <v>93</v>
      </c>
      <c r="F16" s="78" t="s">
        <v>94</v>
      </c>
      <c r="G16" s="78" t="s">
        <v>95</v>
      </c>
      <c r="H16" s="79" t="s">
        <v>103</v>
      </c>
    </row>
    <row r="17" spans="2:8" ht="15.6" thickBot="1" x14ac:dyDescent="0.35">
      <c r="B17" s="81" t="s">
        <v>87</v>
      </c>
      <c r="C17" s="82">
        <v>507</v>
      </c>
      <c r="D17" s="82">
        <v>782</v>
      </c>
      <c r="E17" s="82" t="s">
        <v>93</v>
      </c>
      <c r="F17" s="82" t="s">
        <v>94</v>
      </c>
      <c r="G17" s="82" t="s">
        <v>95</v>
      </c>
      <c r="H17" s="87" t="s">
        <v>107</v>
      </c>
    </row>
    <row r="18" spans="2:8" ht="15.6" thickBot="1" x14ac:dyDescent="0.35">
      <c r="B18" s="75" t="s">
        <v>87</v>
      </c>
      <c r="C18" s="71">
        <v>510</v>
      </c>
      <c r="D18" s="71">
        <v>785</v>
      </c>
      <c r="E18" s="71" t="s">
        <v>93</v>
      </c>
      <c r="F18" s="71" t="s">
        <v>94</v>
      </c>
      <c r="G18" s="71" t="s">
        <v>95</v>
      </c>
      <c r="H18" s="76" t="s">
        <v>105</v>
      </c>
    </row>
    <row r="19" spans="2:8" ht="15.6" thickBot="1" x14ac:dyDescent="0.35">
      <c r="B19" s="75" t="s">
        <v>87</v>
      </c>
      <c r="C19" s="71">
        <v>562</v>
      </c>
      <c r="D19" s="71">
        <v>846</v>
      </c>
      <c r="E19" s="71" t="s">
        <v>93</v>
      </c>
      <c r="F19" s="71" t="s">
        <v>94</v>
      </c>
      <c r="G19" s="71" t="s">
        <v>95</v>
      </c>
      <c r="H19" s="76" t="s">
        <v>106</v>
      </c>
    </row>
    <row r="20" spans="2:8" ht="15.6" thickBot="1" x14ac:dyDescent="0.35">
      <c r="B20" s="84" t="s">
        <v>87</v>
      </c>
      <c r="C20" s="85">
        <v>562</v>
      </c>
      <c r="D20" s="85">
        <v>846</v>
      </c>
      <c r="E20" s="85" t="s">
        <v>93</v>
      </c>
      <c r="F20" s="85" t="s">
        <v>94</v>
      </c>
      <c r="G20" s="85" t="s">
        <v>95</v>
      </c>
      <c r="H20" s="86" t="s">
        <v>106</v>
      </c>
    </row>
    <row r="22" spans="2:8" ht="15" thickBot="1" x14ac:dyDescent="0.35"/>
    <row r="23" spans="2:8" ht="15.6" thickBot="1" x14ac:dyDescent="0.35">
      <c r="B23" s="88" t="s">
        <v>87</v>
      </c>
      <c r="C23" s="89">
        <v>502</v>
      </c>
      <c r="D23" s="89">
        <v>774</v>
      </c>
      <c r="E23" s="89" t="s">
        <v>108</v>
      </c>
      <c r="F23" s="89" t="s">
        <v>109</v>
      </c>
      <c r="G23" s="89" t="s">
        <v>110</v>
      </c>
      <c r="H23" s="80" t="s">
        <v>104</v>
      </c>
    </row>
    <row r="24" spans="2:8" ht="15.6" thickBot="1" x14ac:dyDescent="0.35">
      <c r="B24" s="84" t="s">
        <v>87</v>
      </c>
      <c r="C24" s="85">
        <v>503</v>
      </c>
      <c r="D24" s="85">
        <v>776</v>
      </c>
      <c r="E24" s="85" t="s">
        <v>108</v>
      </c>
      <c r="F24" s="85" t="s">
        <v>109</v>
      </c>
      <c r="G24" s="85" t="s">
        <v>110</v>
      </c>
      <c r="H24" s="80" t="s">
        <v>104</v>
      </c>
    </row>
    <row r="25" spans="2:8" ht="15.6" thickBot="1" x14ac:dyDescent="0.35">
      <c r="B25" s="90" t="s">
        <v>87</v>
      </c>
      <c r="C25" s="91">
        <v>504</v>
      </c>
      <c r="D25" s="91">
        <v>777</v>
      </c>
      <c r="E25" s="91" t="s">
        <v>111</v>
      </c>
      <c r="F25" s="91" t="s">
        <v>109</v>
      </c>
      <c r="G25" s="91" t="s">
        <v>110</v>
      </c>
      <c r="H25" s="92" t="s">
        <v>112</v>
      </c>
    </row>
    <row r="26" spans="2:8" ht="15.6" thickBot="1" x14ac:dyDescent="0.35">
      <c r="B26" s="88" t="s">
        <v>87</v>
      </c>
      <c r="C26" s="89">
        <v>315</v>
      </c>
      <c r="D26" s="89">
        <v>522</v>
      </c>
      <c r="E26" s="89" t="s">
        <v>113</v>
      </c>
      <c r="F26" s="89" t="s">
        <v>109</v>
      </c>
      <c r="G26" s="89" t="s">
        <v>114</v>
      </c>
      <c r="H26" s="80" t="s">
        <v>104</v>
      </c>
    </row>
    <row r="27" spans="2:8" ht="15.6" thickBot="1" x14ac:dyDescent="0.35">
      <c r="B27" s="84" t="s">
        <v>87</v>
      </c>
      <c r="C27" s="85">
        <v>319</v>
      </c>
      <c r="D27" s="85">
        <v>526</v>
      </c>
      <c r="E27" s="85" t="s">
        <v>113</v>
      </c>
      <c r="F27" s="85" t="s">
        <v>109</v>
      </c>
      <c r="G27" s="85" t="s">
        <v>114</v>
      </c>
      <c r="H27" s="86" t="s">
        <v>115</v>
      </c>
    </row>
    <row r="28" spans="2:8" ht="15.6" thickBot="1" x14ac:dyDescent="0.35">
      <c r="B28" s="90" t="s">
        <v>87</v>
      </c>
      <c r="C28" s="91">
        <v>501</v>
      </c>
      <c r="D28" s="91">
        <v>773</v>
      </c>
      <c r="E28" s="91" t="s">
        <v>113</v>
      </c>
      <c r="F28" s="91" t="s">
        <v>109</v>
      </c>
      <c r="G28" s="91" t="s">
        <v>114</v>
      </c>
      <c r="H28" s="93" t="s">
        <v>116</v>
      </c>
    </row>
    <row r="29" spans="2:8" ht="15.6" thickBot="1" x14ac:dyDescent="0.35">
      <c r="B29" s="81" t="s">
        <v>87</v>
      </c>
      <c r="C29" s="82">
        <v>482</v>
      </c>
      <c r="D29" s="82">
        <v>742</v>
      </c>
      <c r="E29" s="82" t="s">
        <v>117</v>
      </c>
      <c r="F29" s="82" t="s">
        <v>118</v>
      </c>
      <c r="G29" s="82" t="s">
        <v>119</v>
      </c>
      <c r="H29" s="83" t="s">
        <v>34</v>
      </c>
    </row>
    <row r="30" spans="2:8" ht="15.6" thickBot="1" x14ac:dyDescent="0.35">
      <c r="B30" s="75" t="s">
        <v>87</v>
      </c>
      <c r="C30" s="71">
        <v>483</v>
      </c>
      <c r="D30" s="71">
        <v>743</v>
      </c>
      <c r="E30" s="71" t="s">
        <v>117</v>
      </c>
      <c r="F30" s="71" t="s">
        <v>118</v>
      </c>
      <c r="G30" s="71" t="s">
        <v>119</v>
      </c>
      <c r="H30" s="76" t="s">
        <v>24</v>
      </c>
    </row>
    <row r="31" spans="2:8" ht="15.6" thickBot="1" x14ac:dyDescent="0.35">
      <c r="B31" s="77" t="s">
        <v>87</v>
      </c>
      <c r="C31" s="78">
        <v>484</v>
      </c>
      <c r="D31" s="78">
        <v>744</v>
      </c>
      <c r="E31" s="78" t="s">
        <v>117</v>
      </c>
      <c r="F31" s="78" t="s">
        <v>118</v>
      </c>
      <c r="G31" s="78" t="s">
        <v>119</v>
      </c>
      <c r="H31" s="79" t="s">
        <v>43</v>
      </c>
    </row>
    <row r="32" spans="2:8" ht="15.6" thickBot="1" x14ac:dyDescent="0.35">
      <c r="B32" s="88" t="s">
        <v>87</v>
      </c>
      <c r="C32" s="89">
        <v>490</v>
      </c>
      <c r="D32" s="89">
        <v>751</v>
      </c>
      <c r="E32" s="89" t="s">
        <v>117</v>
      </c>
      <c r="F32" s="89" t="s">
        <v>118</v>
      </c>
      <c r="G32" s="89" t="s">
        <v>119</v>
      </c>
      <c r="H32" s="94" t="s">
        <v>120</v>
      </c>
    </row>
    <row r="33" spans="2:12" ht="15.6" thickBot="1" x14ac:dyDescent="0.35">
      <c r="B33" s="75" t="s">
        <v>87</v>
      </c>
      <c r="C33" s="71">
        <v>490</v>
      </c>
      <c r="D33" s="71">
        <v>751</v>
      </c>
      <c r="E33" s="71" t="s">
        <v>117</v>
      </c>
      <c r="F33" s="71" t="s">
        <v>118</v>
      </c>
      <c r="G33" s="71" t="s">
        <v>119</v>
      </c>
      <c r="H33" s="76" t="s">
        <v>51</v>
      </c>
    </row>
    <row r="34" spans="2:12" ht="15.6" thickBot="1" x14ac:dyDescent="0.35">
      <c r="B34" s="75" t="s">
        <v>87</v>
      </c>
      <c r="C34" s="71">
        <v>491</v>
      </c>
      <c r="D34" s="71">
        <v>752</v>
      </c>
      <c r="E34" s="71" t="s">
        <v>117</v>
      </c>
      <c r="F34" s="71" t="s">
        <v>118</v>
      </c>
      <c r="G34" s="71" t="s">
        <v>119</v>
      </c>
      <c r="H34" s="76" t="s">
        <v>55</v>
      </c>
    </row>
    <row r="35" spans="2:12" ht="15.6" thickBot="1" x14ac:dyDescent="0.35">
      <c r="B35" s="75" t="s">
        <v>87</v>
      </c>
      <c r="C35" s="71">
        <v>492</v>
      </c>
      <c r="D35" s="71">
        <v>757</v>
      </c>
      <c r="E35" s="71" t="s">
        <v>117</v>
      </c>
      <c r="F35" s="71" t="s">
        <v>118</v>
      </c>
      <c r="G35" s="71" t="s">
        <v>119</v>
      </c>
      <c r="H35" s="76" t="s">
        <v>55</v>
      </c>
    </row>
    <row r="36" spans="2:12" ht="15.6" thickBot="1" x14ac:dyDescent="0.35">
      <c r="B36" s="75" t="s">
        <v>87</v>
      </c>
      <c r="C36" s="71">
        <v>494</v>
      </c>
      <c r="D36" s="71">
        <v>759</v>
      </c>
      <c r="E36" s="71" t="s">
        <v>117</v>
      </c>
      <c r="F36" s="71" t="s">
        <v>118</v>
      </c>
      <c r="G36" s="71" t="s">
        <v>119</v>
      </c>
      <c r="H36" s="80" t="s">
        <v>104</v>
      </c>
    </row>
    <row r="37" spans="2:12" ht="15.6" thickBot="1" x14ac:dyDescent="0.35">
      <c r="B37" s="75" t="s">
        <v>87</v>
      </c>
      <c r="C37" s="71">
        <v>496</v>
      </c>
      <c r="D37" s="71">
        <v>761</v>
      </c>
      <c r="E37" s="71" t="s">
        <v>117</v>
      </c>
      <c r="F37" s="71" t="s">
        <v>118</v>
      </c>
      <c r="G37" s="71" t="s">
        <v>119</v>
      </c>
      <c r="H37" s="76" t="s">
        <v>121</v>
      </c>
    </row>
    <row r="38" spans="2:12" ht="15.6" thickBot="1" x14ac:dyDescent="0.35">
      <c r="B38" s="84" t="s">
        <v>87</v>
      </c>
      <c r="C38" s="85">
        <v>562</v>
      </c>
      <c r="D38" s="85">
        <v>846</v>
      </c>
      <c r="E38" s="85" t="s">
        <v>117</v>
      </c>
      <c r="F38" s="85" t="s">
        <v>118</v>
      </c>
      <c r="G38" s="85" t="s">
        <v>119</v>
      </c>
      <c r="H38" s="86" t="s">
        <v>106</v>
      </c>
    </row>
    <row r="39" spans="2:12" ht="15.6" thickBot="1" x14ac:dyDescent="0.35">
      <c r="B39" s="75" t="s">
        <v>87</v>
      </c>
      <c r="C39" s="71">
        <v>307</v>
      </c>
      <c r="D39" s="71">
        <v>509</v>
      </c>
      <c r="E39" s="85" t="s">
        <v>117</v>
      </c>
      <c r="F39" s="85" t="s">
        <v>118</v>
      </c>
      <c r="G39" s="85" t="s">
        <v>119</v>
      </c>
      <c r="H39" s="95" t="s">
        <v>96</v>
      </c>
      <c r="J39">
        <f>391*4</f>
        <v>1564</v>
      </c>
      <c r="L39">
        <f>98*589/1564</f>
        <v>36.906649616368284</v>
      </c>
    </row>
    <row r="42" spans="2:12" ht="15" thickBot="1" x14ac:dyDescent="0.35"/>
    <row r="43" spans="2:12" ht="15.6" thickBot="1" x14ac:dyDescent="0.35">
      <c r="B43" s="90" t="s">
        <v>87</v>
      </c>
      <c r="C43" s="91">
        <v>236</v>
      </c>
      <c r="D43" s="91">
        <v>414</v>
      </c>
      <c r="E43" s="91" t="s">
        <v>123</v>
      </c>
      <c r="F43" s="91" t="s">
        <v>123</v>
      </c>
      <c r="G43" s="91" t="s">
        <v>124</v>
      </c>
      <c r="H43" s="93" t="s">
        <v>125</v>
      </c>
    </row>
    <row r="44" spans="2:12" ht="15.6" thickBot="1" x14ac:dyDescent="0.35">
      <c r="B44" s="88" t="s">
        <v>87</v>
      </c>
      <c r="C44" s="89">
        <v>492</v>
      </c>
      <c r="D44" s="89">
        <v>757</v>
      </c>
      <c r="E44" s="89" t="s">
        <v>126</v>
      </c>
      <c r="F44" s="89" t="s">
        <v>127</v>
      </c>
      <c r="G44" s="89" t="s">
        <v>118</v>
      </c>
      <c r="H44" s="94" t="s">
        <v>55</v>
      </c>
      <c r="L44">
        <f>391*4</f>
        <v>1564</v>
      </c>
    </row>
    <row r="45" spans="2:12" ht="15.6" thickBot="1" x14ac:dyDescent="0.35">
      <c r="B45" s="75" t="s">
        <v>87</v>
      </c>
      <c r="C45" s="71">
        <v>494</v>
      </c>
      <c r="D45" s="71">
        <v>759</v>
      </c>
      <c r="E45" s="71" t="s">
        <v>126</v>
      </c>
      <c r="F45" s="71" t="s">
        <v>127</v>
      </c>
      <c r="G45" s="71" t="s">
        <v>118</v>
      </c>
      <c r="H45" s="80" t="s">
        <v>104</v>
      </c>
      <c r="L45">
        <v>589</v>
      </c>
    </row>
    <row r="46" spans="2:12" ht="15.6" thickBot="1" x14ac:dyDescent="0.35">
      <c r="B46" s="75" t="s">
        <v>87</v>
      </c>
      <c r="C46" s="71">
        <v>496</v>
      </c>
      <c r="D46" s="71">
        <v>761</v>
      </c>
      <c r="E46" s="71" t="s">
        <v>126</v>
      </c>
      <c r="F46" s="71" t="s">
        <v>127</v>
      </c>
      <c r="G46" s="71" t="s">
        <v>118</v>
      </c>
      <c r="H46" s="76" t="s">
        <v>121</v>
      </c>
      <c r="L46">
        <f>L44-L45</f>
        <v>975</v>
      </c>
    </row>
    <row r="47" spans="2:12" ht="15.6" thickBot="1" x14ac:dyDescent="0.35">
      <c r="B47" s="75" t="s">
        <v>87</v>
      </c>
      <c r="C47" s="71">
        <v>562</v>
      </c>
      <c r="D47" s="71">
        <v>846</v>
      </c>
      <c r="E47" s="71" t="s">
        <v>126</v>
      </c>
      <c r="F47" s="71" t="s">
        <v>127</v>
      </c>
      <c r="G47" s="71" t="s">
        <v>118</v>
      </c>
      <c r="H47" s="76" t="s">
        <v>106</v>
      </c>
    </row>
    <row r="48" spans="2:12" ht="15.6" thickBot="1" x14ac:dyDescent="0.35">
      <c r="B48" s="75" t="s">
        <v>87</v>
      </c>
      <c r="C48" s="71">
        <v>307</v>
      </c>
      <c r="D48" s="71">
        <v>509</v>
      </c>
      <c r="E48" s="71" t="s">
        <v>126</v>
      </c>
      <c r="F48" s="71" t="s">
        <v>127</v>
      </c>
      <c r="G48" s="71" t="s">
        <v>118</v>
      </c>
      <c r="H48" s="76" t="s">
        <v>128</v>
      </c>
      <c r="J48">
        <f>23196*4</f>
        <v>92784</v>
      </c>
      <c r="K48">
        <f>589/4</f>
        <v>147.25</v>
      </c>
    </row>
    <row r="49" spans="2:16" ht="15.6" thickBot="1" x14ac:dyDescent="0.35">
      <c r="B49" s="75" t="s">
        <v>87</v>
      </c>
      <c r="C49" s="71">
        <v>316</v>
      </c>
      <c r="D49" s="71">
        <v>523</v>
      </c>
      <c r="E49" s="71" t="s">
        <v>126</v>
      </c>
      <c r="F49" s="71" t="s">
        <v>127</v>
      </c>
      <c r="G49" s="71" t="s">
        <v>118</v>
      </c>
      <c r="H49" s="80" t="s">
        <v>98</v>
      </c>
    </row>
    <row r="50" spans="2:16" ht="15.6" thickBot="1" x14ac:dyDescent="0.35">
      <c r="B50" s="84" t="s">
        <v>87</v>
      </c>
      <c r="C50" s="85">
        <v>384</v>
      </c>
      <c r="D50" s="85">
        <v>618</v>
      </c>
      <c r="E50" s="85" t="s">
        <v>126</v>
      </c>
      <c r="F50" s="85" t="s">
        <v>127</v>
      </c>
      <c r="G50" s="85" t="s">
        <v>118</v>
      </c>
      <c r="H50" s="80" t="s">
        <v>104</v>
      </c>
    </row>
    <row r="51" spans="2:16" ht="15.6" thickBot="1" x14ac:dyDescent="0.35">
      <c r="B51" s="90" t="s">
        <v>87</v>
      </c>
      <c r="C51" s="91">
        <v>491</v>
      </c>
      <c r="D51" s="91">
        <v>752</v>
      </c>
      <c r="E51" s="91" t="s">
        <v>126</v>
      </c>
      <c r="F51" s="91" t="s">
        <v>127</v>
      </c>
      <c r="G51" s="91" t="s">
        <v>118</v>
      </c>
      <c r="H51" s="93" t="s">
        <v>55</v>
      </c>
    </row>
    <row r="53" spans="2:16" ht="15" thickBot="1" x14ac:dyDescent="0.35"/>
    <row r="54" spans="2:16" ht="15.6" thickBot="1" x14ac:dyDescent="0.35">
      <c r="B54" s="90" t="s">
        <v>87</v>
      </c>
      <c r="C54" s="91">
        <v>317</v>
      </c>
      <c r="D54" s="91">
        <v>524</v>
      </c>
      <c r="E54" s="91" t="s">
        <v>129</v>
      </c>
      <c r="F54" s="91" t="s">
        <v>124</v>
      </c>
      <c r="G54" s="91" t="s">
        <v>109</v>
      </c>
      <c r="H54" s="80" t="s">
        <v>98</v>
      </c>
    </row>
    <row r="55" spans="2:16" ht="15.6" thickBot="1" x14ac:dyDescent="0.35">
      <c r="B55" s="81" t="s">
        <v>87</v>
      </c>
      <c r="C55" s="82">
        <v>502</v>
      </c>
      <c r="D55" s="82">
        <v>774</v>
      </c>
      <c r="E55" s="82" t="s">
        <v>129</v>
      </c>
      <c r="F55" s="82" t="s">
        <v>124</v>
      </c>
      <c r="G55" s="82" t="s">
        <v>109</v>
      </c>
      <c r="H55" s="80" t="s">
        <v>104</v>
      </c>
    </row>
    <row r="56" spans="2:16" ht="15.6" thickBot="1" x14ac:dyDescent="0.35">
      <c r="B56" s="75" t="s">
        <v>87</v>
      </c>
      <c r="C56" s="71">
        <v>503</v>
      </c>
      <c r="D56" s="71">
        <v>776</v>
      </c>
      <c r="E56" s="71" t="s">
        <v>129</v>
      </c>
      <c r="F56" s="71" t="s">
        <v>124</v>
      </c>
      <c r="G56" s="71" t="s">
        <v>109</v>
      </c>
      <c r="H56" s="76" t="s">
        <v>130</v>
      </c>
    </row>
    <row r="57" spans="2:16" ht="15.6" thickBot="1" x14ac:dyDescent="0.35">
      <c r="B57" s="77" t="s">
        <v>87</v>
      </c>
      <c r="C57" s="78">
        <v>6</v>
      </c>
      <c r="D57" s="78">
        <v>47</v>
      </c>
      <c r="E57" s="78" t="s">
        <v>129</v>
      </c>
      <c r="F57" s="78" t="s">
        <v>124</v>
      </c>
      <c r="G57" s="78" t="s">
        <v>109</v>
      </c>
      <c r="H57" s="79" t="s">
        <v>131</v>
      </c>
    </row>
    <row r="58" spans="2:16" ht="15.6" thickBot="1" x14ac:dyDescent="0.35">
      <c r="B58" s="88" t="s">
        <v>87</v>
      </c>
      <c r="C58" s="89">
        <v>7</v>
      </c>
      <c r="D58" s="89">
        <v>63</v>
      </c>
      <c r="E58" s="89" t="s">
        <v>132</v>
      </c>
      <c r="F58" s="89" t="s">
        <v>127</v>
      </c>
      <c r="G58" s="89" t="s">
        <v>118</v>
      </c>
      <c r="H58" s="94" t="s">
        <v>133</v>
      </c>
      <c r="I58" s="118" t="s">
        <v>203</v>
      </c>
      <c r="J58">
        <f>31*20+3</f>
        <v>623</v>
      </c>
      <c r="K58">
        <f>J58*7/89</f>
        <v>49</v>
      </c>
    </row>
    <row r="59" spans="2:16" ht="15.6" thickBot="1" x14ac:dyDescent="0.35">
      <c r="B59" s="84" t="s">
        <v>87</v>
      </c>
      <c r="C59" s="85">
        <v>8</v>
      </c>
      <c r="D59" s="85">
        <v>65</v>
      </c>
      <c r="E59" s="85" t="s">
        <v>132</v>
      </c>
      <c r="F59" s="85" t="s">
        <v>127</v>
      </c>
      <c r="G59" s="85" t="s">
        <v>118</v>
      </c>
      <c r="H59" s="86" t="s">
        <v>134</v>
      </c>
    </row>
    <row r="61" spans="2:16" ht="15" thickBot="1" x14ac:dyDescent="0.35"/>
    <row r="62" spans="2:16" ht="15.6" thickBot="1" x14ac:dyDescent="0.35">
      <c r="B62" s="90" t="s">
        <v>87</v>
      </c>
      <c r="C62" s="91">
        <v>317</v>
      </c>
      <c r="D62" s="91">
        <v>524</v>
      </c>
      <c r="E62" s="91" t="s">
        <v>135</v>
      </c>
      <c r="F62" s="91" t="s">
        <v>136</v>
      </c>
      <c r="G62" s="91" t="s">
        <v>109</v>
      </c>
      <c r="H62" s="80" t="s">
        <v>98</v>
      </c>
      <c r="J62" s="100" t="s">
        <v>137</v>
      </c>
      <c r="K62" s="101">
        <v>251</v>
      </c>
      <c r="L62" s="101">
        <v>535</v>
      </c>
      <c r="M62" s="101" t="s">
        <v>135</v>
      </c>
      <c r="N62" s="101" t="s">
        <v>136</v>
      </c>
      <c r="O62" s="101" t="s">
        <v>109</v>
      </c>
      <c r="P62" s="80" t="s">
        <v>98</v>
      </c>
    </row>
    <row r="63" spans="2:16" ht="15.6" thickBot="1" x14ac:dyDescent="0.35">
      <c r="B63" s="88" t="s">
        <v>87</v>
      </c>
      <c r="C63" s="89">
        <v>502</v>
      </c>
      <c r="D63" s="89">
        <v>774</v>
      </c>
      <c r="E63" s="89" t="s">
        <v>135</v>
      </c>
      <c r="F63" s="89" t="s">
        <v>136</v>
      </c>
      <c r="G63" s="89" t="s">
        <v>109</v>
      </c>
      <c r="H63" s="80" t="s">
        <v>104</v>
      </c>
      <c r="J63" s="102" t="s">
        <v>137</v>
      </c>
      <c r="K63" s="99">
        <v>420</v>
      </c>
      <c r="L63" s="99">
        <v>791</v>
      </c>
      <c r="M63" s="99" t="s">
        <v>135</v>
      </c>
      <c r="N63" s="99" t="s">
        <v>136</v>
      </c>
      <c r="O63" s="99" t="s">
        <v>109</v>
      </c>
      <c r="P63" s="80" t="s">
        <v>104</v>
      </c>
    </row>
    <row r="64" spans="2:16" ht="15.6" thickBot="1" x14ac:dyDescent="0.35">
      <c r="B64" s="84" t="s">
        <v>87</v>
      </c>
      <c r="C64" s="85">
        <v>503</v>
      </c>
      <c r="D64" s="85">
        <v>776</v>
      </c>
      <c r="E64" s="85" t="s">
        <v>135</v>
      </c>
      <c r="F64" s="85" t="s">
        <v>136</v>
      </c>
      <c r="G64" s="85" t="s">
        <v>109</v>
      </c>
      <c r="H64" s="80" t="s">
        <v>104</v>
      </c>
      <c r="J64" s="104" t="s">
        <v>137</v>
      </c>
      <c r="K64" s="98">
        <v>421</v>
      </c>
      <c r="L64" s="98">
        <v>793</v>
      </c>
      <c r="M64" s="98" t="s">
        <v>135</v>
      </c>
      <c r="N64" s="98" t="s">
        <v>136</v>
      </c>
      <c r="O64" s="98" t="s">
        <v>109</v>
      </c>
      <c r="P64" s="80" t="s">
        <v>104</v>
      </c>
    </row>
    <row r="65" spans="2:16" ht="15.6" thickBot="1" x14ac:dyDescent="0.35">
      <c r="B65" s="88" t="s">
        <v>87</v>
      </c>
      <c r="C65" s="89">
        <v>484</v>
      </c>
      <c r="D65" s="89">
        <v>744</v>
      </c>
      <c r="E65" s="89" t="s">
        <v>94</v>
      </c>
      <c r="F65" s="89" t="s">
        <v>94</v>
      </c>
      <c r="G65" s="89" t="s">
        <v>95</v>
      </c>
      <c r="H65" s="94" t="s">
        <v>44</v>
      </c>
      <c r="J65" s="102"/>
      <c r="K65" s="99"/>
      <c r="L65" s="99"/>
      <c r="M65" s="99"/>
      <c r="N65" s="99"/>
      <c r="O65" s="99"/>
      <c r="P65" s="80"/>
    </row>
    <row r="66" spans="2:16" ht="15.6" thickBot="1" x14ac:dyDescent="0.35">
      <c r="B66" s="75" t="s">
        <v>87</v>
      </c>
      <c r="C66" s="71">
        <v>485</v>
      </c>
      <c r="D66" s="71">
        <v>745</v>
      </c>
      <c r="E66" s="71" t="s">
        <v>94</v>
      </c>
      <c r="F66" s="71" t="s">
        <v>94</v>
      </c>
      <c r="G66" s="71" t="s">
        <v>95</v>
      </c>
      <c r="H66" s="76" t="s">
        <v>100</v>
      </c>
      <c r="J66" s="104"/>
      <c r="K66" s="98"/>
      <c r="L66" s="98"/>
      <c r="M66" s="98"/>
      <c r="N66" s="98"/>
      <c r="O66" s="98"/>
      <c r="P66" s="80"/>
    </row>
    <row r="67" spans="2:16" ht="15.6" thickBot="1" x14ac:dyDescent="0.35">
      <c r="B67" s="75" t="s">
        <v>87</v>
      </c>
      <c r="C67" s="71">
        <v>490</v>
      </c>
      <c r="D67" s="71">
        <v>751</v>
      </c>
      <c r="E67" s="71" t="s">
        <v>94</v>
      </c>
      <c r="F67" s="71" t="s">
        <v>94</v>
      </c>
      <c r="G67" s="71" t="s">
        <v>95</v>
      </c>
      <c r="H67" s="80" t="s">
        <v>50</v>
      </c>
      <c r="J67" s="102"/>
      <c r="K67" s="99"/>
      <c r="L67" s="99"/>
      <c r="M67" s="99"/>
      <c r="N67" s="99"/>
      <c r="O67" s="99"/>
      <c r="P67" s="103"/>
    </row>
    <row r="68" spans="2:16" ht="15.6" thickBot="1" x14ac:dyDescent="0.35">
      <c r="B68" s="75" t="s">
        <v>87</v>
      </c>
      <c r="C68" s="71">
        <v>491</v>
      </c>
      <c r="D68" s="71">
        <v>752</v>
      </c>
      <c r="E68" s="71" t="s">
        <v>94</v>
      </c>
      <c r="F68" s="71" t="s">
        <v>94</v>
      </c>
      <c r="G68" s="71" t="s">
        <v>95</v>
      </c>
      <c r="H68" s="76" t="s">
        <v>101</v>
      </c>
      <c r="J68" s="105"/>
      <c r="K68" s="106"/>
      <c r="L68" s="106"/>
      <c r="M68" s="106"/>
      <c r="N68" s="106"/>
      <c r="O68" s="106"/>
      <c r="P68" s="107"/>
    </row>
    <row r="69" spans="2:16" ht="15.6" thickBot="1" x14ac:dyDescent="0.35">
      <c r="B69" s="75" t="s">
        <v>87</v>
      </c>
      <c r="C69" s="71">
        <v>492</v>
      </c>
      <c r="D69" s="71">
        <v>757</v>
      </c>
      <c r="E69" s="71" t="s">
        <v>94</v>
      </c>
      <c r="F69" s="71" t="s">
        <v>94</v>
      </c>
      <c r="G69" s="71" t="s">
        <v>95</v>
      </c>
      <c r="H69" s="76" t="s">
        <v>101</v>
      </c>
    </row>
    <row r="70" spans="2:16" ht="15.6" thickBot="1" x14ac:dyDescent="0.35">
      <c r="B70" s="75" t="s">
        <v>87</v>
      </c>
      <c r="C70" s="71">
        <v>494</v>
      </c>
      <c r="D70" s="71">
        <v>759</v>
      </c>
      <c r="E70" s="71" t="s">
        <v>94</v>
      </c>
      <c r="F70" s="71" t="s">
        <v>94</v>
      </c>
      <c r="G70" s="71" t="s">
        <v>95</v>
      </c>
      <c r="H70" s="80" t="s">
        <v>104</v>
      </c>
    </row>
    <row r="71" spans="2:16" ht="15.6" thickBot="1" x14ac:dyDescent="0.35">
      <c r="B71" s="84" t="s">
        <v>87</v>
      </c>
      <c r="C71" s="85">
        <v>496</v>
      </c>
      <c r="D71" s="85">
        <v>761</v>
      </c>
      <c r="E71" s="85" t="s">
        <v>94</v>
      </c>
      <c r="F71" s="85" t="s">
        <v>94</v>
      </c>
      <c r="G71" s="85" t="s">
        <v>95</v>
      </c>
      <c r="H71" s="86" t="s">
        <v>102</v>
      </c>
    </row>
    <row r="72" spans="2:16" ht="15.6" thickBot="1" x14ac:dyDescent="0.35">
      <c r="B72" s="81" t="s">
        <v>87</v>
      </c>
      <c r="C72" s="82">
        <v>307</v>
      </c>
      <c r="D72" s="82">
        <v>509</v>
      </c>
      <c r="E72" s="82" t="s">
        <v>94</v>
      </c>
      <c r="F72" s="82" t="s">
        <v>94</v>
      </c>
      <c r="G72" s="82" t="s">
        <v>95</v>
      </c>
      <c r="H72" s="83" t="s">
        <v>96</v>
      </c>
    </row>
    <row r="73" spans="2:16" ht="15.6" thickBot="1" x14ac:dyDescent="0.35">
      <c r="B73" s="84" t="s">
        <v>87</v>
      </c>
      <c r="C73" s="85">
        <v>316</v>
      </c>
      <c r="D73" s="85">
        <v>523</v>
      </c>
      <c r="E73" s="85" t="s">
        <v>94</v>
      </c>
      <c r="F73" s="85" t="s">
        <v>94</v>
      </c>
      <c r="G73" s="85" t="s">
        <v>95</v>
      </c>
      <c r="H73" s="80" t="s">
        <v>98</v>
      </c>
    </row>
    <row r="74" spans="2:16" ht="15.6" thickBot="1" x14ac:dyDescent="0.35">
      <c r="B74" s="88" t="s">
        <v>87</v>
      </c>
      <c r="C74" s="89">
        <v>384</v>
      </c>
      <c r="D74" s="89">
        <v>618</v>
      </c>
      <c r="E74" s="89" t="s">
        <v>94</v>
      </c>
      <c r="F74" s="89" t="s">
        <v>94</v>
      </c>
      <c r="G74" s="89" t="s">
        <v>95</v>
      </c>
      <c r="H74" s="97" t="s">
        <v>99</v>
      </c>
    </row>
    <row r="75" spans="2:16" ht="15.6" thickBot="1" x14ac:dyDescent="0.35">
      <c r="B75" s="75" t="s">
        <v>87</v>
      </c>
      <c r="C75" s="71">
        <v>477</v>
      </c>
      <c r="D75" s="71">
        <v>737</v>
      </c>
      <c r="E75" s="71" t="s">
        <v>94</v>
      </c>
      <c r="F75" s="71" t="s">
        <v>94</v>
      </c>
      <c r="G75" s="71" t="s">
        <v>95</v>
      </c>
      <c r="H75" s="76" t="s">
        <v>97</v>
      </c>
    </row>
    <row r="76" spans="2:16" ht="15.6" thickBot="1" x14ac:dyDescent="0.35">
      <c r="B76" s="75" t="s">
        <v>87</v>
      </c>
      <c r="C76" s="71">
        <v>482</v>
      </c>
      <c r="D76" s="71">
        <v>742</v>
      </c>
      <c r="E76" s="71" t="s">
        <v>94</v>
      </c>
      <c r="F76" s="71" t="s">
        <v>94</v>
      </c>
      <c r="G76" s="71" t="s">
        <v>95</v>
      </c>
      <c r="H76" s="76" t="s">
        <v>35</v>
      </c>
    </row>
    <row r="77" spans="2:16" ht="15.6" thickBot="1" x14ac:dyDescent="0.35">
      <c r="B77" s="84" t="s">
        <v>87</v>
      </c>
      <c r="C77" s="85">
        <v>483</v>
      </c>
      <c r="D77" s="85">
        <v>743</v>
      </c>
      <c r="E77" s="85" t="s">
        <v>94</v>
      </c>
      <c r="F77" s="85" t="s">
        <v>94</v>
      </c>
      <c r="G77" s="85" t="s">
        <v>95</v>
      </c>
      <c r="H77" s="86" t="s">
        <v>25</v>
      </c>
    </row>
    <row r="78" spans="2:16" ht="15.6" thickBot="1" x14ac:dyDescent="0.35">
      <c r="B78" s="88" t="s">
        <v>87</v>
      </c>
      <c r="C78" s="89">
        <v>506</v>
      </c>
      <c r="D78" s="89">
        <v>779</v>
      </c>
      <c r="E78" s="89" t="s">
        <v>94</v>
      </c>
      <c r="F78" s="89" t="s">
        <v>94</v>
      </c>
      <c r="G78" s="89" t="s">
        <v>95</v>
      </c>
      <c r="H78" s="94" t="s">
        <v>103</v>
      </c>
    </row>
    <row r="79" spans="2:16" ht="15.6" thickBot="1" x14ac:dyDescent="0.35">
      <c r="B79" s="75" t="s">
        <v>87</v>
      </c>
      <c r="C79" s="71">
        <v>507</v>
      </c>
      <c r="D79" s="71">
        <v>782</v>
      </c>
      <c r="E79" s="71" t="s">
        <v>94</v>
      </c>
      <c r="F79" s="71" t="s">
        <v>94</v>
      </c>
      <c r="G79" s="71" t="s">
        <v>95</v>
      </c>
      <c r="H79" s="80" t="s">
        <v>107</v>
      </c>
    </row>
    <row r="80" spans="2:16" ht="15.6" thickBot="1" x14ac:dyDescent="0.35">
      <c r="B80" s="75" t="s">
        <v>87</v>
      </c>
      <c r="C80" s="71">
        <v>510</v>
      </c>
      <c r="D80" s="71">
        <v>785</v>
      </c>
      <c r="E80" s="71" t="s">
        <v>94</v>
      </c>
      <c r="F80" s="71" t="s">
        <v>94</v>
      </c>
      <c r="G80" s="71" t="s">
        <v>95</v>
      </c>
      <c r="H80" s="76" t="s">
        <v>105</v>
      </c>
    </row>
    <row r="81" spans="2:8" ht="15.6" thickBot="1" x14ac:dyDescent="0.35">
      <c r="B81" s="75" t="s">
        <v>87</v>
      </c>
      <c r="C81" s="71">
        <v>562</v>
      </c>
      <c r="D81" s="71">
        <v>846</v>
      </c>
      <c r="E81" s="71" t="s">
        <v>94</v>
      </c>
      <c r="F81" s="71" t="s">
        <v>94</v>
      </c>
      <c r="G81" s="71" t="s">
        <v>95</v>
      </c>
      <c r="H81" s="76" t="s">
        <v>106</v>
      </c>
    </row>
    <row r="82" spans="2:8" ht="15.6" thickBot="1" x14ac:dyDescent="0.35">
      <c r="B82" s="84" t="s">
        <v>87</v>
      </c>
      <c r="C82" s="85">
        <v>562</v>
      </c>
      <c r="D82" s="85">
        <v>846</v>
      </c>
      <c r="E82" s="85" t="s">
        <v>94</v>
      </c>
      <c r="F82" s="85" t="s">
        <v>94</v>
      </c>
      <c r="G82" s="85" t="s">
        <v>95</v>
      </c>
      <c r="H82" s="86" t="s">
        <v>106</v>
      </c>
    </row>
  </sheetData>
  <hyperlinks>
    <hyperlink ref="B3" r:id="rId1" display="javascript:__doPostBack('ctl00$ContentPlaceHolder1$GridView1$ctl02$LinkButton1','')" xr:uid="{D4A34BEF-82AD-475F-889A-5BE374BF4CF8}"/>
    <hyperlink ref="B4" r:id="rId2" display="javascript:__doPostBack('ctl00$ContentPlaceHolder1$GridView1$ctl03$LinkButton1','')" xr:uid="{2F281CBA-9821-4FE9-BC27-A7C49F55E6BA}"/>
    <hyperlink ref="B5" r:id="rId3" display="javascript:__doPostBack('ctl00$ContentPlaceHolder1$GridView1$ctl04$LinkButton1','')" xr:uid="{D35C5551-15BF-4D97-8DCE-AC1FF6D7B3E7}"/>
    <hyperlink ref="B6" r:id="rId4" display="javascript:__doPostBack('ctl00$ContentPlaceHolder1$GridView1$ctl05$LinkButton1','')" xr:uid="{F5E13B2B-AB7A-421C-BE0C-4B9BC0A678EA}"/>
    <hyperlink ref="B7" r:id="rId5" display="javascript:__doPostBack('ctl00$ContentPlaceHolder1$GridView1$ctl06$LinkButton1','')" xr:uid="{0F4D0374-43AF-4FC2-A16C-AEA804543200}"/>
    <hyperlink ref="B8" r:id="rId6" display="javascript:__doPostBack('ctl00$ContentPlaceHolder1$GridView1$ctl07$LinkButton1','')" xr:uid="{25FF6DE7-BBEC-4C48-A79A-26DFBBC9BC85}"/>
    <hyperlink ref="B9" r:id="rId7" display="javascript:__doPostBack('ctl00$ContentPlaceHolder1$GridView1$ctl08$LinkButton1','')" xr:uid="{1693C138-BD9C-46EF-B33E-4A50CA05D963}"/>
    <hyperlink ref="B10" r:id="rId8" display="javascript:__doPostBack('ctl00$ContentPlaceHolder1$GridView1$ctl02$LinkButton1','')" xr:uid="{F2E21A6C-2AB6-4621-91A2-EC4F6459B9E0}"/>
    <hyperlink ref="B11" r:id="rId9" display="javascript:__doPostBack('ctl00$ContentPlaceHolder1$GridView1$ctl03$LinkButton1','')" xr:uid="{EEB5DE06-6016-47EA-A0C1-BC5EFE101F59}"/>
    <hyperlink ref="B12" r:id="rId10" display="javascript:__doPostBack('ctl00$ContentPlaceHolder1$GridView1$ctl04$LinkButton1','')" xr:uid="{B25FE1A3-2FC0-4282-BF48-5B9EB0135BCF}"/>
    <hyperlink ref="B13" r:id="rId11" display="javascript:__doPostBack('ctl00$ContentPlaceHolder1$GridView1$ctl05$LinkButton1','')" xr:uid="{08925A20-6A7F-4FF7-9FA3-84CF05B852CA}"/>
    <hyperlink ref="B14" r:id="rId12" display="javascript:__doPostBack('ctl00$ContentPlaceHolder1$GridView1$ctl06$LinkButton1','')" xr:uid="{B137D1C2-7818-4E56-8D01-2717D201A888}"/>
    <hyperlink ref="B15" r:id="rId13" display="javascript:__doPostBack('ctl00$ContentPlaceHolder1$GridView1$ctl07$LinkButton1','')" xr:uid="{BA9B1C80-1065-4034-85F9-918E0A005EB4}"/>
    <hyperlink ref="B16" r:id="rId14" display="javascript:__doPostBack('ctl00$ContentPlaceHolder1$GridView1$ctl08$LinkButton1','')" xr:uid="{A39246A0-8BB7-4F6C-98E6-A29D8FC795D6}"/>
    <hyperlink ref="B17" r:id="rId15" display="javascript:__doPostBack('ctl00$ContentPlaceHolder1$GridView1$ctl02$LinkButton1','')" xr:uid="{217FC268-940C-494C-B399-977E37377CFD}"/>
    <hyperlink ref="B18" r:id="rId16" display="javascript:__doPostBack('ctl00$ContentPlaceHolder1$GridView1$ctl03$LinkButton1','')" xr:uid="{E4755C5F-E091-485C-BED1-16D95B603F71}"/>
    <hyperlink ref="B19" r:id="rId17" display="javascript:__doPostBack('ctl00$ContentPlaceHolder1$GridView1$ctl04$LinkButton1','')" xr:uid="{51F37FFD-1A69-4967-91F9-47F31F27F0F0}"/>
    <hyperlink ref="B20" r:id="rId18" display="javascript:__doPostBack('ctl00$ContentPlaceHolder1$GridView1$ctl05$LinkButton1','')" xr:uid="{E9FA50D4-7B8C-4779-B459-CEDB9346AF52}"/>
    <hyperlink ref="B23" r:id="rId19" display="javascript:__doPostBack('ctl00$ContentPlaceHolder1$GridView1$ctl02$LinkButton1','')" xr:uid="{DCB53809-4FCA-4F0C-9BC4-88E6A6A53933}"/>
    <hyperlink ref="B24" r:id="rId20" display="javascript:__doPostBack('ctl00$ContentPlaceHolder1$GridView1$ctl03$LinkButton1','')" xr:uid="{20BB19CF-498F-459E-A086-2D0C9FBBBBD1}"/>
    <hyperlink ref="B25" r:id="rId21" display="javascript:__doPostBack('ctl00$ContentPlaceHolder1$GridView1$ctl02$LinkButton1','')" xr:uid="{8AFA7520-981E-4C00-BDB0-7CCFCD958AAB}"/>
    <hyperlink ref="B26" r:id="rId22" display="javascript:__doPostBack('ctl00$ContentPlaceHolder1$GridView1$ctl03$LinkButton1','')" xr:uid="{CF61B688-644F-4E0C-BECF-5C3E012C43FE}"/>
    <hyperlink ref="B27" r:id="rId23" display="javascript:__doPostBack('ctl00$ContentPlaceHolder1$GridView1$ctl04$LinkButton1','')" xr:uid="{608EBCA1-FB8E-48DD-B5F5-506FF26B8EDA}"/>
    <hyperlink ref="B28" r:id="rId24" display="javascript:__doPostBack('ctl00$ContentPlaceHolder1$GridView1$ctl04$LinkButton1','')" xr:uid="{E642A255-82D9-443A-8118-953C965821A5}"/>
    <hyperlink ref="B29" r:id="rId25" display="javascript:__doPostBack('ctl00$ContentPlaceHolder1$GridView1$ctl03$LinkButton1','')" xr:uid="{0C362AFC-F03A-474E-AAF1-E395DE1A012A}"/>
    <hyperlink ref="B30" r:id="rId26" display="javascript:__doPostBack('ctl00$ContentPlaceHolder1$GridView1$ctl04$LinkButton1','')" xr:uid="{DFCC9EA7-D9E8-4FBC-B08A-EAA424DB8A30}"/>
    <hyperlink ref="B31" r:id="rId27" display="javascript:__doPostBack('ctl00$ContentPlaceHolder1$GridView1$ctl05$LinkButton1','')" xr:uid="{04B2AE55-794A-41B1-BF49-F8FC02E5A909}"/>
    <hyperlink ref="B32" r:id="rId28" display="javascript:__doPostBack('ctl00$ContentPlaceHolder1$GridView1$ctl02$LinkButton1','')" xr:uid="{F3033986-1C8B-445C-AFDA-AF9928C9FFD7}"/>
    <hyperlink ref="B33" r:id="rId29" display="javascript:__doPostBack('ctl00$ContentPlaceHolder1$GridView1$ctl03$LinkButton1','')" xr:uid="{7647D4EC-D929-43E4-AE6B-BA705FA2A874}"/>
    <hyperlink ref="B34" r:id="rId30" display="javascript:__doPostBack('ctl00$ContentPlaceHolder1$GridView1$ctl04$LinkButton1','')" xr:uid="{306BFF2B-F48C-4E5D-A5E8-671C8DBB67CE}"/>
    <hyperlink ref="B35" r:id="rId31" display="javascript:__doPostBack('ctl00$ContentPlaceHolder1$GridView1$ctl05$LinkButton1','')" xr:uid="{A585499F-B098-4923-9783-E999C67EB95A}"/>
    <hyperlink ref="B36" r:id="rId32" display="javascript:__doPostBack('ctl00$ContentPlaceHolder1$GridView1$ctl06$LinkButton1','')" xr:uid="{29337FD9-5478-4494-96CB-0E6D168B4501}"/>
    <hyperlink ref="B37" r:id="rId33" display="javascript:__doPostBack('ctl00$ContentPlaceHolder1$GridView1$ctl07$LinkButton1','')" xr:uid="{235D4B11-2E13-4ED1-A2C5-2B173AD542EA}"/>
    <hyperlink ref="B38" r:id="rId34" display="javascript:__doPostBack('ctl00$ContentPlaceHolder1$GridView1$ctl08$LinkButton1','')" xr:uid="{DEB20398-A8BB-41A7-990E-7196BCB96115}"/>
    <hyperlink ref="B39" r:id="rId35" display="javascript:__doPostBack('ctl00$ContentPlaceHolder1$GridView1$ctl02$LinkButton1','')" xr:uid="{79387413-2E37-45D9-926A-B3C143F2A5B9}"/>
    <hyperlink ref="B43" r:id="rId36" display="javascript:__doPostBack('ctl00$ContentPlaceHolder1$GridView1$ctl05$LinkButton1','')" xr:uid="{A7C1D1C2-F4B0-4849-95E8-CE6BE77CE4B7}"/>
    <hyperlink ref="B44" r:id="rId37" display="javascript:__doPostBack('ctl00$ContentPlaceHolder1$GridView1$ctl02$LinkButton1','')" xr:uid="{EC360074-7BC5-4E32-B26F-0D4562004D11}"/>
    <hyperlink ref="B45" r:id="rId38" display="javascript:__doPostBack('ctl00$ContentPlaceHolder1$GridView1$ctl03$LinkButton1','')" xr:uid="{2E095014-EAF4-4D4D-A493-A002AF08BFD2}"/>
    <hyperlink ref="B46" r:id="rId39" display="javascript:__doPostBack('ctl00$ContentPlaceHolder1$GridView1$ctl04$LinkButton1','')" xr:uid="{FD8A772D-10C5-4CAF-A382-622BEAB22C91}"/>
    <hyperlink ref="B47" r:id="rId40" display="javascript:__doPostBack('ctl00$ContentPlaceHolder1$GridView1$ctl05$LinkButton1','')" xr:uid="{9599310E-F468-4AF2-86C7-FFB63CEC9642}"/>
    <hyperlink ref="B48" r:id="rId41" display="javascript:__doPostBack('ctl00$ContentPlaceHolder1$GridView1$ctl04$LinkButton1','')" xr:uid="{51833F8F-429C-49D0-8DF9-C656A7EB494C}"/>
    <hyperlink ref="B49" r:id="rId42" display="javascript:__doPostBack('ctl00$ContentPlaceHolder1$GridView1$ctl05$LinkButton1','')" xr:uid="{8A31DC51-9F6E-4CDD-9140-E3651C6AAA12}"/>
    <hyperlink ref="B50" r:id="rId43" display="javascript:__doPostBack('ctl00$ContentPlaceHolder1$GridView1$ctl06$LinkButton1','')" xr:uid="{D9FB27EB-AECC-490E-B45F-666C039B46F7}"/>
    <hyperlink ref="B51" r:id="rId44" display="javascript:__doPostBack('ctl00$ContentPlaceHolder1$GridView1$ctl08$LinkButton1','')" xr:uid="{B195321E-4405-4B88-8A9F-8CFAED81B596}"/>
    <hyperlink ref="B54" r:id="rId45" display="javascript:__doPostBack('ctl00$ContentPlaceHolder1$GridView1$ctl08$LinkButton1','')" xr:uid="{D3782E56-A7D5-4EE6-937C-DB30D62A93BC}"/>
    <hyperlink ref="B55" r:id="rId46" display="javascript:__doPostBack('ctl00$ContentPlaceHolder1$GridView1$ctl02$LinkButton1','')" xr:uid="{5C15E866-7591-4F39-AA4D-8CA504B05BE5}"/>
    <hyperlink ref="B56" r:id="rId47" display="javascript:__doPostBack('ctl00$ContentPlaceHolder1$GridView1$ctl03$LinkButton1','')" xr:uid="{220F5C6F-9DE3-44A1-A960-D03A7F7E7788}"/>
    <hyperlink ref="B57" r:id="rId48" display="javascript:__doPostBack('ctl00$ContentPlaceHolder1$GridView1$ctl04$LinkButton1','')" xr:uid="{19756840-DC3D-4D45-8A25-BA68F31E8D09}"/>
    <hyperlink ref="B58" r:id="rId49" display="javascript:__doPostBack('ctl00$ContentPlaceHolder1$GridView1$ctl02$LinkButton1','')" xr:uid="{B26DBDAE-AD5B-4B4F-819C-F60497B3EB7A}"/>
    <hyperlink ref="B59" r:id="rId50" display="javascript:__doPostBack('ctl00$ContentPlaceHolder1$GridView1$ctl03$LinkButton1','')" xr:uid="{6814EA6D-964A-430A-B650-685879F89957}"/>
    <hyperlink ref="B62" r:id="rId51" display="javascript:__doPostBack('ctl00$ContentPlaceHolder1$GridView1$ctl03$LinkButton1','')" xr:uid="{BCB04AA0-19B1-4AA9-A4FB-E82C4E5D4159}"/>
    <hyperlink ref="B63" r:id="rId52" display="javascript:__doPostBack('ctl00$ContentPlaceHolder1$GridView1$ctl02$LinkButton1','')" xr:uid="{FA3EEA5C-31E3-422F-946A-7120B624ABB4}"/>
    <hyperlink ref="B64" r:id="rId53" display="javascript:__doPostBack('ctl00$ContentPlaceHolder1$GridView1$ctl03$LinkButton1','')" xr:uid="{683D378C-919B-4A73-8404-7ED296FDAE60}"/>
    <hyperlink ref="B65" r:id="rId54" display="javascript:__doPostBack('ctl00$ContentPlaceHolder1$GridView1$ctl02$LinkButton1','')" xr:uid="{880CC900-BC2F-4AE3-8B58-69890B336BD1}"/>
    <hyperlink ref="B66" r:id="rId55" display="javascript:__doPostBack('ctl00$ContentPlaceHolder1$GridView1$ctl03$LinkButton1','')" xr:uid="{E23DEE89-F280-4712-9476-25519502D669}"/>
    <hyperlink ref="B67" r:id="rId56" display="javascript:__doPostBack('ctl00$ContentPlaceHolder1$GridView1$ctl04$LinkButton1','')" xr:uid="{67518BDD-0BD6-46EE-B6F4-CB350F198A0A}"/>
    <hyperlink ref="B68" r:id="rId57" display="javascript:__doPostBack('ctl00$ContentPlaceHolder1$GridView1$ctl05$LinkButton1','')" xr:uid="{C57CF6F2-0F08-4C66-ACC5-CC2FA4209389}"/>
    <hyperlink ref="B69" r:id="rId58" display="javascript:__doPostBack('ctl00$ContentPlaceHolder1$GridView1$ctl06$LinkButton1','')" xr:uid="{C17BE107-8151-45B4-9D81-AEA57CA584CF}"/>
    <hyperlink ref="B70" r:id="rId59" display="javascript:__doPostBack('ctl00$ContentPlaceHolder1$GridView1$ctl07$LinkButton1','')" xr:uid="{47965013-9193-490D-A3AF-00AF8A4A9D25}"/>
    <hyperlink ref="B71" r:id="rId60" display="javascript:__doPostBack('ctl00$ContentPlaceHolder1$GridView1$ctl08$LinkButton1','')" xr:uid="{247D8DDD-2074-4A6D-97D4-B069347059D3}"/>
    <hyperlink ref="B72" r:id="rId61" display="javascript:__doPostBack('ctl00$ContentPlaceHolder1$GridView1$ctl02$LinkButton1','')" xr:uid="{C2A81283-E2D9-4424-8A4D-DFF1A77413D2}"/>
    <hyperlink ref="B73" r:id="rId62" display="javascript:__doPostBack('ctl00$ContentPlaceHolder1$GridView1$ctl03$LinkButton1','')" xr:uid="{13E89656-F910-440F-B5EE-24FE2A9A51EF}"/>
    <hyperlink ref="B74" r:id="rId63" display="javascript:__doPostBack('ctl00$ContentPlaceHolder1$GridView1$ctl05$LinkButton1','')" xr:uid="{F1BB86EB-A1B0-4355-9A09-0A2CACEA9EE8}"/>
    <hyperlink ref="B75" r:id="rId64" display="javascript:__doPostBack('ctl00$ContentPlaceHolder1$GridView1$ctl06$LinkButton1','')" xr:uid="{7B32376D-CB6E-4D8E-A06E-84B00378BFF3}"/>
    <hyperlink ref="B76" r:id="rId65" display="javascript:__doPostBack('ctl00$ContentPlaceHolder1$GridView1$ctl07$LinkButton1','')" xr:uid="{7CAABFAE-D465-4047-90AE-0DDA66CB54A0}"/>
    <hyperlink ref="B77" r:id="rId66" display="javascript:__doPostBack('ctl00$ContentPlaceHolder1$GridView1$ctl08$LinkButton1','')" xr:uid="{63DDB44C-4F6F-4F1E-9950-7ADDD56E99E1}"/>
    <hyperlink ref="B78" r:id="rId67" display="javascript:__doPostBack('ctl00$ContentPlaceHolder1$GridView1$ctl02$LinkButton1','')" xr:uid="{F5642FA2-7E55-4D68-8348-8801EF8E20D2}"/>
    <hyperlink ref="B79" r:id="rId68" display="javascript:__doPostBack('ctl00$ContentPlaceHolder1$GridView1$ctl03$LinkButton1','')" xr:uid="{45D6AEAD-513E-4B57-ACDB-D8F86DB8A7EC}"/>
    <hyperlink ref="B80" r:id="rId69" display="javascript:__doPostBack('ctl00$ContentPlaceHolder1$GridView1$ctl04$LinkButton1','')" xr:uid="{9CD5B4FF-2ECD-4989-B759-D4E95A13C17D}"/>
    <hyperlink ref="B81" r:id="rId70" display="javascript:__doPostBack('ctl00$ContentPlaceHolder1$GridView1$ctl05$LinkButton1','')" xr:uid="{0DE98F3D-CB6E-4875-ACE6-A753B41FE7FF}"/>
    <hyperlink ref="B82" r:id="rId71" display="javascript:__doPostBack('ctl00$ContentPlaceHolder1$GridView1$ctl06$LinkButton1','')" xr:uid="{633705FE-8DCB-4D58-A95E-EB827AE4CA45}"/>
    <hyperlink ref="J62" r:id="rId72" display="javascript:__doPostBack('ctl00$ContentPlaceHolder1$GridView1','Select$0')" xr:uid="{E8BEFE91-B4BA-4A8A-A772-0F72374D9D97}"/>
    <hyperlink ref="J63" r:id="rId73" display="javascript:__doPostBack('ctl00$ContentPlaceHolder1$GridView1','Select$3')" xr:uid="{84B9C610-95EE-4529-B49E-652CAA76CEB4}"/>
    <hyperlink ref="J64" r:id="rId74" display="javascript:__doPostBack('ctl00$ContentPlaceHolder1$GridView1','Select$4')" xr:uid="{5ED04996-18BF-490D-A9F9-CA7988D44C78}"/>
  </hyperlinks>
  <pageMargins left="0.7" right="0.7" top="0.75" bottom="0.75" header="0.3" footer="0.3"/>
  <pageSetup orientation="portrait"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(4)</vt:lpstr>
      <vt:lpstr>Sheet1 (3)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sidhu .</dc:creator>
  <cp:lastModifiedBy>sidhu .</cp:lastModifiedBy>
  <dcterms:created xsi:type="dcterms:W3CDTF">2015-06-05T18:17:20Z</dcterms:created>
  <dcterms:modified xsi:type="dcterms:W3CDTF">2021-03-28T17:38:31Z</dcterms:modified>
</cp:coreProperties>
</file>