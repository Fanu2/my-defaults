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26.xml.rels" ContentType="application/vnd.openxmlformats-package.relationships+xml"/>
  <Override PartName="/xl/worksheets/_rels/sheet17.xml.rels" ContentType="application/vnd.openxmlformats-package.relationships+xml"/>
  <Override PartName="/xl/worksheets/_rels/sheet30.xml.rels" ContentType="application/vnd.openxmlformats-package.relationships+xml"/>
  <Override PartName="/xl/worksheets/_rels/sheet14.xml.rels" ContentType="application/vnd.openxmlformats-package.relationships+xml"/>
  <Override PartName="/xl/worksheets/_rels/sheet29.xml.rels" ContentType="application/vnd.openxmlformats-package.relationships+xml"/>
  <Override PartName="/xl/worksheets/_rels/sheet23.xml.rels" ContentType="application/vnd.openxmlformats-package.relationships+xml"/>
  <Override PartName="/xl/worksheets/_rels/sheet38.xml.rels" ContentType="application/vnd.openxmlformats-package.relationships+xml"/>
  <Override PartName="/xl/worksheets/_rels/sheet36.xml.rels" ContentType="application/vnd.openxmlformats-package.relationships+xml"/>
  <Override PartName="/xl/worksheets/_rels/sheet21.xml.rels" ContentType="application/vnd.openxmlformats-package.relationships+xml"/>
  <Override PartName="/xl/worksheets/_rels/sheet27.xml.rels" ContentType="application/vnd.openxmlformats-package.relationships+xml"/>
  <Override PartName="/xl/worksheets/_rels/sheet37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5.xml.rels" ContentType="application/vnd.openxmlformats-package.relationships+xml"/>
  <Override PartName="/xl/worksheets/_rels/sheet20.xml.rels" ContentType="application/vnd.openxmlformats-package.relationships+xml"/>
  <Override PartName="/xl/worksheets/_rels/sheet35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33.xml.rels" ContentType="application/vnd.openxmlformats-package.relationships+xml"/>
  <Override PartName="/xl/worksheets/_rels/sheet8.xml.rels" ContentType="application/vnd.openxmlformats-package.relationships+xml"/>
  <Override PartName="/xl/worksheets/_rels/sheet34.xml.rels" ContentType="application/vnd.openxmlformats-package.relationships+xml"/>
  <Override PartName="/xl/worksheets/_rels/sheet7.xml.rels" ContentType="application/vnd.openxmlformats-package.relationships+xml"/>
  <Override PartName="/xl/worksheets/_rels/sheet41.xml.rels" ContentType="application/vnd.openxmlformats-package.relationships+xml"/>
  <Override PartName="/xl/worksheets/_rels/sheet12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31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16.xml.rels" ContentType="application/vnd.openxmlformats-package.relationships+xml"/>
  <Override PartName="/xl/worksheets/_rels/sheet32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1.xml" ContentType="application/vnd.openxmlformats-officedocument.spreadsheetml.worksheet+xml"/>
  <Override PartName="/xl/worksheets/sheet43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comments37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2"/>
  </bookViews>
  <sheets>
    <sheet name="Index" sheetId="1" state="visible" r:id="rId2"/>
    <sheet name="Partition" sheetId="2" state="visible" r:id="rId3"/>
    <sheet name="unit" sheetId="3" state="visible" r:id="rId4"/>
    <sheet name="Khatra" sheetId="4" state="visible" r:id="rId5"/>
    <sheet name="83" sheetId="5" state="visible" r:id="rId6"/>
    <sheet name="84" sheetId="6" state="visible" r:id="rId7"/>
    <sheet name="85" sheetId="7" state="visible" r:id="rId8"/>
    <sheet name="187" sheetId="8" state="visible" r:id="rId9"/>
    <sheet name="188" sheetId="9" state="visible" r:id="rId10"/>
    <sheet name="Sheet4" sheetId="10" state="visible" r:id="rId11"/>
    <sheet name="khatoni" sheetId="11" state="visible" r:id="rId12"/>
    <sheet name="Taruana" sheetId="12" state="visible" r:id="rId13"/>
    <sheet name="1" sheetId="13" state="visible" r:id="rId14"/>
    <sheet name="5" sheetId="14" state="visible" r:id="rId15"/>
    <sheet name="35" sheetId="15" state="visible" r:id="rId16"/>
    <sheet name="208" sheetId="16" state="visible" r:id="rId17"/>
    <sheet name="216" sheetId="17" state="visible" r:id="rId18"/>
    <sheet name="217" sheetId="18" state="visible" r:id="rId19"/>
    <sheet name="218" sheetId="19" state="visible" r:id="rId20"/>
    <sheet name="265" sheetId="20" state="visible" r:id="rId21"/>
    <sheet name="336" sheetId="21" state="visible" r:id="rId22"/>
    <sheet name="339" sheetId="22" state="visible" r:id="rId23"/>
    <sheet name="340" sheetId="23" state="visible" r:id="rId24"/>
    <sheet name="344" sheetId="24" state="visible" r:id="rId25"/>
    <sheet name="345" sheetId="25" state="visible" r:id="rId26"/>
    <sheet name="347" sheetId="26" state="visible" r:id="rId27"/>
    <sheet name="349" sheetId="27" state="visible" r:id="rId28"/>
    <sheet name="353" sheetId="28" state="visible" r:id="rId29"/>
    <sheet name="354" sheetId="29" state="visible" r:id="rId30"/>
    <sheet name="355" sheetId="30" state="visible" r:id="rId31"/>
    <sheet name="356" sheetId="31" state="visible" r:id="rId32"/>
    <sheet name="358" sheetId="32" state="visible" r:id="rId33"/>
    <sheet name="359" sheetId="33" state="visible" r:id="rId34"/>
    <sheet name="362" sheetId="34" state="visible" r:id="rId35"/>
    <sheet name="394" sheetId="35" state="visible" r:id="rId36"/>
    <sheet name="406" sheetId="36" state="visible" r:id="rId37"/>
    <sheet name="Kalanwali" sheetId="37" state="visible" r:id="rId38"/>
    <sheet name="528" sheetId="38" state="visible" r:id="rId39"/>
    <sheet name="529" sheetId="39" state="visible" r:id="rId40"/>
    <sheet name="530" sheetId="40" state="visible" r:id="rId41"/>
    <sheet name="531" sheetId="41" state="visible" r:id="rId42"/>
    <sheet name="Sheet2" sheetId="42" state="visible" r:id="rId43"/>
    <sheet name="dispute" sheetId="43" state="visible" r:id="rId44"/>
  </sheets>
  <definedNames>
    <definedName function="false" hidden="false" localSheetId="1" name="fb_share" vbProcedure="false">Partition!$C$234</definedName>
    <definedName function="false" hidden="false" localSheetId="1" name="up" vbProcedure="false">Partition!$B$7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M22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8"/>
            <color rgb="FF000000"/>
            <rFont val="Tahoma"/>
            <family val="2"/>
            <charset val="1"/>
          </rPr>
          <t xml:space="preserve">Gair Mumkin 0-5</t>
        </r>
      </text>
    </comment>
    <comment ref="M49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8"/>
            <color rgb="FF000000"/>
            <rFont val="Tahoma"/>
            <family val="2"/>
            <charset val="1"/>
          </rPr>
          <t xml:space="preserve">Gair Mumkin 0-6</t>
        </r>
      </text>
    </comment>
  </commentList>
</comments>
</file>

<file path=xl/comments3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M22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8"/>
            <color rgb="FF000000"/>
            <rFont val="Tahoma"/>
            <family val="2"/>
            <charset val="1"/>
          </rPr>
          <t xml:space="preserve">Gair Mumkin 0-5</t>
        </r>
      </text>
    </comment>
    <comment ref="M43" authorId="0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8"/>
            <color rgb="FF000000"/>
            <rFont val="Tahoma"/>
            <family val="2"/>
            <charset val="1"/>
          </rPr>
          <t xml:space="preserve">Gair Mumkin 0-6</t>
        </r>
      </text>
    </comment>
  </commentList>
</comments>
</file>

<file path=xl/sharedStrings.xml><?xml version="1.0" encoding="utf-8"?>
<sst xmlns="http://schemas.openxmlformats.org/spreadsheetml/2006/main" count="7219" uniqueCount="2899">
  <si>
    <t xml:space="preserve">Village</t>
  </si>
  <si>
    <t xml:space="preserve">Khatra</t>
  </si>
  <si>
    <t xml:space="preserve">Kalanwali</t>
  </si>
  <si>
    <t xml:space="preserve">taruana</t>
  </si>
  <si>
    <t xml:space="preserve">Khatouni</t>
  </si>
  <si>
    <t xml:space="preserve">Thakuranwali</t>
  </si>
  <si>
    <t xml:space="preserve">Front</t>
  </si>
  <si>
    <t xml:space="preserve">Rasta</t>
  </si>
  <si>
    <t xml:space="preserve">Length</t>
  </si>
  <si>
    <t xml:space="preserve">Breadth</t>
  </si>
  <si>
    <t xml:space="preserve">back</t>
  </si>
  <si>
    <t xml:space="preserve">Near Marba</t>
  </si>
  <si>
    <t xml:space="preserve"> </t>
  </si>
  <si>
    <t xml:space="preserve">Corner</t>
  </si>
  <si>
    <t xml:space="preserve">Behlan</t>
  </si>
  <si>
    <t xml:space="preserve">Total Front</t>
  </si>
  <si>
    <t xml:space="preserve">Khal</t>
  </si>
  <si>
    <t xml:space="preserve">Sukhpal</t>
  </si>
  <si>
    <t xml:space="preserve">Baljeet</t>
  </si>
  <si>
    <t xml:space="preserve">Baljinder</t>
  </si>
  <si>
    <t xml:space="preserve">Jasvir</t>
  </si>
  <si>
    <t xml:space="preserve">Gebeali</t>
  </si>
  <si>
    <t xml:space="preserve">front</t>
  </si>
  <si>
    <t xml:space="preserve">Second from Kotha</t>
  </si>
  <si>
    <t xml:space="preserve">width</t>
  </si>
  <si>
    <t xml:space="preserve">Starting Kotha</t>
  </si>
  <si>
    <t xml:space="preserve">Bhatha</t>
  </si>
  <si>
    <t xml:space="preserve">Total Lenghth</t>
  </si>
  <si>
    <t xml:space="preserve">360 feet</t>
  </si>
  <si>
    <t xml:space="preserve">Jasvir Singh</t>
  </si>
  <si>
    <t xml:space="preserve">adjoing to existing share</t>
  </si>
  <si>
    <t xml:space="preserve">(B) AREA MEASURES</t>
  </si>
  <si>
    <t xml:space="preserve">(I) GHUMAO MEASURE</t>
  </si>
  <si>
    <t xml:space="preserve">Units</t>
  </si>
  <si>
    <t xml:space="preserve">66" Karam</t>
  </si>
  <si>
    <t xml:space="preserve">60"Karam</t>
  </si>
  <si>
    <t xml:space="preserve">57.5"Karam</t>
  </si>
  <si>
    <t xml:space="preserve">54"Karam</t>
  </si>
  <si>
    <t xml:space="preserve">(Sq. meters)</t>
  </si>
  <si>
    <t xml:space="preserve">1 Sarsahi</t>
  </si>
  <si>
    <t xml:space="preserve">..</t>
  </si>
  <si>
    <t xml:space="preserve">2 Sarsahis</t>
  </si>
  <si>
    <t xml:space="preserve">3    "</t>
  </si>
  <si>
    <t xml:space="preserve">"</t>
  </si>
  <si>
    <t xml:space="preserve">1 Marla</t>
  </si>
  <si>
    <t xml:space="preserve">..        227.635677376</t>
  </si>
  <si>
    <t xml:space="preserve">Marlas</t>
  </si>
  <si>
    <t xml:space="preserve">1 Kanal</t>
  </si>
  <si>
    <t xml:space="preserve">2 Kanal</t>
  </si>
  <si>
    <t xml:space="preserve">1151.852535 1015.89474240</t>
  </si>
  <si>
    <t xml:space="preserve">1535.80338    1354.52632820</t>
  </si>
  <si>
    <t xml:space="preserve">1919.754225  1679.15790400</t>
  </si>
  <si>
    <t xml:space="preserve">2303.70507    2031.78948480</t>
  </si>
  <si>
    <t xml:space="preserve">2687.655915  2370.42106560</t>
  </si>
  <si>
    <t xml:space="preserve">1 Ghumao</t>
  </si>
  <si>
    <t xml:space="preserve">2 Ghumaos</t>
  </si>
  <si>
    <t xml:space="preserve">6143.21352    5418.10529280</t>
  </si>
  <si>
    <t xml:space="preserve">..       12140.5692672</t>
  </si>
  <si>
    <t xml:space="preserve">9214.82028    8127.15793920</t>
  </si>
  <si>
    <t xml:space="preserve">..        16187.4256896</t>
  </si>
  <si>
    <t xml:space="preserve">12286.42704  10836.21058560</t>
  </si>
  <si>
    <t xml:space="preserve">..         20234.282112</t>
  </si>
  <si>
    <t xml:space="preserve">..      24281.1385344</t>
  </si>
  <si>
    <t xml:space="preserve">..      28327.9949568</t>
  </si>
  <si>
    <t xml:space="preserve">..     32374.8513792</t>
  </si>
  <si>
    <t xml:space="preserve">..     36421.7078016</t>
  </si>
  <si>
    <t xml:space="preserve">..     40468.564224</t>
  </si>
  <si>
    <t xml:space="preserve">----------------------------------------------------------------------------------------------------------------</t>
  </si>
  <si>
    <t xml:space="preserve">(ii) BIGHA MEASURE</t>
  </si>
  <si>
    <t xml:space="preserve">Unit</t>
  </si>
  <si>
    <t xml:space="preserve">99'Gatha</t>
  </si>
  <si>
    <t xml:space="preserve">60"karam</t>
  </si>
  <si>
    <t xml:space="preserve">57.157"Karam or</t>
  </si>
  <si>
    <t xml:space="preserve">(Sq.meter)</t>
  </si>
  <si>
    <t xml:space="preserve">Gatha (Sq.meter)</t>
  </si>
  <si>
    <t xml:space="preserve">       </t>
  </si>
  <si>
    <t xml:space="preserve">Biswansi</t>
  </si>
  <si>
    <t xml:space="preserve">Biswansis</t>
  </si>
  <si>
    <t xml:space="preserve">    "</t>
  </si>
  <si>
    <t xml:space="preserve">Biswa</t>
  </si>
  <si>
    <t xml:space="preserve">Bigha</t>
  </si>
  <si>
    <r>
      <rPr>
        <sz val="11"/>
        <color rgb="FF000000"/>
        <rFont val="FreeSans"/>
        <family val="2"/>
      </rPr>
      <t xml:space="preserve">पटवारी कानूनगो फोम􀁛 न</t>
    </r>
    <r>
      <rPr>
        <sz val="11"/>
        <color rgb="FF000000"/>
        <rFont val="Calibri"/>
        <family val="2"/>
        <charset val="1"/>
      </rPr>
      <t xml:space="preserve">. 10</t>
    </r>
  </si>
  <si>
    <t xml:space="preserve">Index</t>
  </si>
  <si>
    <t xml:space="preserve">az</t>
  </si>
  <si>
    <t xml:space="preserve">जमाबंदी नकल</t>
  </si>
  <si>
    <r>
      <rPr>
        <sz val="11"/>
        <color rgb="FF000000"/>
        <rFont val="FreeSans"/>
        <family val="2"/>
      </rPr>
      <t xml:space="preserve">गांव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FreeSans"/>
        <family val="2"/>
      </rPr>
      <t xml:space="preserve">ता􀇾आना हदबःत न</t>
    </r>
    <r>
      <rPr>
        <sz val="11"/>
        <color rgb="FF000000"/>
        <rFont val="Calibri"/>
        <family val="2"/>
        <charset val="1"/>
      </rPr>
      <t xml:space="preserve">.: 0315 </t>
    </r>
    <r>
      <rPr>
        <sz val="11"/>
        <color rgb="FF000000"/>
        <rFont val="FreeSans"/>
        <family val="2"/>
      </rPr>
      <t xml:space="preserve">तहसीलक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FreeSans"/>
        <family val="2"/>
      </rPr>
      <t xml:space="preserve">ालांवाली 􀇔जलिास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रसा साल</t>
    </r>
    <r>
      <rPr>
        <sz val="11"/>
        <color rgb="FF000000"/>
        <rFont val="Calibri"/>
        <family val="2"/>
        <charset val="1"/>
      </rPr>
      <t xml:space="preserve">2:007-2008</t>
    </r>
  </si>
  <si>
    <t xml:space="preserve">खेवट या</t>
  </si>
  <si>
    <t xml:space="preserve">खतौनी</t>
  </si>
  <si>
    <t xml:space="preserve">नाम</t>
  </si>
  <si>
    <t xml:space="preserve">􀇒ववरण</t>
  </si>
  <si>
    <t xml:space="preserve">कुंए या</t>
  </si>
  <si>
    <t xml:space="preserve">न􀃠बर खसरा</t>
  </si>
  <si>
    <t xml:space="preserve">र􀃈बा</t>
  </si>
  <si>
    <t xml:space="preserve">􀇑कःम</t>
  </si>
  <si>
    <t xml:space="preserve">दर और सं􀃉या</t>
  </si>
  <si>
    <t xml:space="preserve">􀇑हःसा या</t>
  </si>
  <si>
    <t xml:space="preserve">माल और</t>
  </si>
  <si>
    <t xml:space="preserve">अिभयु􀇒􀆠</t>
  </si>
  <si>
    <t xml:space="preserve">जमाबंदी</t>
  </si>
  <si>
    <r>
      <rPr>
        <sz val="11"/>
        <color rgb="FF000000"/>
        <rFont val="FreeSans"/>
        <family val="2"/>
      </rPr>
      <t xml:space="preserve">न</t>
    </r>
    <r>
      <rPr>
        <sz val="11"/>
        <color rgb="FF000000"/>
        <rFont val="Calibri"/>
        <family val="2"/>
        <charset val="1"/>
      </rPr>
      <t xml:space="preserve">.</t>
    </r>
  </si>
  <si>
    <t xml:space="preserve">तरफ</t>
  </si>
  <si>
    <t xml:space="preserve">स􀇑हत</t>
  </si>
  <si>
    <t xml:space="preserve">िसंचाइ के</t>
  </si>
  <si>
    <t xml:space="preserve">या मुर􀃞बे और</t>
  </si>
  <si>
    <t xml:space="preserve">और</t>
  </si>
  <si>
    <t xml:space="preserve">जमीन</t>
  </si>
  <si>
    <t xml:space="preserve">के 􀃞यौरे के</t>
  </si>
  <si>
    <t xml:space="preserve">हक􀈧यत का</t>
  </si>
  <si>
    <t xml:space="preserve">सवाई के</t>
  </si>
  <si>
    <t xml:space="preserve">old khewat</t>
  </si>
  <si>
    <t xml:space="preserve">या प􀆣ी</t>
  </si>
  <si>
    <t xml:space="preserve">मािलक</t>
  </si>
  <si>
    <t xml:space="preserve">Hissa</t>
  </si>
  <si>
    <t xml:space="preserve">काँतकार</t>
  </si>
  <si>
    <t xml:space="preserve">अ􀃛य साधन</t>
  </si>
  <si>
    <t xml:space="preserve">􀇑कले का</t>
  </si>
  <si>
    <t xml:space="preserve">साथ लगान जो</t>
  </si>
  <si>
    <t xml:space="preserve">पैमाना और</t>
  </si>
  <si>
    <t xml:space="preserve">􀃞यौरे</t>
  </si>
  <si>
    <t xml:space="preserve">का नाम</t>
  </si>
  <si>
    <t xml:space="preserve">Murba</t>
  </si>
  <si>
    <t xml:space="preserve">न􀃠बर</t>
  </si>
  <si>
    <t xml:space="preserve">Kanal</t>
  </si>
  <si>
    <t xml:space="preserve">Marla</t>
  </si>
  <si>
    <t xml:space="preserve">Type</t>
  </si>
  <si>
    <t xml:space="preserve">मुजारा देता है</t>
  </si>
  <si>
    <t xml:space="preserve">बाछ का ढंग</t>
  </si>
  <si>
    <t xml:space="preserve">स􀇑हत मांग</t>
  </si>
  <si>
    <t xml:space="preserve">Khatrawan</t>
  </si>
  <si>
    <t xml:space="preserve">Gurbachan Singh S/o Bishan Singh S/o Budh Singh</t>
  </si>
  <si>
    <t xml:space="preserve">83/346</t>
  </si>
  <si>
    <t xml:space="preserve">Satpal Singh and Sukhpal Singh </t>
  </si>
  <si>
    <t xml:space="preserve">inteqal no. 2032</t>
  </si>
  <si>
    <t xml:space="preserve">Darshna devi @ darshna kaur  w/o Gurbachan Singh S/o Bishan Singh </t>
  </si>
  <si>
    <t xml:space="preserve">101/346</t>
  </si>
  <si>
    <t xml:space="preserve">Sukhpal singh and Satpal Singh s/o Gurbachan Singh S/o Bishan Singh </t>
  </si>
  <si>
    <t xml:space="preserve">57/346</t>
  </si>
  <si>
    <t xml:space="preserve"> Jagsir Singh   s/o Ajmer Singh s/o Bishan Singh</t>
  </si>
  <si>
    <t xml:space="preserve">25/346</t>
  </si>
  <si>
    <t xml:space="preserve">inteqal no. 2097(wirasat)</t>
  </si>
  <si>
    <t xml:space="preserve">Baisakha Singh   s/o Ajmer Singh s/o Bishan Singh</t>
  </si>
  <si>
    <t xml:space="preserve"> Bhajna Singh s/o Ajmer Singh s/o Bishan Singh</t>
  </si>
  <si>
    <t xml:space="preserve"> Ram Singh s/o Hakam Singh s/o Jai Singh</t>
  </si>
  <si>
    <t xml:space="preserve">27/346</t>
  </si>
  <si>
    <t xml:space="preserve"> Sukhdev Singh s/o Hakam Singh s/o Jai Singh</t>
  </si>
  <si>
    <t xml:space="preserve">5/173</t>
  </si>
  <si>
    <t xml:space="preserve"> Ajaib Singh &amp; Balraj Singh s/o of Chotta Singh  s/o Hakam Singh</t>
  </si>
  <si>
    <t xml:space="preserve">9/173</t>
  </si>
  <si>
    <t xml:space="preserve">Satpal Singh s/o Gurbachan Singh S/o Bishan Singh </t>
  </si>
  <si>
    <t xml:space="preserve">8/1</t>
  </si>
  <si>
    <t xml:space="preserve">8/2</t>
  </si>
  <si>
    <t xml:space="preserve">Mizan Haqiat</t>
  </si>
  <si>
    <t xml:space="preserve">Sada Singh</t>
  </si>
  <si>
    <t xml:space="preserve">321/1347</t>
  </si>
  <si>
    <t xml:space="preserve">5/1</t>
  </si>
  <si>
    <t xml:space="preserve">Nahari</t>
  </si>
  <si>
    <t xml:space="preserve">Maha Kaur w/o Chanan Ram s/o Dilsukh</t>
  </si>
  <si>
    <t xml:space="preserve">107/1347</t>
  </si>
  <si>
    <t xml:space="preserve">5/2</t>
  </si>
  <si>
    <t xml:space="preserve">Murthan Darshna kaur  w/o Gurbachan Singh S/o Bishan Singh </t>
  </si>
  <si>
    <t xml:space="preserve">224/1347</t>
  </si>
  <si>
    <t xml:space="preserve">6/1</t>
  </si>
  <si>
    <t xml:space="preserve">Chanan Ram s/o Dilsukh</t>
  </si>
  <si>
    <t xml:space="preserve">170/1347</t>
  </si>
  <si>
    <t xml:space="preserve">6/2</t>
  </si>
  <si>
    <t xml:space="preserve">7min</t>
  </si>
  <si>
    <t xml:space="preserve">14/1</t>
  </si>
  <si>
    <t xml:space="preserve">98/1347</t>
  </si>
  <si>
    <t xml:space="preserve">14/2</t>
  </si>
  <si>
    <t xml:space="preserve">106/1347</t>
  </si>
  <si>
    <t xml:space="preserve"> Sukhdev Singh s/o Hakam Singh&amp; Ajaib Singh and Balraj Singh s/o Chota singh  s/o Jai Singh</t>
  </si>
  <si>
    <t xml:space="preserve">70/1347</t>
  </si>
  <si>
    <t xml:space="preserve">Need to be understood</t>
  </si>
  <si>
    <t xml:space="preserve">Basakha Singh wasi deh</t>
  </si>
  <si>
    <t xml:space="preserve">Ram  Singh wasi deh</t>
  </si>
  <si>
    <t xml:space="preserve">21min</t>
  </si>
  <si>
    <t xml:space="preserve">Jati</t>
  </si>
  <si>
    <t xml:space="preserve">Darshna d/o Dani d/o Sunder </t>
  </si>
  <si>
    <t xml:space="preserve">35/99</t>
  </si>
  <si>
    <t xml:space="preserve">35/297</t>
  </si>
  <si>
    <t xml:space="preserve">4/1</t>
  </si>
  <si>
    <t xml:space="preserve">4/99</t>
  </si>
  <si>
    <t xml:space="preserve">23/297</t>
  </si>
  <si>
    <t xml:space="preserve"> Baldev kaur w/o Ram Singh s/o Hakam Singh</t>
  </si>
  <si>
    <t xml:space="preserve">122/297</t>
  </si>
  <si>
    <t xml:space="preserve"> Sukhdev singh  Ajaib Singh &amp; Balraj Singh s/o of Chotta Singh  s/o Hakam Singh</t>
  </si>
  <si>
    <t xml:space="preserve">Print NA</t>
  </si>
  <si>
    <t xml:space="preserve">0//142</t>
  </si>
  <si>
    <t xml:space="preserve">awwas</t>
  </si>
  <si>
    <t xml:space="preserve">0//247</t>
  </si>
  <si>
    <t xml:space="preserve">0//343</t>
  </si>
  <si>
    <t xml:space="preserve">gadde</t>
  </si>
  <si>
    <t xml:space="preserve">Darshana d/o dani d/o Sunder</t>
  </si>
  <si>
    <t xml:space="preserve">1175/1638</t>
  </si>
  <si>
    <t xml:space="preserve">gurbachan Singh</t>
  </si>
  <si>
    <t xml:space="preserve">1/3</t>
  </si>
  <si>
    <t xml:space="preserve">Satpal/mukhtiar Singh s/o gurbachan singh</t>
  </si>
  <si>
    <t xml:space="preserve">367/2205</t>
  </si>
  <si>
    <t xml:space="preserve">Chinder Kaur</t>
  </si>
  <si>
    <t xml:space="preserve">1/6</t>
  </si>
  <si>
    <t xml:space="preserve">Malkit Singh</t>
  </si>
  <si>
    <r>
      <rPr>
        <sz val="11"/>
        <color rgb="FF000000"/>
        <rFont val="FreeSans"/>
        <family val="2"/>
      </rPr>
      <t xml:space="preserve">  </t>
    </r>
    <r>
      <rPr>
        <b val="true"/>
        <sz val="11"/>
        <color rgb="FF000080"/>
        <rFont val="FreeSans"/>
        <family val="2"/>
      </rPr>
      <t xml:space="preserve">पटवारी कानूनगो फोर्म न</t>
    </r>
    <r>
      <rPr>
        <b val="true"/>
        <sz val="11"/>
        <color rgb="FF000080"/>
        <rFont val="Calibri"/>
        <family val="2"/>
        <charset val="1"/>
      </rPr>
      <t xml:space="preserve">. 10 </t>
    </r>
  </si>
  <si>
    <r>
      <rPr>
        <b val="true"/>
        <sz val="11"/>
        <color rgb="FF00008B"/>
        <rFont val="FreeSans"/>
        <family val="2"/>
      </rPr>
      <t xml:space="preserve">गांव</t>
    </r>
    <r>
      <rPr>
        <b val="true"/>
        <sz val="11"/>
        <color rgb="FF00008B"/>
        <rFont val="Calibri"/>
        <family val="2"/>
        <charset val="1"/>
      </rPr>
      <t xml:space="preserve">: </t>
    </r>
  </si>
  <si>
    <t xml:space="preserve">खतरावां</t>
  </si>
  <si>
    <r>
      <rPr>
        <b val="true"/>
        <sz val="11"/>
        <color rgb="FF00008B"/>
        <rFont val="FreeSans"/>
        <family val="2"/>
      </rPr>
      <t xml:space="preserve">हदबस्त न</t>
    </r>
    <r>
      <rPr>
        <b val="true"/>
        <sz val="11"/>
        <color rgb="FF00008B"/>
        <rFont val="Calibri"/>
        <family val="2"/>
        <charset val="1"/>
      </rPr>
      <t xml:space="preserve">.: </t>
    </r>
  </si>
  <si>
    <r>
      <rPr>
        <b val="true"/>
        <sz val="11"/>
        <color rgb="FF00008B"/>
        <rFont val="FreeSans"/>
        <family val="2"/>
      </rPr>
      <t xml:space="preserve">तहसील</t>
    </r>
    <r>
      <rPr>
        <b val="true"/>
        <sz val="11"/>
        <color rgb="FF00008B"/>
        <rFont val="Calibri"/>
        <family val="2"/>
        <charset val="1"/>
      </rPr>
      <t xml:space="preserve">:</t>
    </r>
  </si>
  <si>
    <t xml:space="preserve">कालांवाली</t>
  </si>
  <si>
    <r>
      <rPr>
        <b val="true"/>
        <sz val="11"/>
        <color rgb="FF00008B"/>
        <rFont val="FreeSans"/>
        <family val="2"/>
      </rPr>
      <t xml:space="preserve">जिला</t>
    </r>
    <r>
      <rPr>
        <b val="true"/>
        <sz val="11"/>
        <color rgb="FF00008B"/>
        <rFont val="Calibri"/>
        <family val="2"/>
        <charset val="1"/>
      </rPr>
      <t xml:space="preserve">: </t>
    </r>
  </si>
  <si>
    <t xml:space="preserve">सिरसा</t>
  </si>
  <si>
    <r>
      <rPr>
        <b val="true"/>
        <sz val="11"/>
        <color rgb="FF00008B"/>
        <rFont val="FreeSans"/>
        <family val="2"/>
      </rPr>
      <t xml:space="preserve">साल</t>
    </r>
    <r>
      <rPr>
        <b val="true"/>
        <sz val="11"/>
        <color rgb="FF00008B"/>
        <rFont val="Calibri"/>
        <family val="2"/>
        <charset val="1"/>
      </rPr>
      <t xml:space="preserve">: </t>
    </r>
  </si>
  <si>
    <t xml:space="preserve">2006-2007</t>
  </si>
  <si>
    <t xml:space="preserve">Take Print ;   </t>
  </si>
  <si>
    <t xml:space="preserve">Error -5678: Unable to process the Nakal.</t>
  </si>
  <si>
    <r>
      <rPr>
        <sz val="11"/>
        <color rgb="FF000000"/>
        <rFont val="FreeSans"/>
        <family val="2"/>
      </rPr>
      <t xml:space="preserve">     </t>
    </r>
    <r>
      <rPr>
        <b val="true"/>
        <sz val="11"/>
        <color rgb="FF000080"/>
        <rFont val="FreeSans"/>
        <family val="2"/>
      </rPr>
      <t xml:space="preserve">जमाबंदी नकल</t>
    </r>
    <r>
      <rPr>
        <sz val="11"/>
        <color rgb="FF000000"/>
        <rFont val="FreeSans"/>
        <family val="2"/>
      </rPr>
      <t xml:space="preserve">  </t>
    </r>
    <r>
      <rPr>
        <b val="true"/>
        <sz val="11"/>
        <color rgb="FF000080"/>
        <rFont val="FreeSans"/>
        <family val="2"/>
      </rPr>
      <t xml:space="preserve">पटवारी कानूनगो फोर्म न</t>
    </r>
    <r>
      <rPr>
        <b val="true"/>
        <sz val="11"/>
        <color rgb="FF000080"/>
        <rFont val="Calibri"/>
        <family val="2"/>
        <charset val="1"/>
      </rPr>
      <t xml:space="preserve">. 10 </t>
    </r>
  </si>
  <si>
    <r>
      <rPr>
        <b val="true"/>
        <sz val="12"/>
        <color rgb="FF000000"/>
        <rFont val="FreeSans"/>
        <family val="2"/>
      </rPr>
      <t xml:space="preserve">खेवट या जमाबंदी न</t>
    </r>
    <r>
      <rPr>
        <b val="true"/>
        <sz val="12"/>
        <color rgb="FF000000"/>
        <rFont val="Calibri"/>
        <family val="2"/>
        <charset val="1"/>
      </rPr>
      <t xml:space="preserve">.</t>
    </r>
  </si>
  <si>
    <r>
      <rPr>
        <b val="true"/>
        <sz val="12"/>
        <color rgb="FF000000"/>
        <rFont val="FreeSans"/>
        <family val="2"/>
      </rPr>
      <t xml:space="preserve">खतौनी न</t>
    </r>
    <r>
      <rPr>
        <b val="true"/>
        <sz val="12"/>
        <color rgb="FF000000"/>
        <rFont val="Calibri"/>
        <family val="2"/>
        <charset val="1"/>
      </rPr>
      <t xml:space="preserve">.</t>
    </r>
  </si>
  <si>
    <t xml:space="preserve">नाम तरफ या पत्ती</t>
  </si>
  <si>
    <t xml:space="preserve">विवरण सहित मालिक नाम</t>
  </si>
  <si>
    <t xml:space="preserve">विवरण सहित काश्तकार</t>
  </si>
  <si>
    <t xml:space="preserve">कुंए या सिंचाइ के अन्य साधन का नाम</t>
  </si>
  <si>
    <t xml:space="preserve">नम्बर खसरा या मुरब्बे और किले का नम्बर</t>
  </si>
  <si>
    <t xml:space="preserve">रक्बा और किस्म जमीन</t>
  </si>
  <si>
    <t xml:space="preserve">दर और संख्या के ब्यौरे के साथ लगान जो मुजारा देता है</t>
  </si>
  <si>
    <t xml:space="preserve">हिस्सा या हकीयत का पैमाना और बाछ का ढंग</t>
  </si>
  <si>
    <t xml:space="preserve">माल और सवाई के ब्यौरे सहित मांग</t>
  </si>
  <si>
    <t xml:space="preserve">अभियुक्ति</t>
  </si>
  <si>
    <t xml:space="preserve">साईदिता</t>
  </si>
  <si>
    <t xml:space="preserve">गुरबचन सिंह पुत्र</t>
  </si>
  <si>
    <t xml:space="preserve">दर्शना देवी</t>
  </si>
  <si>
    <t xml:space="preserve">1//</t>
  </si>
  <si>
    <r>
      <rPr>
        <sz val="12"/>
        <color rgb="FF000000"/>
        <rFont val="FreeSans"/>
        <family val="2"/>
      </rPr>
      <t xml:space="preserve">इन्तकाल न</t>
    </r>
    <r>
      <rPr>
        <sz val="12"/>
        <color rgb="FF000000"/>
        <rFont val="Calibri"/>
        <family val="2"/>
        <charset val="1"/>
      </rPr>
      <t xml:space="preserve">.2032 </t>
    </r>
    <r>
      <rPr>
        <sz val="12"/>
        <color rgb="FF000000"/>
        <rFont val="FreeSans"/>
        <family val="2"/>
      </rPr>
      <t xml:space="preserve">त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</t>
    </r>
    <r>
      <rPr>
        <sz val="12"/>
        <color rgb="FF000000"/>
        <rFont val="Calibri"/>
        <family val="2"/>
        <charset val="1"/>
      </rPr>
      <t xml:space="preserve">.</t>
    </r>
  </si>
  <si>
    <t xml:space="preserve">//</t>
  </si>
  <si>
    <t xml:space="preserve">विसन सिंह पुत्र</t>
  </si>
  <si>
    <t xml:space="preserve">वासीदेह</t>
  </si>
  <si>
    <r>
      <rPr>
        <sz val="12"/>
        <color rgb="FF000000"/>
        <rFont val="Calibri"/>
        <family val="2"/>
        <charset val="1"/>
      </rPr>
      <t xml:space="preserve">2-18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</si>
  <si>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इन्तकाल न</t>
    </r>
    <r>
      <rPr>
        <sz val="12"/>
        <color rgb="FF000000"/>
        <rFont val="Calibri"/>
        <family val="2"/>
        <charset val="1"/>
      </rPr>
      <t xml:space="preserve">.2097 </t>
    </r>
    <r>
      <rPr>
        <sz val="12"/>
        <color rgb="FF000000"/>
        <rFont val="FreeSans"/>
        <family val="2"/>
      </rPr>
      <t xml:space="preserve">विरासत</t>
    </r>
  </si>
  <si>
    <t xml:space="preserve">बुध सिंह</t>
  </si>
  <si>
    <t xml:space="preserve">हिस्सेदार</t>
  </si>
  <si>
    <r>
      <rPr>
        <sz val="12"/>
        <color rgb="FF000000"/>
        <rFont val="Calibri"/>
        <family val="2"/>
        <charset val="1"/>
      </rPr>
      <t xml:space="preserve">83/346 </t>
    </r>
    <r>
      <rPr>
        <sz val="12"/>
        <color rgb="FF000000"/>
        <rFont val="FreeSans"/>
        <family val="2"/>
      </rPr>
      <t xml:space="preserve">भाग</t>
    </r>
  </si>
  <si>
    <t xml:space="preserve">दर्शना देवी पत्नी</t>
  </si>
  <si>
    <t xml:space="preserve">विशन सिंह</t>
  </si>
  <si>
    <r>
      <rPr>
        <sz val="12"/>
        <color rgb="FF000000"/>
        <rFont val="Calibri"/>
        <family val="2"/>
        <charset val="1"/>
      </rPr>
      <t xml:space="preserve">101/346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</si>
  <si>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सतपाल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</si>
  <si>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सुखपाल सिंह पुत्रान</t>
  </si>
  <si>
    <t xml:space="preserve">हर दो समभाग</t>
  </si>
  <si>
    <r>
      <rPr>
        <sz val="12"/>
        <color rgb="FF000000"/>
        <rFont val="Calibri"/>
        <family val="2"/>
        <charset val="1"/>
      </rPr>
      <t xml:space="preserve">57/346 </t>
    </r>
    <r>
      <rPr>
        <sz val="12"/>
        <color rgb="FF000000"/>
        <rFont val="FreeSans"/>
        <family val="2"/>
      </rPr>
      <t xml:space="preserve">भाग</t>
    </r>
  </si>
  <si>
    <t xml:space="preserve">जगसीर सिंह पुत्र</t>
  </si>
  <si>
    <t xml:space="preserve">अजमेर सिंह पुत्र</t>
  </si>
  <si>
    <r>
      <rPr>
        <sz val="12"/>
        <color rgb="FF000000"/>
        <rFont val="Calibri"/>
        <family val="2"/>
        <charset val="1"/>
      </rPr>
      <t xml:space="preserve">25/346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</si>
  <si>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वैशाखा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</si>
  <si>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भजन सिंह पुत्रान</t>
  </si>
  <si>
    <t xml:space="preserve">रामसिंह पुत्र</t>
  </si>
  <si>
    <t xml:space="preserve">हाकम सिंह पुत्र</t>
  </si>
  <si>
    <t xml:space="preserve">जय सिंह</t>
  </si>
  <si>
    <r>
      <rPr>
        <sz val="12"/>
        <color rgb="FF000000"/>
        <rFont val="Calibri"/>
        <family val="2"/>
        <charset val="1"/>
      </rPr>
      <t xml:space="preserve">27/346 </t>
    </r>
    <r>
      <rPr>
        <sz val="12"/>
        <color rgb="FF000000"/>
        <rFont val="FreeSans"/>
        <family val="2"/>
      </rPr>
      <t xml:space="preserve">भाग</t>
    </r>
  </si>
  <si>
    <t xml:space="preserve">सुखदेव सिंह पुत्र</t>
  </si>
  <si>
    <r>
      <rPr>
        <sz val="12"/>
        <color rgb="FF000000"/>
        <rFont val="Calibri"/>
        <family val="2"/>
        <charset val="1"/>
      </rPr>
      <t xml:space="preserve">5/173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</si>
  <si>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अजायब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</si>
  <si>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बलराज सिंह पुत्रान</t>
  </si>
  <si>
    <t xml:space="preserve">छोटा सिंह पुत्र</t>
  </si>
  <si>
    <t xml:space="preserve">हाकम सिंह</t>
  </si>
  <si>
    <r>
      <rPr>
        <sz val="12"/>
        <color rgb="FF000000"/>
        <rFont val="Calibri"/>
        <family val="2"/>
        <charset val="1"/>
      </rPr>
      <t xml:space="preserve">9/173 </t>
    </r>
    <r>
      <rPr>
        <sz val="12"/>
        <color rgb="FF000000"/>
        <rFont val="FreeSans"/>
        <family val="2"/>
      </rPr>
      <t xml:space="preserve">भाग</t>
    </r>
  </si>
  <si>
    <t xml:space="preserve">सतपाल सिंह</t>
  </si>
  <si>
    <t xml:space="preserve">10//</t>
  </si>
  <si>
    <r>
      <rPr>
        <sz val="12"/>
        <color rgb="FF000000"/>
        <rFont val="Calibri"/>
        <family val="2"/>
        <charset val="1"/>
      </rPr>
      <t xml:space="preserve">5-14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</si>
  <si>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5-2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</si>
  <si>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0-12 </t>
    </r>
    <r>
      <rPr>
        <sz val="12"/>
        <color rgb="FF000000"/>
        <rFont val="FreeSans"/>
        <family val="2"/>
      </rPr>
      <t xml:space="preserve">नहरी</t>
    </r>
  </si>
  <si>
    <t xml:space="preserve">-----------------</t>
  </si>
  <si>
    <t xml:space="preserve">--------------------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</si>
  <si>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3</t>
    </r>
  </si>
  <si>
    <t xml:space="preserve">कुल मजरुआ</t>
  </si>
  <si>
    <r>
      <rPr>
        <sz val="12"/>
        <color rgb="FF000000"/>
        <rFont val="Calibri"/>
        <family val="2"/>
        <charset val="1"/>
      </rPr>
      <t xml:space="preserve">11-8 </t>
    </r>
    <r>
      <rPr>
        <sz val="12"/>
        <color rgb="FF000000"/>
        <rFont val="FreeSans"/>
        <family val="2"/>
      </rPr>
      <t xml:space="preserve">नहरी</t>
    </r>
  </si>
  <si>
    <t xml:space="preserve">रामसिंह</t>
  </si>
  <si>
    <r>
      <rPr>
        <sz val="12"/>
        <color rgb="FF000000"/>
        <rFont val="Calibri"/>
        <family val="2"/>
        <charset val="1"/>
      </rPr>
      <t xml:space="preserve">3-0 </t>
    </r>
    <r>
      <rPr>
        <sz val="12"/>
        <color rgb="FF000000"/>
        <rFont val="FreeSans"/>
        <family val="2"/>
      </rPr>
      <t xml:space="preserve">नहरी</t>
    </r>
  </si>
  <si>
    <t xml:space="preserve">------------------------------</t>
  </si>
  <si>
    <t xml:space="preserve">-------------------------</t>
  </si>
  <si>
    <t xml:space="preserve">------------------</t>
  </si>
  <si>
    <t xml:space="preserve">मिजान हकीयत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</si>
  <si>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5</t>
    </r>
  </si>
  <si>
    <t xml:space="preserve">17-6</t>
  </si>
  <si>
    <r>
      <rPr>
        <sz val="12"/>
        <color rgb="FF000000"/>
        <rFont val="Calibri"/>
        <family val="2"/>
        <charset val="1"/>
      </rPr>
      <t xml:space="preserve">17-6 </t>
    </r>
    <r>
      <rPr>
        <sz val="12"/>
        <color rgb="FF000000"/>
        <rFont val="FreeSans"/>
        <family val="2"/>
      </rPr>
      <t xml:space="preserve">नहरी</t>
    </r>
  </si>
  <si>
    <t xml:space="preserve">यह नकल केवल सूचनार्थ है। सरकारी कार्य हेतु या प्रमाणित एवं हस्ताक्षर सहित नकल के लिये सम्बधिंत तहसील में सम्पर्क करे।</t>
  </si>
  <si>
    <t xml:space="preserve">बिशन सिंह पुत्र</t>
  </si>
  <si>
    <t xml:space="preserve">सुखपाल सिंह</t>
  </si>
  <si>
    <r>
      <rPr>
        <sz val="12"/>
        <color rgb="FF000000"/>
        <rFont val="Calibri"/>
        <family val="2"/>
        <charset val="1"/>
      </rPr>
      <t xml:space="preserve">5-6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</si>
  <si>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2-6 </t>
    </r>
    <r>
      <rPr>
        <sz val="12"/>
        <color rgb="FF000000"/>
        <rFont val="FreeSans"/>
        <family val="2"/>
      </rPr>
      <t xml:space="preserve">नहरी</t>
    </r>
  </si>
  <si>
    <t xml:space="preserve">रहन हिस्सा</t>
  </si>
  <si>
    <r>
      <rPr>
        <sz val="12"/>
        <color rgb="FF000000"/>
        <rFont val="Calibri"/>
        <family val="2"/>
        <charset val="1"/>
      </rPr>
      <t xml:space="preserve">3-12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</si>
  <si>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321/1347 </t>
    </r>
    <r>
      <rPr>
        <sz val="12"/>
        <color rgb="FF000000"/>
        <rFont val="FreeSans"/>
        <family val="2"/>
      </rPr>
      <t xml:space="preserve">भाग</t>
    </r>
  </si>
  <si>
    <t xml:space="preserve">हिस्सेदारान</t>
  </si>
  <si>
    <r>
      <rPr>
        <sz val="12"/>
        <color rgb="FF000000"/>
        <rFont val="Calibri"/>
        <family val="2"/>
        <charset val="1"/>
      </rPr>
      <t xml:space="preserve">4-0 </t>
    </r>
    <r>
      <rPr>
        <sz val="12"/>
        <color rgb="FF000000"/>
        <rFont val="FreeSans"/>
        <family val="2"/>
      </rPr>
      <t xml:space="preserve">नहरी</t>
    </r>
  </si>
  <si>
    <t xml:space="preserve">महा कौर पत्नी</t>
  </si>
  <si>
    <r>
      <rPr>
        <sz val="12"/>
        <color rgb="FF000000"/>
        <rFont val="Calibri"/>
        <family val="2"/>
        <charset val="1"/>
      </rPr>
      <t xml:space="preserve">7 </t>
    </r>
    <r>
      <rPr>
        <sz val="12"/>
        <color rgb="FF000000"/>
        <rFont val="FreeSans"/>
        <family val="2"/>
      </rPr>
      <t xml:space="preserve">मिन</t>
    </r>
  </si>
  <si>
    <r>
      <rPr>
        <sz val="12"/>
        <color rgb="FF000000"/>
        <rFont val="Calibri"/>
        <family val="2"/>
        <charset val="1"/>
      </rPr>
      <t xml:space="preserve">5-0 </t>
    </r>
    <r>
      <rPr>
        <sz val="12"/>
        <color rgb="FF000000"/>
        <rFont val="FreeSans"/>
        <family val="2"/>
      </rPr>
      <t xml:space="preserve">नहरी</t>
    </r>
  </si>
  <si>
    <t xml:space="preserve">चानन राम पुत्र</t>
  </si>
  <si>
    <r>
      <rPr>
        <sz val="12"/>
        <color rgb="FF000000"/>
        <rFont val="Calibri"/>
        <family val="2"/>
        <charset val="1"/>
      </rPr>
      <t xml:space="preserve">4-5 </t>
    </r>
    <r>
      <rPr>
        <sz val="12"/>
        <color rgb="FF000000"/>
        <rFont val="FreeSans"/>
        <family val="2"/>
      </rPr>
      <t xml:space="preserve">नहरी</t>
    </r>
  </si>
  <si>
    <t xml:space="preserve">दिलसुख</t>
  </si>
  <si>
    <r>
      <rPr>
        <sz val="12"/>
        <color rgb="FF000000"/>
        <rFont val="Calibri"/>
        <family val="2"/>
        <charset val="1"/>
      </rPr>
      <t xml:space="preserve">3-15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</si>
  <si>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107/449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</si>
  <si>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7-12 </t>
    </r>
    <r>
      <rPr>
        <sz val="12"/>
        <color rgb="FF000000"/>
        <rFont val="FreeSans"/>
        <family val="2"/>
      </rPr>
      <t xml:space="preserve">नहरी</t>
    </r>
  </si>
  <si>
    <t xml:space="preserve">मुरतहन</t>
  </si>
  <si>
    <r>
      <rPr>
        <sz val="12"/>
        <color rgb="FF000000"/>
        <rFont val="Calibri"/>
        <family val="2"/>
        <charset val="1"/>
      </rPr>
      <t xml:space="preserve">8-0 </t>
    </r>
    <r>
      <rPr>
        <sz val="12"/>
        <color rgb="FF000000"/>
        <rFont val="FreeSans"/>
        <family val="2"/>
      </rPr>
      <t xml:space="preserve">नहरी</t>
    </r>
  </si>
  <si>
    <t xml:space="preserve">दर्शना पत्नी</t>
  </si>
  <si>
    <t xml:space="preserve">बिशन सिंह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</si>
  <si>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10</t>
    </r>
  </si>
  <si>
    <t xml:space="preserve">51-16</t>
  </si>
  <si>
    <r>
      <rPr>
        <sz val="12"/>
        <color rgb="FF000000"/>
        <rFont val="FreeSans"/>
        <family val="2"/>
      </rPr>
      <t xml:space="preserve">सालम </t>
    </r>
    <r>
      <rPr>
        <sz val="12"/>
        <color rgb="FF000000"/>
        <rFont val="Calibri"/>
        <family val="2"/>
        <charset val="1"/>
      </rPr>
      <t xml:space="preserve">9</t>
    </r>
  </si>
  <si>
    <r>
      <rPr>
        <sz val="12"/>
        <color rgb="FF000000"/>
        <rFont val="Calibri"/>
        <family val="2"/>
        <charset val="1"/>
      </rPr>
      <t xml:space="preserve">224/1347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</si>
  <si>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मिन </t>
    </r>
    <r>
      <rPr>
        <sz val="12"/>
        <color rgb="FF000000"/>
        <rFont val="Calibri"/>
        <family val="2"/>
        <charset val="1"/>
      </rPr>
      <t xml:space="preserve">1</t>
    </r>
  </si>
  <si>
    <t xml:space="preserve">बिला रहन हिस्सा</t>
  </si>
  <si>
    <r>
      <rPr>
        <sz val="12"/>
        <color rgb="FF000000"/>
        <rFont val="Calibri"/>
        <family val="2"/>
        <charset val="1"/>
      </rPr>
      <t xml:space="preserve">170/1347 </t>
    </r>
    <r>
      <rPr>
        <sz val="12"/>
        <color rgb="FF000000"/>
        <rFont val="FreeSans"/>
        <family val="2"/>
      </rPr>
      <t xml:space="preserve">भाग</t>
    </r>
  </si>
  <si>
    <t xml:space="preserve">दिलसुख पुत्र</t>
  </si>
  <si>
    <r>
      <rPr>
        <sz val="12"/>
        <color rgb="FF000000"/>
        <rFont val="Calibri"/>
        <family val="2"/>
        <charset val="1"/>
      </rPr>
      <t xml:space="preserve">51-16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</si>
  <si>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बसाखा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</si>
  <si>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Calibri"/>
        <family val="2"/>
        <charset val="1"/>
      </rPr>
      <t xml:space="preserve">98/1347 </t>
    </r>
    <r>
      <rPr>
        <sz val="12"/>
        <color rgb="FF000000"/>
        <rFont val="FreeSans"/>
        <family val="2"/>
      </rPr>
      <t xml:space="preserve">भाग</t>
    </r>
  </si>
  <si>
    <t xml:space="preserve">राम सिंह पुत्र</t>
  </si>
  <si>
    <r>
      <rPr>
        <sz val="12"/>
        <color rgb="FF000000"/>
        <rFont val="Calibri"/>
        <family val="2"/>
        <charset val="1"/>
      </rPr>
      <t xml:space="preserve">106/1347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</si>
  <si>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12/449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</si>
  <si>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70/1347 </t>
    </r>
    <r>
      <rPr>
        <sz val="12"/>
        <color rgb="FF000000"/>
        <rFont val="FreeSans"/>
        <family val="2"/>
      </rPr>
      <t xml:space="preserve">भाग</t>
    </r>
  </si>
  <si>
    <t xml:space="preserve">बसाखा सिंह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</si>
  <si>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2</t>
    </r>
  </si>
  <si>
    <r>
      <rPr>
        <sz val="12"/>
        <color rgb="FF000000"/>
        <rFont val="FreeSans"/>
        <family val="2"/>
      </rPr>
      <t xml:space="preserve">सालम </t>
    </r>
    <r>
      <rPr>
        <sz val="12"/>
        <color rgb="FF000000"/>
        <rFont val="Calibri"/>
        <family val="2"/>
        <charset val="1"/>
      </rPr>
      <t xml:space="preserve">1</t>
    </r>
  </si>
  <si>
    <r>
      <rPr>
        <sz val="12"/>
        <color rgb="FF000000"/>
        <rFont val="Calibri"/>
        <family val="2"/>
        <charset val="1"/>
      </rPr>
      <t xml:space="preserve">11-0 </t>
    </r>
    <r>
      <rPr>
        <sz val="12"/>
        <color rgb="FF000000"/>
        <rFont val="FreeSans"/>
        <family val="2"/>
      </rPr>
      <t xml:space="preserve">नहरी</t>
    </r>
  </si>
  <si>
    <t xml:space="preserve">राम सिंह</t>
  </si>
  <si>
    <r>
      <rPr>
        <sz val="12"/>
        <color rgb="FF000000"/>
        <rFont val="Calibri"/>
        <family val="2"/>
        <charset val="1"/>
      </rPr>
      <t xml:space="preserve">21 </t>
    </r>
    <r>
      <rPr>
        <sz val="12"/>
        <color rgb="FF000000"/>
        <rFont val="FreeSans"/>
        <family val="2"/>
      </rPr>
      <t xml:space="preserve">मिन</t>
    </r>
  </si>
  <si>
    <r>
      <rPr>
        <sz val="12"/>
        <color rgb="FF000000"/>
        <rFont val="Calibri"/>
        <family val="2"/>
        <charset val="1"/>
      </rPr>
      <t xml:space="preserve">1-19 </t>
    </r>
    <r>
      <rPr>
        <sz val="12"/>
        <color rgb="FF000000"/>
        <rFont val="FreeSans"/>
        <family val="2"/>
      </rPr>
      <t xml:space="preserve">नहरी</t>
    </r>
  </si>
  <si>
    <t xml:space="preserve">बलराज सिंह</t>
  </si>
  <si>
    <r>
      <rPr>
        <sz val="12"/>
        <color rgb="FF000000"/>
        <rFont val="Calibri"/>
        <family val="2"/>
        <charset val="1"/>
      </rPr>
      <t xml:space="preserve">2-12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</si>
  <si>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2/3 </t>
    </r>
    <r>
      <rPr>
        <sz val="12"/>
        <color rgb="FF000000"/>
        <rFont val="FreeSans"/>
        <family val="2"/>
      </rPr>
      <t xml:space="preserve">भाग</t>
    </r>
  </si>
  <si>
    <t xml:space="preserve">सुखदेव सिंह</t>
  </si>
  <si>
    <r>
      <rPr>
        <sz val="12"/>
        <color rgb="FF000000"/>
        <rFont val="Calibri"/>
        <family val="2"/>
        <charset val="1"/>
      </rPr>
      <t xml:space="preserve">1/3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</si>
  <si>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14</t>
    </r>
  </si>
  <si>
    <t xml:space="preserve">67-7</t>
  </si>
  <si>
    <r>
      <rPr>
        <sz val="12"/>
        <color rgb="FF000000"/>
        <rFont val="FreeSans"/>
        <family val="2"/>
      </rPr>
      <t xml:space="preserve">सालम </t>
    </r>
    <r>
      <rPr>
        <sz val="12"/>
        <color rgb="FF000000"/>
        <rFont val="Calibri"/>
        <family val="2"/>
        <charset val="1"/>
      </rPr>
      <t xml:space="preserve">10</t>
    </r>
  </si>
  <si>
    <r>
      <rPr>
        <sz val="12"/>
        <color rgb="FF000000"/>
        <rFont val="FreeSans"/>
        <family val="2"/>
      </rPr>
      <t xml:space="preserve">मिन </t>
    </r>
    <r>
      <rPr>
        <sz val="12"/>
        <color rgb="FF000000"/>
        <rFont val="Calibri"/>
        <family val="2"/>
        <charset val="1"/>
      </rPr>
      <t xml:space="preserve">4</t>
    </r>
  </si>
  <si>
    <r>
      <rPr>
        <sz val="12"/>
        <color rgb="FF000000"/>
        <rFont val="Calibri"/>
        <family val="2"/>
        <charset val="1"/>
      </rPr>
      <t xml:space="preserve">67-7 </t>
    </r>
    <r>
      <rPr>
        <sz val="12"/>
        <color rgb="FF000000"/>
        <rFont val="FreeSans"/>
        <family val="2"/>
      </rPr>
      <t xml:space="preserve">नहरी</t>
    </r>
  </si>
  <si>
    <t xml:space="preserve">जाती</t>
  </si>
  <si>
    <t xml:space="preserve">दर्शना पुत्री</t>
  </si>
  <si>
    <t xml:space="preserve">बलदेव कौर</t>
  </si>
  <si>
    <t xml:space="preserve">12//</t>
  </si>
  <si>
    <t xml:space="preserve">दानी पुत्र</t>
  </si>
  <si>
    <t xml:space="preserve">सुन्दर</t>
  </si>
  <si>
    <r>
      <rPr>
        <sz val="12"/>
        <color rgb="FF000000"/>
        <rFont val="Calibri"/>
        <family val="2"/>
        <charset val="1"/>
      </rPr>
      <t xml:space="preserve">4-4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</si>
  <si>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इन्तकाल न</t>
    </r>
    <r>
      <rPr>
        <sz val="12"/>
        <color rgb="FF000000"/>
        <rFont val="Calibri"/>
        <family val="2"/>
        <charset val="1"/>
      </rPr>
      <t xml:space="preserve">.2112 </t>
    </r>
    <r>
      <rPr>
        <sz val="12"/>
        <color rgb="FF000000"/>
        <rFont val="FreeSans"/>
        <family val="2"/>
      </rPr>
      <t xml:space="preserve">फक</t>
    </r>
  </si>
  <si>
    <r>
      <rPr>
        <sz val="12"/>
        <color rgb="FF000000"/>
        <rFont val="Calibri"/>
        <family val="2"/>
        <charset val="1"/>
      </rPr>
      <t xml:space="preserve">35/99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</si>
  <si>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इन्तकाल न</t>
    </r>
    <r>
      <rPr>
        <sz val="12"/>
        <color rgb="FF000000"/>
        <rFont val="Calibri"/>
        <family val="2"/>
        <charset val="1"/>
      </rPr>
      <t xml:space="preserve">.2113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</si>
  <si>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35/297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</si>
  <si>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12-4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</si>
  <si>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4/99 </t>
    </r>
    <r>
      <rPr>
        <sz val="12"/>
        <color rgb="FF000000"/>
        <rFont val="FreeSans"/>
        <family val="2"/>
      </rPr>
      <t xml:space="preserve">भाग</t>
    </r>
  </si>
  <si>
    <t xml:space="preserve">छोटा सिहं पुत्र</t>
  </si>
  <si>
    <r>
      <rPr>
        <sz val="12"/>
        <color rgb="FF000000"/>
        <rFont val="Calibri"/>
        <family val="2"/>
        <charset val="1"/>
      </rPr>
      <t xml:space="preserve">23/297 </t>
    </r>
    <r>
      <rPr>
        <sz val="12"/>
        <color rgb="FF000000"/>
        <rFont val="FreeSans"/>
        <family val="2"/>
      </rPr>
      <t xml:space="preserve">भाग</t>
    </r>
  </si>
  <si>
    <t xml:space="preserve">बलदेव कौर पत्नी</t>
  </si>
  <si>
    <r>
      <rPr>
        <sz val="12"/>
        <color rgb="FF000000"/>
        <rFont val="Calibri"/>
        <family val="2"/>
        <charset val="1"/>
      </rPr>
      <t xml:space="preserve">122/297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</si>
  <si>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सुखदेव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</si>
  <si>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11//</t>
  </si>
  <si>
    <r>
      <rPr>
        <sz val="12"/>
        <color rgb="FF000000"/>
        <rFont val="Calibri"/>
        <family val="2"/>
        <charset val="1"/>
      </rPr>
      <t xml:space="preserve">1-12 </t>
    </r>
    <r>
      <rPr>
        <sz val="12"/>
        <color rgb="FF000000"/>
        <rFont val="FreeSans"/>
        <family val="2"/>
      </rPr>
      <t xml:space="preserve">नहरी</t>
    </r>
  </si>
  <si>
    <t xml:space="preserve">हर तीन समभाग</t>
  </si>
  <si>
    <r>
      <rPr>
        <sz val="12"/>
        <color rgb="FF000000"/>
        <rFont val="Calibri"/>
        <family val="2"/>
        <charset val="1"/>
      </rPr>
      <t xml:space="preserve">7-18 </t>
    </r>
    <r>
      <rPr>
        <sz val="12"/>
        <color rgb="FF000000"/>
        <rFont val="FreeSans"/>
        <family val="2"/>
      </rPr>
      <t xml:space="preserve">नहरी</t>
    </r>
  </si>
  <si>
    <t xml:space="preserve">17-10</t>
  </si>
  <si>
    <t xml:space="preserve">29-14</t>
  </si>
  <si>
    <r>
      <rPr>
        <sz val="12"/>
        <color rgb="FF000000"/>
        <rFont val="Calibri"/>
        <family val="2"/>
        <charset val="1"/>
      </rPr>
      <t xml:space="preserve">29-14 </t>
    </r>
    <r>
      <rPr>
        <sz val="12"/>
        <color rgb="FF000000"/>
        <rFont val="FreeSans"/>
        <family val="2"/>
      </rPr>
      <t xml:space="preserve">नहरी</t>
    </r>
  </si>
  <si>
    <r>
      <rPr>
        <sz val="11"/>
        <color rgb="FF000000"/>
        <rFont val="Calibri"/>
        <family val="2"/>
        <charset val="1"/>
      </rPr>
      <t xml:space="preserve">188345</t>
    </r>
    <r>
      <rPr>
        <sz val="11"/>
        <color rgb="FF000000"/>
        <rFont val="FreeSans"/>
        <family val="2"/>
      </rPr>
      <t xml:space="preserve">छिन्द्र कौरहाकम सिंहकुण्डा सिंह</t>
    </r>
    <r>
      <rPr>
        <sz val="11"/>
        <color rgb="FF000000"/>
        <rFont val="Calibri"/>
        <family val="2"/>
        <charset val="1"/>
      </rPr>
      <t xml:space="preserve">1/6</t>
    </r>
  </si>
  <si>
    <t xml:space="preserve">Inteqal No.</t>
  </si>
  <si>
    <t xml:space="preserve">Khewat No.</t>
  </si>
  <si>
    <t xml:space="preserve">marla</t>
  </si>
  <si>
    <t xml:space="preserve">Sarsai</t>
  </si>
  <si>
    <t xml:space="preserve">Papa</t>
  </si>
  <si>
    <r>
      <rPr>
        <sz val="11"/>
        <color rgb="FF000000"/>
        <rFont val="Calibri"/>
        <family val="2"/>
        <charset val="1"/>
      </rPr>
      <t xml:space="preserve"> KhewatKhatoniOwner NameFather's nameGrandFather's nameHissa Nakal187343</t>
    </r>
    <r>
      <rPr>
        <sz val="11"/>
        <color rgb="FF000000"/>
        <rFont val="FreeSans"/>
        <family val="2"/>
      </rPr>
      <t xml:space="preserve">दर्शनादानीसुन्दर</t>
    </r>
    <r>
      <rPr>
        <sz val="11"/>
        <color rgb="FF000000"/>
        <rFont val="Calibri"/>
        <family val="2"/>
        <charset val="1"/>
      </rPr>
      <t xml:space="preserve">210/594 Nakal83154</t>
    </r>
    <r>
      <rPr>
        <sz val="11"/>
        <color rgb="FF000000"/>
        <rFont val="FreeSans"/>
        <family val="2"/>
      </rPr>
      <t xml:space="preserve">दर्शनादानीसुन्दर</t>
    </r>
    <r>
      <rPr>
        <sz val="11"/>
        <color rgb="FF000000"/>
        <rFont val="Calibri"/>
        <family val="2"/>
        <charset val="1"/>
      </rPr>
      <t xml:space="preserve">1175/1638 Nakal85160</t>
    </r>
    <r>
      <rPr>
        <sz val="11"/>
        <color rgb="FF000000"/>
        <rFont val="FreeSans"/>
        <family val="2"/>
      </rPr>
      <t xml:space="preserve">दर्शनागुरबचन सिंहबिशन सिंह</t>
    </r>
    <r>
      <rPr>
        <sz val="11"/>
        <color rgb="FF000000"/>
        <rFont val="Calibri"/>
        <family val="2"/>
        <charset val="1"/>
      </rPr>
      <t xml:space="preserve">39</t>
    </r>
  </si>
  <si>
    <t xml:space="preserve">mom</t>
  </si>
  <si>
    <t xml:space="preserve">Khewat</t>
  </si>
  <si>
    <t xml:space="preserve">Khatoni</t>
  </si>
  <si>
    <t xml:space="preserve">Khasra No.</t>
  </si>
  <si>
    <t xml:space="preserve">Mode of Irrigation</t>
  </si>
  <si>
    <t xml:space="preserve">Land Type </t>
  </si>
  <si>
    <t xml:space="preserve">Area(Kanal-Marla)</t>
  </si>
  <si>
    <t xml:space="preserve">115//18/1</t>
  </si>
  <si>
    <r>
      <rPr>
        <sz val="11"/>
        <color rgb="FF000000"/>
        <rFont val="FreeSans"/>
        <family val="2"/>
      </rPr>
      <t xml:space="preserve">खाली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अन्य कुछ</t>
    </r>
  </si>
  <si>
    <t xml:space="preserve">नहरी</t>
  </si>
  <si>
    <t xml:space="preserve">1-4</t>
  </si>
  <si>
    <t xml:space="preserve">115//23/2</t>
  </si>
  <si>
    <t xml:space="preserve">2-8</t>
  </si>
  <si>
    <t xml:space="preserve">114//13/2/1</t>
  </si>
  <si>
    <t xml:space="preserve">नहर</t>
  </si>
  <si>
    <t xml:space="preserve">0-16</t>
  </si>
  <si>
    <t xml:space="preserve">141//5</t>
  </si>
  <si>
    <t xml:space="preserve">7-11</t>
  </si>
  <si>
    <t xml:space="preserve">141//6</t>
  </si>
  <si>
    <t xml:space="preserve">8-0</t>
  </si>
  <si>
    <t xml:space="preserve">142//1</t>
  </si>
  <si>
    <t xml:space="preserve">5-2</t>
  </si>
  <si>
    <t xml:space="preserve">142//10</t>
  </si>
  <si>
    <t xml:space="preserve">7-12</t>
  </si>
  <si>
    <t xml:space="preserve">78//13/1</t>
  </si>
  <si>
    <t xml:space="preserve">बारानी</t>
  </si>
  <si>
    <t xml:space="preserve">2-9</t>
  </si>
  <si>
    <t xml:space="preserve">61//12</t>
  </si>
  <si>
    <t xml:space="preserve">61//13/2</t>
  </si>
  <si>
    <t xml:space="preserve">2-10</t>
  </si>
  <si>
    <t xml:space="preserve">61//18</t>
  </si>
  <si>
    <t xml:space="preserve">61//19</t>
  </si>
  <si>
    <t xml:space="preserve">61//8/1/2</t>
  </si>
  <si>
    <t xml:space="preserve">0-7</t>
  </si>
  <si>
    <t xml:space="preserve">61//9/1/2</t>
  </si>
  <si>
    <t xml:space="preserve">3-0</t>
  </si>
  <si>
    <t xml:space="preserve">75//10</t>
  </si>
  <si>
    <t xml:space="preserve">5-12</t>
  </si>
  <si>
    <t xml:space="preserve">75//7</t>
  </si>
  <si>
    <t xml:space="preserve">75//8</t>
  </si>
  <si>
    <t xml:space="preserve">75//9</t>
  </si>
  <si>
    <t xml:space="preserve">129//12</t>
  </si>
  <si>
    <t xml:space="preserve">129//13</t>
  </si>
  <si>
    <t xml:space="preserve">129//14</t>
  </si>
  <si>
    <t xml:space="preserve">चाही</t>
  </si>
  <si>
    <t xml:space="preserve">129//15</t>
  </si>
  <si>
    <t xml:space="preserve">6-0</t>
  </si>
  <si>
    <t xml:space="preserve">आवास</t>
  </si>
  <si>
    <t xml:space="preserve">1-8</t>
  </si>
  <si>
    <t xml:space="preserve">129//16</t>
  </si>
  <si>
    <t xml:space="preserve">7-8</t>
  </si>
  <si>
    <t xml:space="preserve">78//13/2/2</t>
  </si>
  <si>
    <r>
      <rPr>
        <sz val="11"/>
        <color rgb="FF000000"/>
        <rFont val="FreeSans"/>
        <family val="2"/>
      </rPr>
      <t xml:space="preserve">गैर मुमकिन</t>
    </r>
    <r>
      <rPr>
        <sz val="11"/>
        <color rgb="FF000000"/>
        <rFont val="Calibri"/>
        <family val="2"/>
        <charset val="1"/>
      </rPr>
      <t xml:space="preserve">,Misc/</t>
    </r>
    <r>
      <rPr>
        <sz val="11"/>
        <color rgb="FF000000"/>
        <rFont val="FreeSans"/>
        <family val="2"/>
      </rPr>
      <t xml:space="preserve">खाली</t>
    </r>
  </si>
  <si>
    <t xml:space="preserve">0-2</t>
  </si>
  <si>
    <t xml:space="preserve">78//18</t>
  </si>
  <si>
    <t xml:space="preserve">8-14</t>
  </si>
  <si>
    <t xml:space="preserve">78//23</t>
  </si>
  <si>
    <t xml:space="preserve">5-8</t>
  </si>
  <si>
    <t xml:space="preserve">44//4/1</t>
  </si>
  <si>
    <t xml:space="preserve">44//7/2</t>
  </si>
  <si>
    <t xml:space="preserve">44//9</t>
  </si>
  <si>
    <t xml:space="preserve">44//10</t>
  </si>
  <si>
    <t xml:space="preserve">7-0</t>
  </si>
  <si>
    <t xml:space="preserve">134//19/2</t>
  </si>
  <si>
    <t xml:space="preserve">134//22</t>
  </si>
  <si>
    <t xml:space="preserve">134//23</t>
  </si>
  <si>
    <t xml:space="preserve">134//24</t>
  </si>
  <si>
    <t xml:space="preserve">134//25/1</t>
  </si>
  <si>
    <t xml:space="preserve">4-4</t>
  </si>
  <si>
    <t xml:space="preserve">20//19</t>
  </si>
  <si>
    <t xml:space="preserve">20//22</t>
  </si>
  <si>
    <t xml:space="preserve">33//1/1</t>
  </si>
  <si>
    <t xml:space="preserve">2-15</t>
  </si>
  <si>
    <t xml:space="preserve">33//2/1</t>
  </si>
  <si>
    <t xml:space="preserve">34//13</t>
  </si>
  <si>
    <t xml:space="preserve">34//14</t>
  </si>
  <si>
    <t xml:space="preserve">34//17</t>
  </si>
  <si>
    <t xml:space="preserve">34//18</t>
  </si>
  <si>
    <t xml:space="preserve">34//4</t>
  </si>
  <si>
    <t xml:space="preserve">34//5</t>
  </si>
  <si>
    <t xml:space="preserve">34//7</t>
  </si>
  <si>
    <t xml:space="preserve">29//12</t>
  </si>
  <si>
    <t xml:space="preserve">29//19/2</t>
  </si>
  <si>
    <t xml:space="preserve">6-18</t>
  </si>
  <si>
    <t xml:space="preserve">29//20/2</t>
  </si>
  <si>
    <t xml:space="preserve">5-17</t>
  </si>
  <si>
    <t xml:space="preserve">29//22</t>
  </si>
  <si>
    <t xml:space="preserve">44//2/1</t>
  </si>
  <si>
    <t xml:space="preserve">78//24/2/2</t>
  </si>
  <si>
    <t xml:space="preserve">4-0</t>
  </si>
  <si>
    <t xml:space="preserve">79//3</t>
  </si>
  <si>
    <t xml:space="preserve">5-11</t>
  </si>
  <si>
    <t xml:space="preserve">79//7/2</t>
  </si>
  <si>
    <t xml:space="preserve">2-6</t>
  </si>
  <si>
    <t xml:space="preserve">79//8</t>
  </si>
  <si>
    <t xml:space="preserve">7-14</t>
  </si>
  <si>
    <t xml:space="preserve">144//14/3</t>
  </si>
  <si>
    <t xml:space="preserve">3-4</t>
  </si>
  <si>
    <t xml:space="preserve">144//15</t>
  </si>
  <si>
    <t xml:space="preserve">144//16</t>
  </si>
  <si>
    <t xml:space="preserve">144//17/1</t>
  </si>
  <si>
    <t xml:space="preserve">144//24/2</t>
  </si>
  <si>
    <t xml:space="preserve">144//25</t>
  </si>
  <si>
    <t xml:space="preserve">6-15</t>
  </si>
  <si>
    <t xml:space="preserve">144//6</t>
  </si>
  <si>
    <t xml:space="preserve">144//7/1</t>
  </si>
  <si>
    <t xml:space="preserve">145//10</t>
  </si>
  <si>
    <t xml:space="preserve">145//11</t>
  </si>
  <si>
    <t xml:space="preserve">8-6</t>
  </si>
  <si>
    <t xml:space="preserve">145//20</t>
  </si>
  <si>
    <t xml:space="preserve">3-17</t>
  </si>
  <si>
    <t xml:space="preserve">145//9</t>
  </si>
  <si>
    <t xml:space="preserve">4-14</t>
  </si>
  <si>
    <t xml:space="preserve">146//4/2</t>
  </si>
  <si>
    <t xml:space="preserve">146//5</t>
  </si>
  <si>
    <t xml:space="preserve">146//7/1</t>
  </si>
  <si>
    <t xml:space="preserve">78//2</t>
  </si>
  <si>
    <t xml:space="preserve">78//3</t>
  </si>
  <si>
    <t xml:space="preserve">7-7</t>
  </si>
  <si>
    <t xml:space="preserve">78//8</t>
  </si>
  <si>
    <t xml:space="preserve">behlean</t>
  </si>
  <si>
    <t xml:space="preserve">0//303</t>
  </si>
  <si>
    <t xml:space="preserve">प्लाट व बाड़ा</t>
  </si>
  <si>
    <t xml:space="preserve">0-19</t>
  </si>
  <si>
    <t xml:space="preserve">0//492</t>
  </si>
  <si>
    <t xml:space="preserve">गढडे</t>
  </si>
  <si>
    <t xml:space="preserve">0-3</t>
  </si>
  <si>
    <t xml:space="preserve">114//11</t>
  </si>
  <si>
    <t xml:space="preserve">1-9</t>
  </si>
  <si>
    <t xml:space="preserve">114//12</t>
  </si>
  <si>
    <t xml:space="preserve">114//13/1</t>
  </si>
  <si>
    <t xml:space="preserve">2-18</t>
  </si>
  <si>
    <t xml:space="preserve">114//19</t>
  </si>
  <si>
    <t xml:space="preserve">2-1</t>
  </si>
  <si>
    <t xml:space="preserve">114//20</t>
  </si>
  <si>
    <t xml:space="preserve">115//16</t>
  </si>
  <si>
    <t xml:space="preserve">7-2</t>
  </si>
  <si>
    <t xml:space="preserve">115//17</t>
  </si>
  <si>
    <t xml:space="preserve">4-18</t>
  </si>
  <si>
    <t xml:space="preserve">115//24</t>
  </si>
  <si>
    <t xml:space="preserve">7-19</t>
  </si>
  <si>
    <t xml:space="preserve">0//363</t>
  </si>
  <si>
    <t xml:space="preserve">3-1</t>
  </si>
  <si>
    <t xml:space="preserve">0//453</t>
  </si>
  <si>
    <t xml:space="preserve">74//11</t>
  </si>
  <si>
    <t xml:space="preserve">81//16/1</t>
  </si>
  <si>
    <t xml:space="preserve">2-13</t>
  </si>
  <si>
    <t xml:space="preserve">0-5</t>
  </si>
  <si>
    <t xml:space="preserve">81//16/2</t>
  </si>
  <si>
    <t xml:space="preserve">81//17</t>
  </si>
  <si>
    <t xml:space="preserve">81//18</t>
  </si>
  <si>
    <t xml:space="preserve">81//23/2</t>
  </si>
  <si>
    <t xml:space="preserve">81//25/1</t>
  </si>
  <si>
    <t xml:space="preserve">2-0</t>
  </si>
  <si>
    <t xml:space="preserve">81//4/2</t>
  </si>
  <si>
    <t xml:space="preserve">1-0</t>
  </si>
  <si>
    <t xml:space="preserve">81//7</t>
  </si>
  <si>
    <t xml:space="preserve">51//23</t>
  </si>
  <si>
    <t xml:space="preserve">51//24</t>
  </si>
  <si>
    <t xml:space="preserve">9-0</t>
  </si>
  <si>
    <t xml:space="preserve">0-6</t>
  </si>
  <si>
    <t xml:space="preserve">52//11</t>
  </si>
  <si>
    <t xml:space="preserve">52//12</t>
  </si>
  <si>
    <t xml:space="preserve">52//13</t>
  </si>
  <si>
    <t xml:space="preserve">52//16</t>
  </si>
  <si>
    <t xml:space="preserve">52//17</t>
  </si>
  <si>
    <t xml:space="preserve">52//18</t>
  </si>
  <si>
    <t xml:space="preserve">52//19</t>
  </si>
  <si>
    <t xml:space="preserve">41//13/1</t>
  </si>
  <si>
    <t xml:space="preserve">41//18</t>
  </si>
  <si>
    <t xml:space="preserve">41//23</t>
  </si>
  <si>
    <t xml:space="preserve">51//16</t>
  </si>
  <si>
    <t xml:space="preserve">51//17</t>
  </si>
  <si>
    <t xml:space="preserve">51//18</t>
  </si>
  <si>
    <t xml:space="preserve">51//19</t>
  </si>
  <si>
    <t xml:space="preserve">51//20</t>
  </si>
  <si>
    <t xml:space="preserve">51//21</t>
  </si>
  <si>
    <t xml:space="preserve">51//22</t>
  </si>
  <si>
    <t xml:space="preserve">52//20</t>
  </si>
  <si>
    <t xml:space="preserve">52//24</t>
  </si>
  <si>
    <t xml:space="preserve">52//25</t>
  </si>
  <si>
    <t xml:space="preserve">52//9</t>
  </si>
  <si>
    <t xml:space="preserve">62//4</t>
  </si>
  <si>
    <t xml:space="preserve">62//5</t>
  </si>
  <si>
    <t xml:space="preserve">63//1</t>
  </si>
  <si>
    <t xml:space="preserve">63//2</t>
  </si>
  <si>
    <t xml:space="preserve">71//11</t>
  </si>
  <si>
    <t xml:space="preserve">71//12/1</t>
  </si>
  <si>
    <t xml:space="preserve">1-15</t>
  </si>
  <si>
    <t xml:space="preserve">71//19/1</t>
  </si>
  <si>
    <t xml:space="preserve">71//20</t>
  </si>
  <si>
    <t xml:space="preserve">71//21</t>
  </si>
  <si>
    <t xml:space="preserve">71//22/1</t>
  </si>
  <si>
    <t xml:space="preserve">76//20/1</t>
  </si>
  <si>
    <t xml:space="preserve">3-11</t>
  </si>
  <si>
    <t xml:space="preserve">86//1</t>
  </si>
  <si>
    <t xml:space="preserve">86//10</t>
  </si>
  <si>
    <t xml:space="preserve">86//11</t>
  </si>
  <si>
    <t xml:space="preserve">86//12/1</t>
  </si>
  <si>
    <t xml:space="preserve">86//2/1</t>
  </si>
  <si>
    <t xml:space="preserve">86//20</t>
  </si>
  <si>
    <t xml:space="preserve">86//9/1</t>
  </si>
  <si>
    <t xml:space="preserve">76//19</t>
  </si>
  <si>
    <t xml:space="preserve">76//20/2</t>
  </si>
  <si>
    <t xml:space="preserve">4-9</t>
  </si>
  <si>
    <t xml:space="preserve">76//21/1</t>
  </si>
  <si>
    <t xml:space="preserve">76//22/1</t>
  </si>
  <si>
    <t xml:space="preserve">48//12</t>
  </si>
  <si>
    <t xml:space="preserve">106//5</t>
  </si>
  <si>
    <t xml:space="preserve">107//1/1</t>
  </si>
  <si>
    <t xml:space="preserve">4-16</t>
  </si>
  <si>
    <t xml:space="preserve">TARUANA</t>
  </si>
  <si>
    <t xml:space="preserve">Dayal Singh </t>
  </si>
  <si>
    <t xml:space="preserve">Khudkasit</t>
  </si>
  <si>
    <t xml:space="preserve">13/2/1</t>
  </si>
  <si>
    <t xml:space="preserve">Nahri</t>
  </si>
  <si>
    <t xml:space="preserve">Khati</t>
  </si>
  <si>
    <t xml:space="preserve">Surjit Singh S/o Bishan Singh S/o Budh Singh</t>
  </si>
  <si>
    <t xml:space="preserve">13/1</t>
  </si>
  <si>
    <t xml:space="preserve">Barani</t>
  </si>
  <si>
    <t xml:space="preserve">Surjit Kaur w/o Surjit Singh S/o Bishan Singh  and Ram Singh and Avtar Singh sons Surjit Singh</t>
  </si>
  <si>
    <t xml:space="preserve">Thade- Ramwali</t>
  </si>
  <si>
    <t xml:space="preserve">Ray Singh</t>
  </si>
  <si>
    <t xml:space="preserve">Kulwant Singh S/o harjit Singh Singh S/o Dalip Singh</t>
  </si>
  <si>
    <t xml:space="preserve">320/4129</t>
  </si>
  <si>
    <t xml:space="preserve">Surjit kaur w/o Dalip Singh S/Bhajan Singh</t>
  </si>
  <si>
    <t xml:space="preserve">827/4129</t>
  </si>
  <si>
    <t xml:space="preserve">1/2</t>
  </si>
  <si>
    <t xml:space="preserve">Buta Singh s/o Dalip Singh S/Bhajan Singh</t>
  </si>
  <si>
    <t xml:space="preserve">1324/4129</t>
  </si>
  <si>
    <t xml:space="preserve">Raman Singla w/o Suraj Bhan S/o Banarasi das</t>
  </si>
  <si>
    <t xml:space="preserve">127/4129</t>
  </si>
  <si>
    <t xml:space="preserve">16/1</t>
  </si>
  <si>
    <t xml:space="preserve">Nasib kaur w/o Ram Singh S/Hakam Singh</t>
  </si>
  <si>
    <t xml:space="preserve">20/4129</t>
  </si>
  <si>
    <t xml:space="preserve">16/2</t>
  </si>
  <si>
    <t xml:space="preserve">Kanta Devi w/o Suresh Humar S/o Joginder Pal</t>
  </si>
  <si>
    <t xml:space="preserve">Najar Singh s/o Dalip Singh S/Bhajan Singh</t>
  </si>
  <si>
    <t xml:space="preserve">1350/4129</t>
  </si>
  <si>
    <t xml:space="preserve">Gurmeet Singh s/o Sukhpal Singh S/o Bishan Singh</t>
  </si>
  <si>
    <t xml:space="preserve">34/4129</t>
  </si>
  <si>
    <t xml:space="preserve">23/2</t>
  </si>
  <si>
    <t xml:space="preserve">Schoolkole</t>
  </si>
  <si>
    <t xml:space="preserve">,25/1</t>
  </si>
  <si>
    <t xml:space="preserve">Gair mumkin Plot</t>
  </si>
  <si>
    <t xml:space="preserve">Gair mumkin khad gadde</t>
  </si>
  <si>
    <t xml:space="preserve">Kainchian</t>
  </si>
  <si>
    <t xml:space="preserve">10/1/1</t>
  </si>
  <si>
    <t xml:space="preserve">0-12</t>
  </si>
  <si>
    <t xml:space="preserve">Sukhdev Singh S/o Joginder Singh Singh S/o Bakhtawar Singh</t>
  </si>
  <si>
    <t xml:space="preserve">2577/7732</t>
  </si>
  <si>
    <t xml:space="preserve">391/7732</t>
  </si>
  <si>
    <t xml:space="preserve">Gebewali</t>
  </si>
  <si>
    <t xml:space="preserve">Harpal Singh S/o Sukhdev Singh Singh S/o Kaka Singh</t>
  </si>
  <si>
    <t xml:space="preserve">211/7732</t>
  </si>
  <si>
    <t xml:space="preserve">Jagsir Singh S/o Gurdev Singh Singh S/o Joginder Singh</t>
  </si>
  <si>
    <t xml:space="preserve">1261/7732</t>
  </si>
  <si>
    <t xml:space="preserve">Malkit kaur w/o Major Singh @ gurdev Singh S/o Joginder Singh</t>
  </si>
  <si>
    <t xml:space="preserve">617/7732</t>
  </si>
  <si>
    <t xml:space="preserve">Tej kaur widow &amp; Gurdip Singh,  Kuldip Singh  and jasvir Singh sons/o Baldev SinghS/o Joginder Singh  4sambagh </t>
  </si>
  <si>
    <t xml:space="preserve">823/3866</t>
  </si>
  <si>
    <t xml:space="preserve">1029/7732</t>
  </si>
  <si>
    <t xml:space="preserve">12/1</t>
  </si>
  <si>
    <t xml:space="preserve">19/1</t>
  </si>
  <si>
    <t xml:space="preserve">22/1</t>
  </si>
  <si>
    <t xml:space="preserve">20/1</t>
  </si>
  <si>
    <t xml:space="preserve">2/1</t>
  </si>
  <si>
    <t xml:space="preserve">9/1</t>
  </si>
  <si>
    <t xml:space="preserve">mizan haqiet</t>
  </si>
  <si>
    <t xml:space="preserve">Jagsir Singh, Malkit Kaur &amp; Bachan Kaur via Gurbachan Singh s/o Bishan Singh</t>
  </si>
  <si>
    <t xml:space="preserve">1/5</t>
  </si>
  <si>
    <t xml:space="preserve">Gurvinder Kaur w/o Baljinder Singh s/o Satpal Singh</t>
  </si>
  <si>
    <t xml:space="preserve">4/5</t>
  </si>
  <si>
    <t xml:space="preserve">Sukhpal singh s/o Gurbachan Singh S/o Bishan Singh </t>
  </si>
  <si>
    <t xml:space="preserve">28/85</t>
  </si>
  <si>
    <t xml:space="preserve">Gair Mumkin Abadi</t>
  </si>
  <si>
    <t xml:space="preserve">Bathewali</t>
  </si>
  <si>
    <t xml:space="preserve">Sukhbir  Singh s/o Dalip Singh S/o Harchand Singh</t>
  </si>
  <si>
    <t xml:space="preserve">21/85</t>
  </si>
  <si>
    <t xml:space="preserve">Khad ke  Gadde</t>
  </si>
  <si>
    <t xml:space="preserve">Swaran  Singh s/o Gurbachan Singh S/o Ishar Singh</t>
  </si>
  <si>
    <t xml:space="preserve">24/85</t>
  </si>
  <si>
    <t xml:space="preserve">Baljinder Kaur d/o Paramjit kaur  d/o Gurbachan Singh @ Buta Singh s/o Ishar Singh</t>
  </si>
  <si>
    <t xml:space="preserve">12/85</t>
  </si>
  <si>
    <t xml:space="preserve">Bhagwan Singh</t>
  </si>
  <si>
    <t xml:space="preserve">Bughewali</t>
  </si>
  <si>
    <t xml:space="preserve">1/1</t>
  </si>
  <si>
    <t xml:space="preserve">315/1</t>
  </si>
  <si>
    <t xml:space="preserve">Dyal Singh</t>
  </si>
  <si>
    <t xml:space="preserve">8/1538</t>
  </si>
  <si>
    <t xml:space="preserve">Baisakhewali</t>
  </si>
  <si>
    <t xml:space="preserve">Katar Singh &amp; Labh Singh s/o Chand Singh s/o Rulia</t>
  </si>
  <si>
    <t xml:space="preserve">83/769</t>
  </si>
  <si>
    <t xml:space="preserve">Labh Singh  s/o Dyan Singh s/o Nikka Singh</t>
  </si>
  <si>
    <t xml:space="preserve">603/3076</t>
  </si>
  <si>
    <t xml:space="preserve">Nachattar Singh ad son/o Mukhtar singh s/o Nikka Singh</t>
  </si>
  <si>
    <t xml:space="preserve">Biasakha singh &amp; Bhajan singh s/o Ajmer Singh s/o Bishan Singh</t>
  </si>
  <si>
    <t xml:space="preserve">761/1538</t>
  </si>
  <si>
    <t xml:space="preserve">Gurcharan Singh S/o Bishan Singh S/o Budh Singh</t>
  </si>
  <si>
    <t xml:space="preserve">96/973</t>
  </si>
  <si>
    <t xml:space="preserve">405/7784</t>
  </si>
  <si>
    <t xml:space="preserve">Gurmit Singh S/o Jagdev Singh S/o Gurtej Singh</t>
  </si>
  <si>
    <t xml:space="preserve">689/7784</t>
  </si>
  <si>
    <t xml:space="preserve">281/3892</t>
  </si>
  <si>
    <t xml:space="preserve">Surjit KaurAvtar and Ram Singh s/o Surjit Singh s/o Bishan Singh</t>
  </si>
  <si>
    <t xml:space="preserve">365/3892</t>
  </si>
  <si>
    <t xml:space="preserve">Karatr Kaur w/o &amp; Shamsher  and Kehar Singh s/o Sukhdev Singh s/o Bishan Singh</t>
  </si>
  <si>
    <t xml:space="preserve">95/556</t>
  </si>
  <si>
    <t xml:space="preserve">Baisakha Singh  and Bhajna Singh s/o Ajmer Singh s/o Bishan Singh</t>
  </si>
  <si>
    <t xml:space="preserve">36/973</t>
  </si>
  <si>
    <t xml:space="preserve">Chinder kaur w/o Birpal Kaur d/o and harpal s/o Jagsir singh s/o Ajmer Singh</t>
  </si>
  <si>
    <t xml:space="preserve">18/973</t>
  </si>
  <si>
    <t xml:space="preserve">557/3892</t>
  </si>
  <si>
    <t xml:space="preserve">Fard to be seen</t>
  </si>
  <si>
    <t xml:space="preserve">Om Parkash s/o Hanuman Das s/o Jagan Nath</t>
  </si>
  <si>
    <t xml:space="preserve">877/3892</t>
  </si>
  <si>
    <t xml:space="preserve">papa</t>
  </si>
  <si>
    <t xml:space="preserve">satpal</t>
  </si>
  <si>
    <t xml:space="preserve">9-18-2</t>
  </si>
  <si>
    <t xml:space="preserve">Karatr Kaur w/o  Sukhdev Singh s/o Bishan Singh</t>
  </si>
  <si>
    <t xml:space="preserve">95/283</t>
  </si>
  <si>
    <t xml:space="preserve">Shamsher  and Kehar Singh s/o Sukhdev Singh s/o Bishan Singh</t>
  </si>
  <si>
    <t xml:space="preserve">28/283</t>
  </si>
  <si>
    <t xml:space="preserve">Satpal Singh &amp; Sukhpal Singh s/o Gurbachan Singh S/o Bishan Singh </t>
  </si>
  <si>
    <t xml:space="preserve">160/283</t>
  </si>
  <si>
    <t xml:space="preserve">24/2/1</t>
  </si>
  <si>
    <t xml:space="preserve">7/1</t>
  </si>
  <si>
    <t xml:space="preserve">Baljinder Singh s/o  Satpal Singh  s/o Gurbachan Singh  </t>
  </si>
  <si>
    <t xml:space="preserve">Sanjay Kumar s/o Sansar Chand s/o Kishori lal</t>
  </si>
  <si>
    <t xml:space="preserve">Jasvir Singh s/o Gurbachan Singh S/o Bishan Singh </t>
  </si>
  <si>
    <t xml:space="preserve">69/367</t>
  </si>
  <si>
    <t xml:space="preserve">Manoj Kumar s/o Sansar Chand s/o Kishori lal</t>
  </si>
  <si>
    <t xml:space="preserve">160/1101</t>
  </si>
  <si>
    <t xml:space="preserve">Gurmeet Singh s/o  Sukhpal Singh  s/o Gurbachan Singh  </t>
  </si>
  <si>
    <t xml:space="preserve">7/2</t>
  </si>
  <si>
    <t xml:space="preserve">Plot</t>
  </si>
  <si>
    <t xml:space="preserve">Khad ke gadde</t>
  </si>
  <si>
    <t xml:space="preserve">Same</t>
  </si>
  <si>
    <t xml:space="preserve">Hissedar</t>
  </si>
  <si>
    <t xml:space="preserve">Chahi</t>
  </si>
  <si>
    <t xml:space="preserve">House</t>
  </si>
  <si>
    <t xml:space="preserve">Mijan Haqiyat</t>
  </si>
  <si>
    <t xml:space="preserve">18/1</t>
  </si>
  <si>
    <t xml:space="preserve">1/18</t>
  </si>
  <si>
    <t xml:space="preserve">Sukhdev Singh s/o Prem Singh s/o Jodha Singh r/o Sukhchain</t>
  </si>
  <si>
    <t xml:space="preserve">5/72</t>
  </si>
  <si>
    <t xml:space="preserve">Roshan Chand s/o harchand Singh</t>
  </si>
  <si>
    <t xml:space="preserve">Gurdeep Singh s/o Chanan Singh s/o Harnam Singh </t>
  </si>
  <si>
    <t xml:space="preserve">Devinder Singh s/o Gurdiyal Singh s/o Partap Singh r/o Sukhchain</t>
  </si>
  <si>
    <t xml:space="preserve">13/2/2</t>
  </si>
  <si>
    <t xml:space="preserve">Total</t>
  </si>
  <si>
    <t xml:space="preserve">Gair Mumkin</t>
  </si>
  <si>
    <t xml:space="preserve">Baarani</t>
  </si>
  <si>
    <t xml:space="preserve">Avtar and Ram Singh s/o Surjit Singh s/o Bishan Singh</t>
  </si>
  <si>
    <t xml:space="preserve">Tabadla see Fard jamabandi</t>
  </si>
  <si>
    <t xml:space="preserve">2/3</t>
  </si>
  <si>
    <t xml:space="preserve">5/14</t>
  </si>
  <si>
    <t xml:space="preserve">3391 tabadla nazarsani</t>
  </si>
  <si>
    <t xml:space="preserve"> Jagdev Singh s/o Gurtej Singh s/o Bishan Singh</t>
  </si>
  <si>
    <t xml:space="preserve">1/7</t>
  </si>
  <si>
    <t xml:space="preserve">46/981</t>
  </si>
  <si>
    <t xml:space="preserve">47/981</t>
  </si>
  <si>
    <t xml:space="preserve">19/2</t>
  </si>
  <si>
    <t xml:space="preserve">220/981</t>
  </si>
  <si>
    <t xml:space="preserve">20/2</t>
  </si>
  <si>
    <t xml:space="preserve">479/981</t>
  </si>
  <si>
    <t xml:space="preserve">8/109</t>
  </si>
  <si>
    <t xml:space="preserve">13/109</t>
  </si>
  <si>
    <t xml:space="preserve">24/2/2</t>
  </si>
  <si>
    <t xml:space="preserve">Bela singh</t>
  </si>
  <si>
    <t xml:space="preserve">211/1937</t>
  </si>
  <si>
    <t xml:space="preserve">Manaali</t>
  </si>
  <si>
    <t xml:space="preserve">Gurcharan Singh s/o Dyan Singh s/o Nand Singh &amp; others</t>
  </si>
  <si>
    <t xml:space="preserve">1726/1937</t>
  </si>
  <si>
    <t xml:space="preserve">353/6390</t>
  </si>
  <si>
    <t xml:space="preserve">others</t>
  </si>
  <si>
    <t xml:space="preserve">6037/6390</t>
  </si>
  <si>
    <t xml:space="preserve">5-17-6</t>
  </si>
  <si>
    <t xml:space="preserve">7/66</t>
  </si>
  <si>
    <t xml:space="preserve">59/66</t>
  </si>
  <si>
    <t xml:space="preserve">10-10-0</t>
  </si>
  <si>
    <t xml:space="preserve">90/413</t>
  </si>
  <si>
    <t xml:space="preserve">Baltej Singh via gurbachan singh</t>
  </si>
  <si>
    <t xml:space="preserve">323/413</t>
  </si>
  <si>
    <t xml:space="preserve">wht is this?</t>
  </si>
  <si>
    <t xml:space="preserve">4-10-0</t>
  </si>
  <si>
    <t xml:space="preserve">blank</t>
  </si>
  <si>
    <t xml:space="preserve">Baljinder Singh/o Satpal Singh S/o Gurbachan Singh </t>
  </si>
  <si>
    <t xml:space="preserve">Jasvir Singh/o Gurbachan Singh S/o Bishan Singh </t>
  </si>
  <si>
    <t xml:space="preserve">Taqseem Mustarka Khewat baruai report roznamcha waqaiti no. 202 dated 04 March 2011 taqseem done on 24 May 2011</t>
  </si>
  <si>
    <t xml:space="preserve">Sukhpal Singh/o Gurbachan Singh S/o Bishan Singh </t>
  </si>
  <si>
    <t xml:space="preserve">823/5066</t>
  </si>
  <si>
    <t xml:space="preserve">butewali</t>
  </si>
  <si>
    <t xml:space="preserve">852/5066</t>
  </si>
  <si>
    <t xml:space="preserve">तारूआना</t>
  </si>
  <si>
    <t xml:space="preserve">2007-2008</t>
  </si>
  <si>
    <t xml:space="preserve">राय सिंह</t>
  </si>
  <si>
    <t xml:space="preserve">कुलवन्त सिंह पुत्र</t>
  </si>
  <si>
    <r>
      <rPr>
        <sz val="12"/>
        <color rgb="FF000000"/>
        <rFont val="FreeSans"/>
        <family val="2"/>
      </rPr>
      <t xml:space="preserve">खुदकाश्त </t>
    </r>
    <r>
      <rPr>
        <sz val="12"/>
        <color rgb="FF000000"/>
        <rFont val="Calibri"/>
        <family val="2"/>
        <charset val="1"/>
      </rPr>
      <t xml:space="preserve">Ô</t>
    </r>
  </si>
  <si>
    <t xml:space="preserve">74//</t>
  </si>
  <si>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355 </t>
    </r>
    <r>
      <rPr>
        <sz val="12"/>
        <color rgb="FF000000"/>
        <rFont val="FreeSans"/>
        <family val="2"/>
      </rPr>
      <t xml:space="preserve">तिथि</t>
    </r>
  </si>
  <si>
    <t xml:space="preserve">हरजीत सिंह पुत्र</t>
  </si>
  <si>
    <t xml:space="preserve">मकबूजा</t>
  </si>
  <si>
    <r>
      <rPr>
        <sz val="12"/>
        <color rgb="FF000000"/>
        <rFont val="Calibri"/>
        <family val="2"/>
        <charset val="1"/>
      </rPr>
      <t xml:space="preserve">8-0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</si>
  <si>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28-03-97 </t>
    </r>
    <r>
      <rPr>
        <sz val="12"/>
        <color rgb="FF000000"/>
        <rFont val="FreeSans"/>
        <family val="2"/>
      </rPr>
      <t xml:space="preserve">गुरमेल सिंह</t>
    </r>
  </si>
  <si>
    <t xml:space="preserve">दलीप सिंह</t>
  </si>
  <si>
    <t xml:space="preserve">मालकान</t>
  </si>
  <si>
    <t xml:space="preserve">81//</t>
  </si>
  <si>
    <r>
      <rPr>
        <sz val="12"/>
        <color rgb="FF000000"/>
        <rFont val="FreeSans"/>
        <family val="2"/>
      </rPr>
      <t xml:space="preserve">पुत्र मेजर सिहं का 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</si>
  <si>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320/4129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</si>
  <si>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1-0 </t>
    </r>
    <r>
      <rPr>
        <sz val="12"/>
        <color rgb="FF000000"/>
        <rFont val="FreeSans"/>
        <family val="2"/>
      </rPr>
      <t xml:space="preserve">बारानी</t>
    </r>
  </si>
  <si>
    <t xml:space="preserve">74//9-12/1-12/2-19/1-19</t>
  </si>
  <si>
    <t xml:space="preserve">सरजीत कौर विधवा</t>
  </si>
  <si>
    <t xml:space="preserve">/2</t>
  </si>
  <si>
    <t xml:space="preserve">दलीप सिंह पुत्र</t>
  </si>
  <si>
    <r>
      <rPr>
        <sz val="12"/>
        <color rgb="FF000000"/>
        <rFont val="Calibri"/>
        <family val="2"/>
        <charset val="1"/>
      </rPr>
      <t xml:space="preserve">2-18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</si>
  <si>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24-0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1/6</t>
    </r>
  </si>
  <si>
    <t xml:space="preserve">भजन सिंह</t>
  </si>
  <si>
    <r>
      <rPr>
        <sz val="12"/>
        <color rgb="FF000000"/>
        <rFont val="Calibri"/>
        <family val="2"/>
        <charset val="1"/>
      </rPr>
      <t xml:space="preserve">2-13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</si>
  <si>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भाग बकदर </t>
    </r>
    <r>
      <rPr>
        <sz val="12"/>
        <color rgb="FF000000"/>
        <rFont val="Calibri"/>
        <family val="2"/>
        <charset val="1"/>
      </rPr>
      <t xml:space="preserve">4-0</t>
    </r>
  </si>
  <si>
    <r>
      <rPr>
        <sz val="12"/>
        <color rgb="FF000000"/>
        <rFont val="Calibri"/>
        <family val="2"/>
        <charset val="1"/>
      </rPr>
      <t xml:space="preserve">827/4129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</si>
  <si>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0-5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</si>
  <si>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 18000 </t>
    </r>
    <r>
      <rPr>
        <sz val="12"/>
        <color rgb="FF000000"/>
        <rFont val="FreeSans"/>
        <family val="2"/>
      </rPr>
      <t xml:space="preserve">रु</t>
    </r>
  </si>
  <si>
    <t xml:space="preserve">बुटा सिंह पुत्र</t>
  </si>
  <si>
    <t xml:space="preserve">.</t>
  </si>
  <si>
    <r>
      <rPr>
        <sz val="12"/>
        <color rgb="FF000000"/>
        <rFont val="FreeSans"/>
        <family val="2"/>
      </rPr>
      <t xml:space="preserve">में बाहक </t>
    </r>
    <r>
      <rPr>
        <sz val="12"/>
        <color rgb="FF000000"/>
        <rFont val="Calibri"/>
        <family val="2"/>
        <charset val="1"/>
      </rPr>
      <t xml:space="preserve">PLDB Kalanwali</t>
    </r>
  </si>
  <si>
    <r>
      <rPr>
        <sz val="12"/>
        <color rgb="FF000000"/>
        <rFont val="Calibri"/>
        <family val="2"/>
        <charset val="1"/>
      </rPr>
      <t xml:space="preserve">5-2 </t>
    </r>
    <r>
      <rPr>
        <sz val="12"/>
        <color rgb="FF000000"/>
        <rFont val="FreeSans"/>
        <family val="2"/>
      </rPr>
      <t xml:space="preserve">बारानी</t>
    </r>
  </si>
  <si>
    <t xml:space="preserve">आड रहन है</t>
  </si>
  <si>
    <r>
      <rPr>
        <sz val="12"/>
        <color rgb="FF000000"/>
        <rFont val="Calibri"/>
        <family val="2"/>
        <charset val="1"/>
      </rPr>
      <t xml:space="preserve">4089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</si>
  <si>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1324/4129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</si>
  <si>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7-8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</si>
  <si>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------- </t>
    </r>
    <r>
      <rPr>
        <sz val="12"/>
        <color rgb="FF000000"/>
        <rFont val="FreeSans"/>
        <family val="2"/>
      </rPr>
      <t xml:space="preserve">लाल आरम्भ</t>
    </r>
    <r>
      <rPr>
        <sz val="12"/>
        <color rgb="FF000000"/>
        <rFont val="Calibri"/>
        <family val="2"/>
        <charset val="1"/>
      </rPr>
      <t xml:space="preserve">-----</t>
    </r>
  </si>
  <si>
    <r>
      <rPr>
        <sz val="12"/>
        <color rgb="FF000000"/>
        <rFont val="Calibri"/>
        <family val="2"/>
        <charset val="1"/>
      </rPr>
      <t xml:space="preserve">1-8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</si>
  <si>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4153 </t>
    </r>
    <r>
      <rPr>
        <sz val="12"/>
        <color rgb="FF000000"/>
        <rFont val="FreeSans"/>
        <family val="2"/>
      </rPr>
      <t xml:space="preserve">बै</t>
    </r>
  </si>
  <si>
    <t xml:space="preserve">रमन सिंगला पत्नी</t>
  </si>
  <si>
    <t xml:space="preserve">25/1</t>
  </si>
  <si>
    <r>
      <rPr>
        <sz val="12"/>
        <color rgb="FF000000"/>
        <rFont val="Calibri"/>
        <family val="2"/>
        <charset val="1"/>
      </rPr>
      <t xml:space="preserve">2-0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</si>
  <si>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------- </t>
    </r>
    <r>
      <rPr>
        <sz val="12"/>
        <color rgb="FF000000"/>
        <rFont val="FreeSans"/>
        <family val="2"/>
      </rPr>
      <t xml:space="preserve">लाल समाप्त</t>
    </r>
    <r>
      <rPr>
        <sz val="12"/>
        <color rgb="FF000000"/>
        <rFont val="Calibri"/>
        <family val="2"/>
        <charset val="1"/>
      </rPr>
      <t xml:space="preserve">-----</t>
    </r>
  </si>
  <si>
    <t xml:space="preserve">सुरजभान पुत्र</t>
  </si>
  <si>
    <t xml:space="preserve">बनारसी दास</t>
  </si>
  <si>
    <r>
      <rPr>
        <sz val="12"/>
        <color rgb="FF000000"/>
        <rFont val="Calibri"/>
        <family val="2"/>
        <charset val="1"/>
      </rPr>
      <t xml:space="preserve">3-1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</si>
  <si>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4164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</si>
  <si>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127/4129 </t>
    </r>
    <r>
      <rPr>
        <sz val="12"/>
        <color rgb="FF000000"/>
        <rFont val="FreeSans"/>
        <family val="2"/>
      </rPr>
      <t xml:space="preserve">भाग</t>
    </r>
  </si>
  <si>
    <t xml:space="preserve">प्लाट</t>
  </si>
  <si>
    <t xml:space="preserve">वासी मण्डी</t>
  </si>
  <si>
    <r>
      <rPr>
        <sz val="12"/>
        <color rgb="FF000000"/>
        <rFont val="Calibri"/>
        <family val="2"/>
        <charset val="1"/>
      </rPr>
      <t xml:space="preserve">0-3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</si>
  <si>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कालावाली</t>
  </si>
  <si>
    <t xml:space="preserve">खाद के गड्डे</t>
  </si>
  <si>
    <r>
      <rPr>
        <sz val="12"/>
        <color rgb="FF000000"/>
        <rFont val="Calibri"/>
        <family val="2"/>
        <charset val="1"/>
      </rPr>
      <t xml:space="preserve">4187 </t>
    </r>
    <r>
      <rPr>
        <sz val="12"/>
        <color rgb="FF000000"/>
        <rFont val="FreeSans"/>
        <family val="2"/>
      </rPr>
      <t xml:space="preserve">बै</t>
    </r>
  </si>
  <si>
    <t xml:space="preserve">नसीब कौर पत्नी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</si>
  <si>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12</t>
    </r>
  </si>
  <si>
    <t xml:space="preserve">47-0</t>
  </si>
  <si>
    <t xml:space="preserve">हाकाम सिंह</t>
  </si>
  <si>
    <t xml:space="preserve">कुल गैर मजरुआ</t>
  </si>
  <si>
    <r>
      <rPr>
        <sz val="12"/>
        <color rgb="FF000000"/>
        <rFont val="Calibri"/>
        <family val="2"/>
        <charset val="1"/>
      </rPr>
      <t xml:space="preserve">4205 </t>
    </r>
    <r>
      <rPr>
        <sz val="12"/>
        <color rgb="FF000000"/>
        <rFont val="FreeSans"/>
        <family val="2"/>
      </rPr>
      <t xml:space="preserve">विरासत</t>
    </r>
  </si>
  <si>
    <r>
      <rPr>
        <sz val="12"/>
        <color rgb="FF000000"/>
        <rFont val="Calibri"/>
        <family val="2"/>
        <charset val="1"/>
      </rPr>
      <t xml:space="preserve">20/4129 </t>
    </r>
    <r>
      <rPr>
        <sz val="12"/>
        <color rgb="FF000000"/>
        <rFont val="FreeSans"/>
        <family val="2"/>
      </rPr>
      <t xml:space="preserve">भाग</t>
    </r>
  </si>
  <si>
    <t xml:space="preserve">कान्ता देवी पत्नी</t>
  </si>
  <si>
    <t xml:space="preserve">43-11</t>
  </si>
  <si>
    <t xml:space="preserve">सुरेश कुमार पुत्र</t>
  </si>
  <si>
    <r>
      <rPr>
        <sz val="12"/>
        <color rgb="FF000000"/>
        <rFont val="Calibri"/>
        <family val="2"/>
        <charset val="1"/>
      </rPr>
      <t xml:space="preserve">4214 </t>
    </r>
    <r>
      <rPr>
        <sz val="12"/>
        <color rgb="FF000000"/>
        <rFont val="FreeSans"/>
        <family val="2"/>
      </rPr>
      <t xml:space="preserve">विरासत</t>
    </r>
  </si>
  <si>
    <t xml:space="preserve">जोगिन्द्रपाल</t>
  </si>
  <si>
    <r>
      <rPr>
        <sz val="12"/>
        <color rgb="FF000000"/>
        <rFont val="Calibri"/>
        <family val="2"/>
        <charset val="1"/>
      </rPr>
      <t xml:space="preserve">18-1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</si>
  <si>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3-9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</si>
  <si>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25-10 </t>
    </r>
    <r>
      <rPr>
        <sz val="12"/>
        <color rgb="FF000000"/>
        <rFont val="FreeSans"/>
        <family val="2"/>
      </rPr>
      <t xml:space="preserve">बारानी</t>
    </r>
  </si>
  <si>
    <t xml:space="preserve">नाजर सिंह पुत्र</t>
  </si>
  <si>
    <r>
      <rPr>
        <sz val="12"/>
        <color rgb="FF000000"/>
        <rFont val="Calibri"/>
        <family val="2"/>
        <charset val="1"/>
      </rPr>
      <t xml:space="preserve">4215 </t>
    </r>
    <r>
      <rPr>
        <sz val="12"/>
        <color rgb="FF000000"/>
        <rFont val="FreeSans"/>
        <family val="2"/>
      </rPr>
      <t xml:space="preserve">विरासत</t>
    </r>
  </si>
  <si>
    <r>
      <rPr>
        <sz val="12"/>
        <color rgb="FF000000"/>
        <rFont val="Calibri"/>
        <family val="2"/>
        <charset val="1"/>
      </rPr>
      <t xml:space="preserve">1350/4129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</si>
  <si>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4235 </t>
    </r>
    <r>
      <rPr>
        <sz val="12"/>
        <color rgb="FF000000"/>
        <rFont val="FreeSans"/>
        <family val="2"/>
      </rPr>
      <t xml:space="preserve">बै</t>
    </r>
  </si>
  <si>
    <t xml:space="preserve">गुरमीत सिंह पुत्र</t>
  </si>
  <si>
    <t xml:space="preserve">सुखपाल सिंह पुत्र</t>
  </si>
  <si>
    <t xml:space="preserve">ललललल</t>
  </si>
  <si>
    <t xml:space="preserve">गुरबचन सिंह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</si>
  <si>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.40</t>
    </r>
  </si>
  <si>
    <r>
      <rPr>
        <sz val="12"/>
        <color rgb="FF000000"/>
        <rFont val="Calibri"/>
        <family val="2"/>
        <charset val="1"/>
      </rPr>
      <t xml:space="preserve">34/4129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</si>
  <si>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10-4-09 </t>
    </r>
    <r>
      <rPr>
        <sz val="12"/>
        <color rgb="FF000000"/>
        <rFont val="FreeSans"/>
        <family val="2"/>
      </rPr>
      <t xml:space="preserve">आमदा</t>
    </r>
  </si>
  <si>
    <r>
      <rPr>
        <sz val="12"/>
        <color rgb="FF000000"/>
        <rFont val="FreeSans"/>
        <family val="2"/>
      </rPr>
      <t xml:space="preserve">आदेश</t>
    </r>
    <r>
      <rPr>
        <sz val="12"/>
        <color rgb="FF000000"/>
        <rFont val="Calibri"/>
        <family val="2"/>
        <charset val="1"/>
      </rPr>
      <t xml:space="preserve">PNB </t>
    </r>
    <r>
      <rPr>
        <sz val="12"/>
        <color rgb="FF000000"/>
        <rFont val="FreeSans"/>
        <family val="2"/>
      </rPr>
      <t xml:space="preserve">कालावाली के</t>
    </r>
  </si>
  <si>
    <r>
      <rPr>
        <sz val="12"/>
        <color rgb="FF000000"/>
        <rFont val="FreeSans"/>
        <family val="2"/>
      </rPr>
      <t xml:space="preserve">अनुसारजो रपट न</t>
    </r>
    <r>
      <rPr>
        <sz val="12"/>
        <color rgb="FF000000"/>
        <rFont val="Calibri"/>
        <family val="2"/>
        <charset val="1"/>
      </rPr>
      <t xml:space="preserve">.410</t>
    </r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</si>
  <si>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19-7-02</t>
    </r>
    <r>
      <rPr>
        <sz val="12"/>
        <color rgb="FF000000"/>
        <rFont val="FreeSans"/>
        <family val="2"/>
      </rPr>
      <t xml:space="preserve">व रपट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</si>
  <si>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.402 </t>
    </r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19-7-02</t>
    </r>
    <r>
      <rPr>
        <sz val="12"/>
        <color rgb="FF000000"/>
        <rFont val="FreeSans"/>
        <family val="2"/>
      </rPr>
      <t xml:space="preserve">पर</t>
    </r>
  </si>
  <si>
    <t xml:space="preserve">जो रकबा आड रहन थाअब</t>
  </si>
  <si>
    <t xml:space="preserve">फक हो चुका है</t>
  </si>
  <si>
    <r>
      <rPr>
        <sz val="12"/>
        <color rgb="FF000000"/>
        <rFont val="FreeSans"/>
        <family val="2"/>
      </rPr>
      <t xml:space="preserve">बरूए</t>
    </r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1555</t>
    </r>
  </si>
  <si>
    <r>
      <rPr>
        <sz val="12"/>
        <color rgb="FF000000"/>
        <rFont val="FreeSans"/>
        <family val="2"/>
      </rPr>
      <t xml:space="preserve">तिथी </t>
    </r>
    <r>
      <rPr>
        <sz val="12"/>
        <color rgb="FF000000"/>
        <rFont val="Calibri"/>
        <family val="2"/>
        <charset val="1"/>
      </rPr>
      <t xml:space="preserve">29-12-09 </t>
    </r>
    <r>
      <rPr>
        <sz val="12"/>
        <color rgb="FF000000"/>
        <rFont val="FreeSans"/>
        <family val="2"/>
      </rPr>
      <t xml:space="preserve">के</t>
    </r>
  </si>
  <si>
    <t xml:space="preserve">अनुसार मिन जानिम</t>
  </si>
  <si>
    <r>
      <rPr>
        <sz val="12"/>
        <color rgb="FF000000"/>
        <rFont val="FreeSans"/>
        <family val="2"/>
      </rPr>
      <t xml:space="preserve">राकेश कुमार 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FreeSans"/>
        <family val="2"/>
      </rPr>
      <t xml:space="preserve">हरीश</t>
    </r>
  </si>
  <si>
    <t xml:space="preserve">कुमार पुत्रान व</t>
  </si>
  <si>
    <t xml:space="preserve">सुरजभान पुत्र हरचन्द</t>
  </si>
  <si>
    <t xml:space="preserve">मल व बबली कुमार</t>
  </si>
  <si>
    <t xml:space="preserve">पुत्र मखन लाल ने</t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</si>
  <si>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 5/53 </t>
    </r>
    <r>
      <rPr>
        <sz val="12"/>
        <color rgb="FF000000"/>
        <rFont val="FreeSans"/>
        <family val="2"/>
      </rPr>
      <t xml:space="preserve">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</si>
  <si>
    <r>
      <rPr>
        <sz val="12"/>
        <color rgb="FF000000"/>
        <rFont val="Calibri"/>
        <family val="2"/>
        <charset val="1"/>
      </rPr>
      <t xml:space="preserve">61//21,74//1/1 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</si>
  <si>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FreeSans"/>
        <family val="2"/>
      </rPr>
      <t xml:space="preserve">खे</t>
    </r>
    <r>
      <rPr>
        <sz val="12"/>
        <color rgb="FF000000"/>
        <rFont val="Calibri"/>
        <family val="2"/>
        <charset val="1"/>
      </rPr>
      <t xml:space="preserve">,</t>
    </r>
    <r>
      <rPr>
        <sz val="12"/>
        <color rgb="FF000000"/>
        <rFont val="FreeSans"/>
        <family val="2"/>
      </rPr>
      <t xml:space="preserve">न </t>
    </r>
    <r>
      <rPr>
        <sz val="12"/>
        <color rgb="FF000000"/>
        <rFont val="Calibri"/>
        <family val="2"/>
        <charset val="1"/>
      </rPr>
      <t xml:space="preserve">1/22 </t>
    </r>
    <r>
      <rPr>
        <sz val="12"/>
        <color rgb="FF000000"/>
        <rFont val="FreeSans"/>
        <family val="2"/>
      </rPr>
      <t xml:space="preserve">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</si>
  <si>
    <t xml:space="preserve">61//11/2/1-11/2/2</t>
  </si>
  <si>
    <r>
      <rPr>
        <sz val="12"/>
        <color rgb="FF000000"/>
        <rFont val="FreeSans"/>
        <family val="2"/>
      </rPr>
      <t xml:space="preserve">वखे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 </t>
    </r>
    <r>
      <rPr>
        <sz val="12"/>
        <color rgb="FF000000"/>
        <rFont val="Calibri"/>
        <family val="2"/>
        <charset val="1"/>
      </rPr>
      <t xml:space="preserve">1/1 </t>
    </r>
    <r>
      <rPr>
        <sz val="12"/>
        <color rgb="FF000000"/>
        <rFont val="FreeSans"/>
        <family val="2"/>
      </rPr>
      <t xml:space="preserve">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</si>
  <si>
    <r>
      <rPr>
        <sz val="12"/>
        <color rgb="FF000000"/>
        <rFont val="Calibri"/>
        <family val="2"/>
        <charset val="1"/>
      </rPr>
      <t xml:space="preserve">61//20 </t>
    </r>
    <r>
      <rPr>
        <sz val="12"/>
        <color rgb="FF000000"/>
        <rFont val="FreeSans"/>
        <family val="2"/>
      </rPr>
      <t xml:space="preserve">कुल रकबा</t>
    </r>
  </si>
  <si>
    <r>
      <rPr>
        <sz val="12"/>
        <color rgb="FF000000"/>
        <rFont val="Calibri"/>
        <family val="2"/>
        <charset val="1"/>
      </rPr>
      <t xml:space="preserve">22-14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</si>
  <si>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16000000 /- 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मे</t>
    </r>
  </si>
  <si>
    <r>
      <rPr>
        <sz val="12"/>
        <color rgb="FF000000"/>
        <rFont val="Calibri"/>
        <family val="2"/>
        <charset val="1"/>
      </rPr>
      <t xml:space="preserve">PNB KLW </t>
    </r>
    <r>
      <rPr>
        <sz val="12"/>
        <color rgb="FF000000"/>
        <rFont val="FreeSans"/>
        <family val="2"/>
      </rPr>
      <t xml:space="preserve">के पास ता</t>
    </r>
  </si>
  <si>
    <t xml:space="preserve">अदायगी रकम रकबा आड</t>
  </si>
  <si>
    <t xml:space="preserve">रहन रहेगा ा</t>
  </si>
  <si>
    <r>
      <rPr>
        <sz val="12"/>
        <color rgb="FF000000"/>
        <rFont val="FreeSans"/>
        <family val="2"/>
      </rPr>
      <t xml:space="preserve">रमन सिंगला</t>
    </r>
    <r>
      <rPr>
        <sz val="12"/>
        <color rgb="FF000000"/>
        <rFont val="Calibri"/>
        <family val="2"/>
        <charset val="1"/>
      </rPr>
      <t xml:space="preserve">,</t>
    </r>
  </si>
  <si>
    <t xml:space="preserve">76//</t>
  </si>
  <si>
    <t xml:space="preserve">कान्ता देवी</t>
  </si>
  <si>
    <r>
      <rPr>
        <sz val="12"/>
        <color rgb="FF000000"/>
        <rFont val="Calibri"/>
        <family val="2"/>
        <charset val="1"/>
      </rPr>
      <t xml:space="preserve">2-2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</si>
  <si>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10-2 </t>
    </r>
    <r>
      <rPr>
        <sz val="12"/>
        <color rgb="FF000000"/>
        <rFont val="FreeSans"/>
        <family val="2"/>
      </rPr>
      <t xml:space="preserve">बारानी</t>
    </r>
  </si>
  <si>
    <t xml:space="preserve">नाजर सिंह</t>
  </si>
  <si>
    <t xml:space="preserve">23-8</t>
  </si>
  <si>
    <r>
      <rPr>
        <sz val="12"/>
        <color rgb="FF000000"/>
        <rFont val="Calibri"/>
        <family val="2"/>
        <charset val="1"/>
      </rPr>
      <t xml:space="preserve">23-8 </t>
    </r>
    <r>
      <rPr>
        <sz val="12"/>
        <color rgb="FF000000"/>
        <rFont val="FreeSans"/>
        <family val="2"/>
      </rPr>
      <t xml:space="preserve">नहरी</t>
    </r>
  </si>
  <si>
    <t xml:space="preserve">खुदकाश्त</t>
  </si>
  <si>
    <r>
      <rPr>
        <sz val="12"/>
        <color rgb="FF000000"/>
        <rFont val="FreeSans"/>
        <family val="2"/>
      </rPr>
      <t xml:space="preserve">सरजीत कौर</t>
    </r>
    <r>
      <rPr>
        <sz val="12"/>
        <color rgb="FF000000"/>
        <rFont val="Calibri"/>
        <family val="2"/>
        <charset val="1"/>
      </rPr>
      <t xml:space="preserve">,</t>
    </r>
  </si>
  <si>
    <t xml:space="preserve">कालुआना माईनर</t>
  </si>
  <si>
    <t xml:space="preserve">17/2</t>
  </si>
  <si>
    <r>
      <rPr>
        <sz val="12"/>
        <color rgb="FF000000"/>
        <rFont val="Calibri"/>
        <family val="2"/>
        <charset val="1"/>
      </rPr>
      <t xml:space="preserve">5-9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</si>
  <si>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बुटा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</si>
  <si>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24/2</t>
  </si>
  <si>
    <r>
      <rPr>
        <sz val="12"/>
        <color rgb="FF000000"/>
        <rFont val="Calibri"/>
        <family val="2"/>
        <charset val="1"/>
      </rPr>
      <t xml:space="preserve">2-16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</si>
  <si>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10-17 </t>
    </r>
    <r>
      <rPr>
        <sz val="12"/>
        <color rgb="FF000000"/>
        <rFont val="FreeSans"/>
        <family val="2"/>
      </rPr>
      <t xml:space="preserve">नहरी</t>
    </r>
  </si>
  <si>
    <t xml:space="preserve">वाहनीया निस्फ</t>
  </si>
  <si>
    <t xml:space="preserve">24/3</t>
  </si>
  <si>
    <r>
      <rPr>
        <sz val="12"/>
        <color rgb="FF000000"/>
        <rFont val="Calibri"/>
        <family val="2"/>
        <charset val="1"/>
      </rPr>
      <t xml:space="preserve">1-4 </t>
    </r>
    <r>
      <rPr>
        <sz val="12"/>
        <color rgb="FF000000"/>
        <rFont val="FreeSans"/>
        <family val="2"/>
      </rPr>
      <t xml:space="preserve">नहरी</t>
    </r>
  </si>
  <si>
    <t xml:space="preserve">गला मयनीरा बिला</t>
  </si>
  <si>
    <t xml:space="preserve">खर्च सहायकखेती</t>
  </si>
  <si>
    <t xml:space="preserve">रहिनान</t>
  </si>
  <si>
    <t xml:space="preserve">इन्द्र सिह पुत्र</t>
  </si>
  <si>
    <t xml:space="preserve">नन्दा सिह पुत्र</t>
  </si>
  <si>
    <t xml:space="preserve">र्माफत</t>
  </si>
  <si>
    <t xml:space="preserve">दलीप सिंह खाली</t>
  </si>
  <si>
    <t xml:space="preserve">पुत्र</t>
  </si>
  <si>
    <t xml:space="preserve">गैर मौरूसी</t>
  </si>
  <si>
    <r>
      <rPr>
        <sz val="12"/>
        <color rgb="FF000000"/>
        <rFont val="FreeSans"/>
        <family val="2"/>
      </rPr>
      <t xml:space="preserve">व बुटा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</si>
  <si>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Calibri"/>
        <family val="2"/>
        <charset val="1"/>
      </rPr>
      <t xml:space="preserve">1/2 </t>
    </r>
    <r>
      <rPr>
        <sz val="12"/>
        <color rgb="FF000000"/>
        <rFont val="FreeSans"/>
        <family val="2"/>
      </rPr>
      <t xml:space="preserve">गला मय</t>
    </r>
  </si>
  <si>
    <t xml:space="preserve">नीराबिला खर्च</t>
  </si>
  <si>
    <t xml:space="preserve">सहायक खेती</t>
  </si>
  <si>
    <t xml:space="preserve">नंदा सिह पुत्र</t>
  </si>
  <si>
    <t xml:space="preserve">हीरा सिह पुत्र</t>
  </si>
  <si>
    <t xml:space="preserve">सुहेला सिह</t>
  </si>
  <si>
    <t xml:space="preserve">60//</t>
  </si>
  <si>
    <r>
      <rPr>
        <sz val="12"/>
        <color rgb="FF000000"/>
        <rFont val="Calibri"/>
        <family val="2"/>
        <charset val="1"/>
      </rPr>
      <t xml:space="preserve">3-7 </t>
    </r>
    <r>
      <rPr>
        <sz val="12"/>
        <color rgb="FF000000"/>
        <rFont val="FreeSans"/>
        <family val="2"/>
      </rPr>
      <t xml:space="preserve">नहरी</t>
    </r>
  </si>
  <si>
    <t xml:space="preserve">25/2</t>
  </si>
  <si>
    <r>
      <rPr>
        <sz val="12"/>
        <color rgb="FF000000"/>
        <rFont val="Calibri"/>
        <family val="2"/>
        <charset val="1"/>
      </rPr>
      <t xml:space="preserve">4-0 </t>
    </r>
    <r>
      <rPr>
        <sz val="12"/>
        <color rgb="FF000000"/>
        <rFont val="FreeSans"/>
        <family val="2"/>
      </rPr>
      <t xml:space="preserve">बारानी</t>
    </r>
  </si>
  <si>
    <t xml:space="preserve">75//</t>
  </si>
  <si>
    <t xml:space="preserve">बायान</t>
  </si>
  <si>
    <r>
      <rPr>
        <sz val="12"/>
        <color rgb="FF000000"/>
        <rFont val="FreeSans"/>
        <family val="2"/>
      </rPr>
      <t xml:space="preserve">बघेल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</si>
  <si>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15-7</t>
  </si>
  <si>
    <r>
      <rPr>
        <sz val="12"/>
        <color rgb="FF000000"/>
        <rFont val="FreeSans"/>
        <family val="2"/>
      </rPr>
      <t xml:space="preserve">सुरजन सिह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</si>
  <si>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हरजीत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</si>
  <si>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बख्सीस सिह पुत्रान</t>
  </si>
  <si>
    <t xml:space="preserve">अजैब सिह पुत्र</t>
  </si>
  <si>
    <t xml:space="preserve">चम्बा सिह</t>
  </si>
  <si>
    <t xml:space="preserve">हर चार समभाग</t>
  </si>
  <si>
    <r>
      <rPr>
        <sz val="12"/>
        <color rgb="FF000000"/>
        <rFont val="Calibri"/>
        <family val="2"/>
        <charset val="1"/>
      </rPr>
      <t xml:space="preserve">12-0 </t>
    </r>
    <r>
      <rPr>
        <sz val="12"/>
        <color rgb="FF000000"/>
        <rFont val="FreeSans"/>
        <family val="2"/>
      </rPr>
      <t xml:space="preserve">बारानी</t>
    </r>
  </si>
  <si>
    <t xml:space="preserve">मुशत्रीयान</t>
  </si>
  <si>
    <t xml:space="preserve">काशत</t>
  </si>
  <si>
    <r>
      <rPr>
        <sz val="12"/>
        <color rgb="FF000000"/>
        <rFont val="Calibri"/>
        <family val="2"/>
        <charset val="1"/>
      </rPr>
      <t xml:space="preserve">3-4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</si>
  <si>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4-16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</si>
  <si>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दर्शन सिह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</si>
  <si>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जगदीश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</si>
  <si>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24-0</t>
  </si>
  <si>
    <t xml:space="preserve">कुलवन्त सिह पुत्रान</t>
  </si>
  <si>
    <t xml:space="preserve">सरजीत सिह पुत्र</t>
  </si>
  <si>
    <r>
      <rPr>
        <sz val="12"/>
        <color rgb="FF000000"/>
        <rFont val="Calibri"/>
        <family val="2"/>
        <charset val="1"/>
      </rPr>
      <t xml:space="preserve">24-0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</si>
  <si>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गुरमेल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</si>
  <si>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प्रगट सिह पुत्रान</t>
  </si>
  <si>
    <t xml:space="preserve">मेजर सिह पुत्र</t>
  </si>
  <si>
    <t xml:space="preserve">दलीप सिह</t>
  </si>
  <si>
    <r>
      <rPr>
        <sz val="12"/>
        <color rgb="FF000000"/>
        <rFont val="FreeSans"/>
        <family val="2"/>
      </rPr>
      <t xml:space="preserve">भुपेन्द्र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</si>
  <si>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दविन्द्र सिह पुत्रान</t>
  </si>
  <si>
    <t xml:space="preserve">कोर सिह पुत्र</t>
  </si>
  <si>
    <t xml:space="preserve">61//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</si>
  <si>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410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</si>
  <si>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7-19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</si>
  <si>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19-7-2002 </t>
    </r>
    <r>
      <rPr>
        <sz val="12"/>
        <color rgb="FF000000"/>
        <rFont val="FreeSans"/>
        <family val="2"/>
      </rPr>
      <t xml:space="preserve">मिनजानब बघेल</t>
    </r>
  </si>
  <si>
    <r>
      <rPr>
        <sz val="12"/>
        <color rgb="FF000000"/>
        <rFont val="FreeSans"/>
        <family val="2"/>
      </rPr>
      <t xml:space="preserve">सिंह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FreeSans"/>
        <family val="2"/>
      </rPr>
      <t xml:space="preserve">सुरजन सिंह</t>
    </r>
    <r>
      <rPr>
        <sz val="12"/>
        <color rgb="FF000000"/>
        <rFont val="Calibri"/>
        <family val="2"/>
        <charset val="1"/>
      </rPr>
      <t xml:space="preserve">-</t>
    </r>
  </si>
  <si>
    <r>
      <rPr>
        <sz val="12"/>
        <color rgb="FF000000"/>
        <rFont val="FreeSans"/>
        <family val="2"/>
      </rPr>
      <t xml:space="preserve">हरजीत सिंह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FreeSans"/>
        <family val="2"/>
      </rPr>
      <t xml:space="preserve">बखशीश सिंह</t>
    </r>
  </si>
  <si>
    <t xml:space="preserve">पुत्रान अजैब सिहं का</t>
  </si>
  <si>
    <t xml:space="preserve">मिनाक्षी सिंगला पत्नी</t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</si>
  <si>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</si>
  <si>
    <t xml:space="preserve">सतीश कुमार पुत्र</t>
  </si>
  <si>
    <t xml:space="preserve">60//25/1-25/2</t>
  </si>
  <si>
    <t xml:space="preserve">हुक्म चन्द</t>
  </si>
  <si>
    <r>
      <rPr>
        <sz val="12"/>
        <color rgb="FF000000"/>
        <rFont val="Calibri"/>
        <family val="2"/>
        <charset val="1"/>
      </rPr>
      <t xml:space="preserve">75//5 </t>
    </r>
    <r>
      <rPr>
        <sz val="12"/>
        <color rgb="FF000000"/>
        <rFont val="FreeSans"/>
        <family val="2"/>
      </rPr>
      <t xml:space="preserve">कुल </t>
    </r>
    <r>
      <rPr>
        <sz val="12"/>
        <color rgb="FF000000"/>
        <rFont val="Calibri"/>
        <family val="2"/>
        <charset val="1"/>
      </rPr>
      <t xml:space="preserve">15-7 </t>
    </r>
    <r>
      <rPr>
        <sz val="12"/>
        <color rgb="FF000000"/>
        <rFont val="FreeSans"/>
        <family val="2"/>
      </rPr>
      <t xml:space="preserve">मय खाता</t>
    </r>
  </si>
  <si>
    <t xml:space="preserve">वासी कालांवाली</t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</si>
  <si>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</si>
  <si>
    <t xml:space="preserve">मुशत्री</t>
  </si>
  <si>
    <r>
      <rPr>
        <sz val="12"/>
        <color rgb="FF000000"/>
        <rFont val="Calibri"/>
        <family val="2"/>
        <charset val="1"/>
      </rPr>
      <t xml:space="preserve">150-156-414 </t>
    </r>
    <r>
      <rPr>
        <sz val="12"/>
        <color rgb="FF000000"/>
        <rFont val="FreeSans"/>
        <family val="2"/>
      </rPr>
      <t xml:space="preserve">वहक </t>
    </r>
    <r>
      <rPr>
        <sz val="12"/>
        <color rgb="FF000000"/>
        <rFont val="Calibri"/>
        <family val="2"/>
        <charset val="1"/>
      </rPr>
      <t xml:space="preserve">P.N.B.</t>
    </r>
  </si>
  <si>
    <r>
      <rPr>
        <sz val="12"/>
        <color rgb="FF000000"/>
        <rFont val="Calibri"/>
        <family val="2"/>
        <charset val="1"/>
      </rPr>
      <t xml:space="preserve">9-19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</si>
  <si>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कालांवाली 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</si>
  <si>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600000/- </t>
    </r>
    <r>
      <rPr>
        <sz val="12"/>
        <color rgb="FF000000"/>
        <rFont val="FreeSans"/>
        <family val="2"/>
      </rPr>
      <t xml:space="preserve">में आड़ रहन</t>
    </r>
  </si>
  <si>
    <t xml:space="preserve">है</t>
  </si>
  <si>
    <r>
      <rPr>
        <sz val="12"/>
        <color rgb="FF000000"/>
        <rFont val="Calibri"/>
        <family val="2"/>
        <charset val="1"/>
      </rPr>
      <t xml:space="preserve">4104 </t>
    </r>
    <r>
      <rPr>
        <sz val="12"/>
        <color rgb="FF000000"/>
        <rFont val="FreeSans"/>
        <family val="2"/>
      </rPr>
      <t xml:space="preserve">फकपट्टानामा</t>
    </r>
  </si>
  <si>
    <r>
      <rPr>
        <sz val="12"/>
        <color rgb="FF000000"/>
        <rFont val="Calibri"/>
        <family val="2"/>
        <charset val="1"/>
      </rPr>
      <t xml:space="preserve">4110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</si>
  <si>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6-0 </t>
    </r>
    <r>
      <rPr>
        <sz val="12"/>
        <color rgb="FF000000"/>
        <rFont val="FreeSans"/>
        <family val="2"/>
      </rPr>
      <t xml:space="preserve">बारानी</t>
    </r>
  </si>
  <si>
    <t xml:space="preserve">कुलवन्त कोर पत्नी</t>
  </si>
  <si>
    <t xml:space="preserve">16-0</t>
  </si>
  <si>
    <t xml:space="preserve">बुटा सिह पुत्र</t>
  </si>
  <si>
    <t xml:space="preserve">अर्जन सिह</t>
  </si>
  <si>
    <r>
      <rPr>
        <sz val="12"/>
        <color rgb="FF000000"/>
        <rFont val="Calibri"/>
        <family val="2"/>
        <charset val="1"/>
      </rPr>
      <t xml:space="preserve">1/2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</si>
  <si>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16-0 </t>
    </r>
    <r>
      <rPr>
        <sz val="12"/>
        <color rgb="FF000000"/>
        <rFont val="FreeSans"/>
        <family val="2"/>
      </rPr>
      <t xml:space="preserve">बारानी</t>
    </r>
  </si>
  <si>
    <t xml:space="preserve">कुलवन्त सिह पुत्र</t>
  </si>
  <si>
    <t xml:space="preserve">मुशत्रीयन</t>
  </si>
  <si>
    <t xml:space="preserve">सुरजीत सिह पुत्र</t>
  </si>
  <si>
    <t xml:space="preserve">दलीप सिह पुत्र</t>
  </si>
  <si>
    <t xml:space="preserve">82//</t>
  </si>
  <si>
    <r>
      <rPr>
        <sz val="12"/>
        <color rgb="FF000000"/>
        <rFont val="Calibri"/>
        <family val="2"/>
        <charset val="1"/>
      </rPr>
      <t xml:space="preserve">6-6 </t>
    </r>
    <r>
      <rPr>
        <sz val="12"/>
        <color rgb="FF000000"/>
        <rFont val="FreeSans"/>
        <family val="2"/>
      </rPr>
      <t xml:space="preserve">बारानी</t>
    </r>
  </si>
  <si>
    <t xml:space="preserve">सतवन्त सिह पुत्र</t>
  </si>
  <si>
    <t xml:space="preserve">सुखदेव सिह पुत्र</t>
  </si>
  <si>
    <t xml:space="preserve">नाथल सिह</t>
  </si>
  <si>
    <r>
      <rPr>
        <sz val="12"/>
        <color rgb="FF000000"/>
        <rFont val="Calibri"/>
        <family val="2"/>
        <charset val="1"/>
      </rPr>
      <t xml:space="preserve">7-4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</si>
  <si>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िबला</t>
    </r>
    <r>
      <rPr>
        <sz val="12"/>
        <color rgb="FF000000"/>
        <rFont val="Calibri"/>
        <family val="2"/>
        <charset val="1"/>
      </rPr>
      <t xml:space="preserve">10/29 </t>
    </r>
    <r>
      <rPr>
        <sz val="12"/>
        <color rgb="FF000000"/>
        <rFont val="FreeSans"/>
        <family val="2"/>
      </rPr>
      <t xml:space="preserve">भाग</t>
    </r>
  </si>
  <si>
    <t xml:space="preserve">23-4</t>
  </si>
  <si>
    <r>
      <rPr>
        <sz val="12"/>
        <color rgb="FF000000"/>
        <rFont val="FreeSans"/>
        <family val="2"/>
      </rPr>
      <t xml:space="preserve">दर्शन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</si>
  <si>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कुलवन्त सिंह पुत्रान</t>
  </si>
  <si>
    <t xml:space="preserve">सुरजीत सिंह पुत्र</t>
  </si>
  <si>
    <r>
      <rPr>
        <sz val="12"/>
        <color rgb="FF000000"/>
        <rFont val="Calibri"/>
        <family val="2"/>
        <charset val="1"/>
      </rPr>
      <t xml:space="preserve">23-4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</si>
  <si>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19/29 </t>
    </r>
    <r>
      <rPr>
        <sz val="12"/>
        <color rgb="FF000000"/>
        <rFont val="FreeSans"/>
        <family val="2"/>
      </rPr>
      <t xml:space="preserve">भाग</t>
    </r>
  </si>
  <si>
    <t xml:space="preserve">सदा सिंह</t>
  </si>
  <si>
    <t xml:space="preserve">41//</t>
  </si>
  <si>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165 </t>
    </r>
    <r>
      <rPr>
        <sz val="12"/>
        <color rgb="FF000000"/>
        <rFont val="FreeSans"/>
        <family val="2"/>
      </rPr>
      <t xml:space="preserve">तिथि</t>
    </r>
  </si>
  <si>
    <t xml:space="preserve">जोगिन्द्र सिह पुत्र</t>
  </si>
  <si>
    <r>
      <rPr>
        <sz val="12"/>
        <color rgb="FF000000"/>
        <rFont val="Calibri"/>
        <family val="2"/>
        <charset val="1"/>
      </rPr>
      <t xml:space="preserve">28-12-2004 </t>
    </r>
    <r>
      <rPr>
        <sz val="12"/>
        <color rgb="FF000000"/>
        <rFont val="FreeSans"/>
        <family val="2"/>
      </rPr>
      <t xml:space="preserve">के</t>
    </r>
  </si>
  <si>
    <t xml:space="preserve">बखतावर सिंह</t>
  </si>
  <si>
    <r>
      <rPr>
        <sz val="12"/>
        <color rgb="FF000000"/>
        <rFont val="FreeSans"/>
        <family val="2"/>
      </rPr>
      <t xml:space="preserve">अनुसार जो रपट न</t>
    </r>
    <r>
      <rPr>
        <sz val="12"/>
        <color rgb="FF000000"/>
        <rFont val="Calibri"/>
        <family val="2"/>
        <charset val="1"/>
      </rPr>
      <t xml:space="preserve">.186</t>
    </r>
  </si>
  <si>
    <r>
      <rPr>
        <sz val="12"/>
        <color rgb="FF000000"/>
        <rFont val="Calibri"/>
        <family val="2"/>
        <charset val="1"/>
      </rPr>
      <t xml:space="preserve">2577/7732 </t>
    </r>
    <r>
      <rPr>
        <sz val="12"/>
        <color rgb="FF000000"/>
        <rFont val="FreeSans"/>
        <family val="2"/>
      </rPr>
      <t xml:space="preserve">भाग</t>
    </r>
  </si>
  <si>
    <t xml:space="preserve">तिथि</t>
  </si>
  <si>
    <t xml:space="preserve">51//</t>
  </si>
  <si>
    <r>
      <rPr>
        <sz val="12"/>
        <color rgb="FF000000"/>
        <rFont val="Calibri"/>
        <family val="2"/>
        <charset val="1"/>
      </rPr>
      <t xml:space="preserve">21-1-99 </t>
    </r>
    <r>
      <rPr>
        <sz val="12"/>
        <color rgb="FF000000"/>
        <rFont val="FreeSans"/>
        <family val="2"/>
      </rPr>
      <t xml:space="preserve">था वह अब</t>
    </r>
  </si>
  <si>
    <t xml:space="preserve">वह कुर्क किया जाता है</t>
  </si>
  <si>
    <t xml:space="preserve">बूध सिंह</t>
  </si>
  <si>
    <r>
      <rPr>
        <sz val="12"/>
        <color rgb="FF000000"/>
        <rFont val="FreeSans"/>
        <family val="2"/>
      </rPr>
      <t xml:space="preserve">रपट नय</t>
    </r>
    <r>
      <rPr>
        <sz val="12"/>
        <color rgb="FF000000"/>
        <rFont val="Calibri"/>
        <family val="2"/>
        <charset val="1"/>
      </rPr>
      <t xml:space="preserve">421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</si>
  <si>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391/7732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</si>
  <si>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30-7-2007 </t>
    </r>
    <r>
      <rPr>
        <sz val="12"/>
        <color rgb="FF000000"/>
        <rFont val="FreeSans"/>
        <family val="2"/>
      </rPr>
      <t xml:space="preserve">मिन जानिब</t>
    </r>
  </si>
  <si>
    <t xml:space="preserve">हरपाल सिंह पुत्र</t>
  </si>
  <si>
    <r>
      <rPr>
        <sz val="12"/>
        <color rgb="FF000000"/>
        <rFont val="FreeSans"/>
        <family val="2"/>
      </rPr>
      <t xml:space="preserve">सुखदेव सिंह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FreeSans"/>
        <family val="2"/>
      </rPr>
      <t xml:space="preserve">बलदेव सिंह</t>
    </r>
  </si>
  <si>
    <t xml:space="preserve">पुत्र जोगिन्द्र सिंह</t>
  </si>
  <si>
    <t xml:space="preserve">काका सिंह</t>
  </si>
  <si>
    <t xml:space="preserve">भाग</t>
  </si>
  <si>
    <r>
      <rPr>
        <sz val="12"/>
        <color rgb="FF000000"/>
        <rFont val="Calibri"/>
        <family val="2"/>
        <charset val="1"/>
      </rPr>
      <t xml:space="preserve">211/7732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</si>
  <si>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2/3 </t>
    </r>
    <r>
      <rPr>
        <sz val="12"/>
        <color rgb="FF000000"/>
        <rFont val="FreeSans"/>
        <family val="2"/>
      </rPr>
      <t xml:space="preserve">भाग बचन कौर</t>
    </r>
    <r>
      <rPr>
        <sz val="12"/>
        <color rgb="FF000000"/>
        <rFont val="Calibri"/>
        <family val="2"/>
        <charset val="1"/>
      </rPr>
      <t xml:space="preserve">-</t>
    </r>
  </si>
  <si>
    <t xml:space="preserve">मलकीयत कौर विधवा</t>
  </si>
  <si>
    <t xml:space="preserve">गुरदेव सिंह पुत्र</t>
  </si>
  <si>
    <r>
      <rPr>
        <sz val="12"/>
        <color rgb="FF000000"/>
        <rFont val="Calibri"/>
        <family val="2"/>
        <charset val="1"/>
      </rPr>
      <t xml:space="preserve">9-6 </t>
    </r>
    <r>
      <rPr>
        <sz val="12"/>
        <color rgb="FF000000"/>
        <rFont val="FreeSans"/>
        <family val="2"/>
      </rPr>
      <t xml:space="preserve">कुल</t>
    </r>
  </si>
  <si>
    <t xml:space="preserve">व जगसीर सिंह पुत्र</t>
  </si>
  <si>
    <t xml:space="preserve">जोगिन्द सिंह</t>
  </si>
  <si>
    <r>
      <rPr>
        <sz val="12"/>
        <color rgb="FF000000"/>
        <rFont val="Calibri"/>
        <family val="2"/>
        <charset val="1"/>
      </rPr>
      <t xml:space="preserve">9-0 </t>
    </r>
    <r>
      <rPr>
        <sz val="12"/>
        <color rgb="FF000000"/>
        <rFont val="FreeSans"/>
        <family val="2"/>
      </rPr>
      <t xml:space="preserve">नहरी</t>
    </r>
  </si>
  <si>
    <t xml:space="preserve">गुरदेव</t>
  </si>
  <si>
    <r>
      <rPr>
        <sz val="12"/>
        <color rgb="FF000000"/>
        <rFont val="Calibri"/>
        <family val="2"/>
        <charset val="1"/>
      </rPr>
      <t xml:space="preserve">1261/7732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</si>
  <si>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0-6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</si>
  <si>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सिंह समभाग</t>
    </r>
    <r>
      <rPr>
        <sz val="12"/>
        <color rgb="FF000000"/>
        <rFont val="Calibri"/>
        <family val="2"/>
        <charset val="1"/>
      </rPr>
      <t xml:space="preserve">1/3 </t>
    </r>
    <r>
      <rPr>
        <sz val="12"/>
        <color rgb="FF000000"/>
        <rFont val="FreeSans"/>
        <family val="2"/>
      </rPr>
      <t xml:space="preserve">भाग</t>
    </r>
  </si>
  <si>
    <t xml:space="preserve">मलकीत कौर विधवा</t>
  </si>
  <si>
    <r>
      <rPr>
        <sz val="12"/>
        <color rgb="FF000000"/>
        <rFont val="FreeSans"/>
        <family val="2"/>
      </rPr>
      <t xml:space="preserve">किला न</t>
    </r>
    <r>
      <rPr>
        <sz val="12"/>
        <color rgb="FF000000"/>
        <rFont val="Calibri"/>
        <family val="2"/>
        <charset val="1"/>
      </rPr>
      <t xml:space="preserve">.86//11-20</t>
    </r>
  </si>
  <si>
    <t xml:space="preserve">मेजर सिंह उर्फ गुरदेव</t>
  </si>
  <si>
    <t xml:space="preserve">52//</t>
  </si>
  <si>
    <r>
      <rPr>
        <sz val="12"/>
        <color rgb="FF000000"/>
        <rFont val="FreeSans"/>
        <family val="2"/>
      </rPr>
      <t xml:space="preserve">तादादी </t>
    </r>
    <r>
      <rPr>
        <sz val="12"/>
        <color rgb="FF000000"/>
        <rFont val="Calibri"/>
        <family val="2"/>
        <charset val="1"/>
      </rPr>
      <t xml:space="preserve">16-0 </t>
    </r>
    <r>
      <rPr>
        <sz val="12"/>
        <color rgb="FF000000"/>
        <rFont val="FreeSans"/>
        <family val="2"/>
      </rPr>
      <t xml:space="preserve">बदले</t>
    </r>
  </si>
  <si>
    <t xml:space="preserve">सिंह पुत्र</t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</si>
  <si>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.96943-70 </t>
    </r>
    <r>
      <rPr>
        <sz val="12"/>
        <color rgb="FF000000"/>
        <rFont val="FreeSans"/>
        <family val="2"/>
      </rPr>
      <t xml:space="preserve">बाहक</t>
    </r>
  </si>
  <si>
    <t xml:space="preserve">जोगिन्द्र सिंह</t>
  </si>
  <si>
    <r>
      <rPr>
        <sz val="12"/>
        <color rgb="FF000000"/>
        <rFont val="Calibri"/>
        <family val="2"/>
        <charset val="1"/>
      </rPr>
      <t xml:space="preserve">7-12 </t>
    </r>
    <r>
      <rPr>
        <sz val="12"/>
        <color rgb="FF000000"/>
        <rFont val="FreeSans"/>
        <family val="2"/>
      </rPr>
      <t xml:space="preserve">बारानी</t>
    </r>
  </si>
  <si>
    <t xml:space="preserve">हरियाणा सरकार बजरिया</t>
  </si>
  <si>
    <r>
      <rPr>
        <sz val="12"/>
        <color rgb="FF000000"/>
        <rFont val="Calibri"/>
        <family val="2"/>
        <charset val="1"/>
      </rPr>
      <t xml:space="preserve">617/7732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</si>
  <si>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उप</t>
    </r>
    <r>
      <rPr>
        <sz val="12"/>
        <color rgb="FF000000"/>
        <rFont val="Calibri"/>
        <family val="2"/>
        <charset val="1"/>
      </rPr>
      <t xml:space="preserve">- </t>
    </r>
    <r>
      <rPr>
        <sz val="12"/>
        <color rgb="FF000000"/>
        <rFont val="FreeSans"/>
        <family val="2"/>
      </rPr>
      <t xml:space="preserve">आबकारी व कराधान</t>
    </r>
  </si>
  <si>
    <t xml:space="preserve">तेज कौर विधवा व</t>
  </si>
  <si>
    <t xml:space="preserve">आयुक्त कुर्क की गई</t>
  </si>
  <si>
    <r>
      <rPr>
        <sz val="12"/>
        <color rgb="FF000000"/>
        <rFont val="FreeSans"/>
        <family val="2"/>
      </rPr>
      <t xml:space="preserve">गुरदीप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</si>
  <si>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कुलदीप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</si>
  <si>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.1991 </t>
    </r>
    <r>
      <rPr>
        <sz val="12"/>
        <color rgb="FF000000"/>
        <rFont val="FreeSans"/>
        <family val="2"/>
      </rPr>
      <t xml:space="preserve">तिथि</t>
    </r>
  </si>
  <si>
    <t xml:space="preserve">जसवीर सिंह पुत्रान</t>
  </si>
  <si>
    <r>
      <rPr>
        <sz val="12"/>
        <color rgb="FF000000"/>
        <rFont val="Calibri"/>
        <family val="2"/>
        <charset val="1"/>
      </rPr>
      <t xml:space="preserve">24-3-2009 </t>
    </r>
    <r>
      <rPr>
        <sz val="12"/>
        <color rgb="FF000000"/>
        <rFont val="FreeSans"/>
        <family val="2"/>
      </rPr>
      <t xml:space="preserve">आमदा</t>
    </r>
  </si>
  <si>
    <t xml:space="preserve">बलदेव सिंह पुत्र</t>
  </si>
  <si>
    <r>
      <rPr>
        <sz val="12"/>
        <color rgb="FF000000"/>
        <rFont val="FreeSans"/>
        <family val="2"/>
      </rPr>
      <t xml:space="preserve">आदेश </t>
    </r>
    <r>
      <rPr>
        <sz val="12"/>
        <color rgb="FF000000"/>
        <rFont val="Calibri"/>
        <family val="2"/>
        <charset val="1"/>
      </rPr>
      <t xml:space="preserve">PARDB </t>
    </r>
    <r>
      <rPr>
        <sz val="12"/>
        <color rgb="FF000000"/>
        <rFont val="FreeSans"/>
        <family val="2"/>
      </rPr>
      <t xml:space="preserve">कालावाली</t>
    </r>
  </si>
  <si>
    <t xml:space="preserve">के अनुसार सुखदेव सिंह</t>
  </si>
  <si>
    <r>
      <rPr>
        <sz val="12"/>
        <color rgb="FF000000"/>
        <rFont val="Calibri"/>
        <family val="2"/>
        <charset val="1"/>
      </rPr>
      <t xml:space="preserve">823/3866 </t>
    </r>
    <r>
      <rPr>
        <sz val="12"/>
        <color rgb="FF000000"/>
        <rFont val="FreeSans"/>
        <family val="2"/>
      </rPr>
      <t xml:space="preserve">भाग</t>
    </r>
  </si>
  <si>
    <t xml:space="preserve">रपट</t>
  </si>
  <si>
    <t xml:space="preserve">बचन कौर विधवा</t>
  </si>
  <si>
    <t xml:space="preserve">62//</t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</si>
  <si>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.236 </t>
    </r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29-2-04</t>
    </r>
  </si>
  <si>
    <t xml:space="preserve">जोगिन्द्र सिंह पुत्र</t>
  </si>
  <si>
    <r>
      <rPr>
        <sz val="12"/>
        <color rgb="FF000000"/>
        <rFont val="FreeSans"/>
        <family val="2"/>
      </rPr>
      <t xml:space="preserve">पर बदले मु</t>
    </r>
    <r>
      <rPr>
        <sz val="12"/>
        <color rgb="FF000000"/>
        <rFont val="Calibri"/>
        <family val="2"/>
        <charset val="1"/>
      </rPr>
      <t xml:space="preserve">.50000/- 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</t>
    </r>
  </si>
  <si>
    <t xml:space="preserve">बख्तावर सिंह</t>
  </si>
  <si>
    <t xml:space="preserve">आड रहन था अब फक किया</t>
  </si>
  <si>
    <r>
      <rPr>
        <sz val="12"/>
        <color rgb="FF000000"/>
        <rFont val="Calibri"/>
        <family val="2"/>
        <charset val="1"/>
      </rPr>
      <t xml:space="preserve">1029/7732 </t>
    </r>
    <r>
      <rPr>
        <sz val="12"/>
        <color rgb="FF000000"/>
        <rFont val="FreeSans"/>
        <family val="2"/>
      </rPr>
      <t xml:space="preserve">भाग</t>
    </r>
  </si>
  <si>
    <t xml:space="preserve">63//</t>
  </si>
  <si>
    <t xml:space="preserve">जाता है</t>
  </si>
  <si>
    <t xml:space="preserve">71//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</si>
  <si>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.1991</t>
    </r>
  </si>
  <si>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24-3-2009</t>
    </r>
  </si>
  <si>
    <r>
      <rPr>
        <sz val="12"/>
        <color rgb="FF000000"/>
        <rFont val="Calibri"/>
        <family val="2"/>
        <charset val="1"/>
      </rPr>
      <t xml:space="preserve">1-15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</si>
  <si>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आमदाआदेश </t>
    </r>
    <r>
      <rPr>
        <sz val="12"/>
        <color rgb="FF000000"/>
        <rFont val="Calibri"/>
        <family val="2"/>
        <charset val="1"/>
      </rPr>
      <t xml:space="preserve">PARDB</t>
    </r>
  </si>
  <si>
    <t xml:space="preserve">कालावालीके अनुसार</t>
  </si>
  <si>
    <t xml:space="preserve">सुखदेव सिंहपुत्र</t>
  </si>
  <si>
    <r>
      <rPr>
        <sz val="12"/>
        <color rgb="FF000000"/>
        <rFont val="FreeSans"/>
        <family val="2"/>
      </rPr>
      <t xml:space="preserve">रपटन</t>
    </r>
    <r>
      <rPr>
        <sz val="12"/>
        <color rgb="FF000000"/>
        <rFont val="Calibri"/>
        <family val="2"/>
        <charset val="1"/>
      </rPr>
      <t xml:space="preserve">.236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</si>
  <si>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29-2-04</t>
    </r>
    <r>
      <rPr>
        <sz val="12"/>
        <color rgb="FF000000"/>
        <rFont val="FreeSans"/>
        <family val="2"/>
      </rPr>
      <t xml:space="preserve">पर बदले</t>
    </r>
  </si>
  <si>
    <r>
      <rPr>
        <sz val="12"/>
        <color rgb="FF000000"/>
        <rFont val="Calibri"/>
        <family val="2"/>
        <charset val="1"/>
      </rPr>
      <t xml:space="preserve">3-11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</si>
  <si>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.50000/- 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आड रहन</t>
    </r>
  </si>
  <si>
    <t xml:space="preserve">86//</t>
  </si>
  <si>
    <t xml:space="preserve">था अब फक कियाजाता है</t>
  </si>
  <si>
    <r>
      <rPr>
        <sz val="12"/>
        <color rgb="FF000000"/>
        <rFont val="Calibri"/>
        <family val="2"/>
        <charset val="1"/>
      </rPr>
      <t xml:space="preserve">7-11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</si>
  <si>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4-18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</si>
  <si>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.1992</t>
    </r>
  </si>
  <si>
    <t xml:space="preserve">सुखदेव सिंहसिंह</t>
  </si>
  <si>
    <t xml:space="preserve">पुत्र जोगिन्द्र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</si>
  <si>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42</t>
    </r>
  </si>
  <si>
    <t xml:space="preserve">291-6</t>
  </si>
  <si>
    <r>
      <rPr>
        <sz val="12"/>
        <color rgb="FF000000"/>
        <rFont val="FreeSans"/>
        <family val="2"/>
      </rPr>
      <t xml:space="preserve">सिंह रपट न</t>
    </r>
    <r>
      <rPr>
        <sz val="12"/>
        <color rgb="FF000000"/>
        <rFont val="Calibri"/>
        <family val="2"/>
        <charset val="1"/>
      </rPr>
      <t xml:space="preserve">.392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</si>
  <si>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5-7-2002 </t>
    </r>
    <r>
      <rPr>
        <sz val="12"/>
        <color rgb="FF000000"/>
        <rFont val="FreeSans"/>
        <family val="2"/>
      </rPr>
      <t xml:space="preserve">पर जो रकबा</t>
    </r>
  </si>
  <si>
    <t xml:space="preserve">आड रहन था अब फक</t>
  </si>
  <si>
    <t xml:space="preserve">291-0</t>
  </si>
  <si>
    <t xml:space="preserve">हो चुका है</t>
  </si>
  <si>
    <r>
      <rPr>
        <sz val="12"/>
        <color rgb="FF000000"/>
        <rFont val="Calibri"/>
        <family val="2"/>
        <charset val="1"/>
      </rPr>
      <t xml:space="preserve">173-16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</si>
  <si>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0-6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</si>
  <si>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117-4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</si>
  <si>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नं</t>
    </r>
    <r>
      <rPr>
        <sz val="12"/>
        <color rgb="FF000000"/>
        <rFont val="Calibri"/>
        <family val="2"/>
        <charset val="1"/>
      </rPr>
      <t xml:space="preserve">. 702</t>
    </r>
  </si>
  <si>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. 27-7-09</t>
    </r>
  </si>
  <si>
    <t xml:space="preserve">उप तहसीलदार कालांवाली</t>
  </si>
  <si>
    <t xml:space="preserve">के</t>
  </si>
  <si>
    <r>
      <rPr>
        <sz val="12"/>
        <color rgb="FF000000"/>
        <rFont val="FreeSans"/>
        <family val="2"/>
      </rPr>
      <t xml:space="preserve">पत्र क्रमांक नं</t>
    </r>
    <r>
      <rPr>
        <sz val="12"/>
        <color rgb="FF000000"/>
        <rFont val="Calibri"/>
        <family val="2"/>
        <charset val="1"/>
      </rPr>
      <t xml:space="preserve">. 1611</t>
    </r>
  </si>
  <si>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</si>
  <si>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20-7-09 </t>
    </r>
    <r>
      <rPr>
        <sz val="12"/>
        <color rgb="FF000000"/>
        <rFont val="FreeSans"/>
        <family val="2"/>
      </rPr>
      <t xml:space="preserve">व जिलाधीश महोदय</t>
    </r>
  </si>
  <si>
    <t xml:space="preserve">सिरसा के आदेशानुसार</t>
  </si>
  <si>
    <t xml:space="preserve">जमानती गुरदीप सिंह</t>
  </si>
  <si>
    <t xml:space="preserve">बलदेव सिंह का एक एकड़</t>
  </si>
  <si>
    <t xml:space="preserve">रकबा व जमानती जसवीर</t>
  </si>
  <si>
    <t xml:space="preserve">सिंह</t>
  </si>
  <si>
    <t xml:space="preserve">पुत्र बलदेव सिंह का एक</t>
  </si>
  <si>
    <r>
      <rPr>
        <sz val="12"/>
        <color rgb="FF000000"/>
        <rFont val="FreeSans"/>
        <family val="2"/>
      </rPr>
      <t xml:space="preserve">एकड़ रकबा खे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नं</t>
    </r>
    <r>
      <rPr>
        <sz val="12"/>
        <color rgb="FF000000"/>
        <rFont val="Calibri"/>
        <family val="2"/>
        <charset val="1"/>
      </rPr>
      <t xml:space="preserve">.</t>
    </r>
  </si>
  <si>
    <t xml:space="preserve">208/483</t>
  </si>
  <si>
    <t xml:space="preserve">वासी गांव तारूआना</t>
  </si>
  <si>
    <t xml:space="preserve">अपनी जमानत वाहक</t>
  </si>
  <si>
    <t xml:space="preserve">बन्दी गुरदीप सिंह उर्फ</t>
  </si>
  <si>
    <t xml:space="preserve">गोला पुत्र बलदेव सिंह</t>
  </si>
  <si>
    <t xml:space="preserve">वासी तारूआना जिला सिरसा</t>
  </si>
  <si>
    <t xml:space="preserve">हालबन्दी जिला कारगार</t>
  </si>
  <si>
    <t xml:space="preserve">सिरस</t>
  </si>
  <si>
    <r>
      <rPr>
        <sz val="12"/>
        <color rgb="FF000000"/>
        <rFont val="FreeSans"/>
        <family val="2"/>
      </rPr>
      <t xml:space="preserve">मू</t>
    </r>
    <r>
      <rPr>
        <sz val="12"/>
        <color rgb="FF000000"/>
        <rFont val="Calibri"/>
        <family val="2"/>
        <charset val="1"/>
      </rPr>
      <t xml:space="preserve">. 200000/- </t>
    </r>
    <r>
      <rPr>
        <sz val="12"/>
        <color rgb="FF000000"/>
        <rFont val="FreeSans"/>
        <family val="2"/>
      </rPr>
      <t xml:space="preserve">मेे पैरोल</t>
    </r>
  </si>
  <si>
    <t xml:space="preserve">मे</t>
  </si>
  <si>
    <t xml:space="preserve">अपना रकबा रहन व बैय</t>
  </si>
  <si>
    <t xml:space="preserve">आदि नही कर सकते।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</si>
  <si>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नं</t>
    </r>
    <r>
      <rPr>
        <sz val="12"/>
        <color rgb="FF000000"/>
        <rFont val="Calibri"/>
        <family val="2"/>
        <charset val="1"/>
      </rPr>
      <t xml:space="preserve">. 1217</t>
    </r>
  </si>
  <si>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. 6-11-09 </t>
    </r>
    <r>
      <rPr>
        <sz val="12"/>
        <color rgb="FF000000"/>
        <rFont val="FreeSans"/>
        <family val="2"/>
      </rPr>
      <t xml:space="preserve">के</t>
    </r>
  </si>
  <si>
    <t xml:space="preserve">अनुसार जो रकबा</t>
  </si>
  <si>
    <r>
      <rPr>
        <sz val="12"/>
        <color rgb="FF000000"/>
        <rFont val="FreeSans"/>
        <family val="2"/>
      </rPr>
      <t xml:space="preserve">रपट नं</t>
    </r>
    <r>
      <rPr>
        <sz val="12"/>
        <color rgb="FF000000"/>
        <rFont val="Calibri"/>
        <family val="2"/>
        <charset val="1"/>
      </rPr>
      <t xml:space="preserve">. 702 </t>
    </r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</si>
  <si>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27-07-09 </t>
    </r>
    <r>
      <rPr>
        <sz val="12"/>
        <color rgb="FF000000"/>
        <rFont val="FreeSans"/>
        <family val="2"/>
      </rPr>
      <t xml:space="preserve">को</t>
    </r>
  </si>
  <si>
    <t xml:space="preserve">पैरोल पर जमानत दी थी।</t>
  </si>
  <si>
    <r>
      <rPr>
        <sz val="12"/>
        <color rgb="FF000000"/>
        <rFont val="FreeSans"/>
        <family val="2"/>
      </rPr>
      <t xml:space="preserve">अब आदेश </t>
    </r>
    <r>
      <rPr>
        <sz val="12"/>
        <color rgb="FF000000"/>
        <rFont val="Calibri"/>
        <family val="2"/>
        <charset val="1"/>
      </rPr>
      <t xml:space="preserve">NT Klw</t>
    </r>
  </si>
  <si>
    <r>
      <rPr>
        <sz val="12"/>
        <color rgb="FF000000"/>
        <rFont val="FreeSans"/>
        <family val="2"/>
      </rPr>
      <t xml:space="preserve">पत्र क्रमांक नं</t>
    </r>
    <r>
      <rPr>
        <sz val="12"/>
        <color rgb="FF000000"/>
        <rFont val="Calibri"/>
        <family val="2"/>
        <charset val="1"/>
      </rPr>
      <t xml:space="preserve">. 2248</t>
    </r>
  </si>
  <si>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. 5-11-09</t>
    </r>
  </si>
  <si>
    <t xml:space="preserve">के अनुसार रकबा</t>
  </si>
  <si>
    <t xml:space="preserve">फक किया जाता हैं।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</si>
  <si>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</si>
  <si>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.1574</t>
    </r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1-1-2010</t>
    </r>
  </si>
  <si>
    <r>
      <rPr>
        <sz val="12"/>
        <color rgb="FF000000"/>
        <rFont val="FreeSans"/>
        <family val="2"/>
      </rPr>
      <t xml:space="preserve">जोरकबारपट न</t>
    </r>
    <r>
      <rPr>
        <sz val="12"/>
        <color rgb="FF000000"/>
        <rFont val="Calibri"/>
        <family val="2"/>
        <charset val="1"/>
      </rPr>
      <t xml:space="preserve">. 186</t>
    </r>
  </si>
  <si>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21-1-99</t>
    </r>
    <r>
      <rPr>
        <sz val="12"/>
        <color rgb="FF000000"/>
        <rFont val="FreeSans"/>
        <family val="2"/>
      </rPr>
      <t xml:space="preserve">पर आड़ रहन</t>
    </r>
  </si>
  <si>
    <t xml:space="preserve">थाअब फककिया जाता है।</t>
  </si>
  <si>
    <r>
      <rPr>
        <sz val="12"/>
        <color rgb="FF000000"/>
        <rFont val="FreeSans"/>
        <family val="2"/>
      </rPr>
      <t xml:space="preserve">बरुये </t>
    </r>
    <r>
      <rPr>
        <sz val="12"/>
        <color rgb="FF000000"/>
        <rFont val="Calibri"/>
        <family val="2"/>
        <charset val="1"/>
      </rPr>
      <t xml:space="preserve">T S C </t>
    </r>
    <r>
      <rPr>
        <sz val="12"/>
        <color rgb="FF000000"/>
        <rFont val="FreeSans"/>
        <family val="2"/>
      </rPr>
      <t xml:space="preserve">रपट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</si>
  <si>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.407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2-6-2010</t>
    </r>
  </si>
  <si>
    <t xml:space="preserve">अनुसार मिनजानब</t>
  </si>
  <si>
    <t xml:space="preserve">गुरबचन सिह पुत्र</t>
  </si>
  <si>
    <t xml:space="preserve">बिशन सिह का रक्बा</t>
  </si>
  <si>
    <r>
      <rPr>
        <sz val="12"/>
        <color rgb="FF000000"/>
        <rFont val="FreeSans"/>
        <family val="2"/>
      </rPr>
      <t xml:space="preserve">खेवट </t>
    </r>
    <r>
      <rPr>
        <sz val="12"/>
        <color rgb="FF000000"/>
        <rFont val="Calibri"/>
        <family val="2"/>
        <charset val="1"/>
      </rPr>
      <t xml:space="preserve">208/483</t>
    </r>
    <r>
      <rPr>
        <sz val="12"/>
        <color rgb="FF000000"/>
        <rFont val="FreeSans"/>
        <family val="2"/>
      </rPr>
      <t xml:space="preserve">सालम</t>
    </r>
  </si>
  <si>
    <r>
      <rPr>
        <sz val="12"/>
        <color rgb="FF000000"/>
        <rFont val="FreeSans"/>
        <family val="2"/>
      </rPr>
      <t xml:space="preserve">खाता का रक्बा </t>
    </r>
    <r>
      <rPr>
        <sz val="12"/>
        <color rgb="FF000000"/>
        <rFont val="Calibri"/>
        <family val="2"/>
        <charset val="1"/>
      </rPr>
      <t xml:space="preserve">291-06</t>
    </r>
  </si>
  <si>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391/7732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</si>
  <si>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14-14</t>
    </r>
    <r>
      <rPr>
        <sz val="12"/>
        <color rgb="FF000000"/>
        <rFont val="FreeSans"/>
        <family val="2"/>
      </rPr>
      <t xml:space="preserve">व 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</si>
  <si>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.208/486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</si>
  <si>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76//19-20/2-21/1-22/1</t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</si>
  <si>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19-11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</si>
  <si>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1/5</t>
    </r>
    <r>
      <rPr>
        <sz val="12"/>
        <color rgb="FF000000"/>
        <rFont val="FreeSans"/>
        <family val="2"/>
      </rPr>
      <t xml:space="preserve">भाग रक्बा </t>
    </r>
    <r>
      <rPr>
        <sz val="12"/>
        <color rgb="FF000000"/>
        <rFont val="Calibri"/>
        <family val="2"/>
        <charset val="1"/>
      </rPr>
      <t xml:space="preserve">3-18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</si>
  <si>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.265/594</t>
    </r>
  </si>
  <si>
    <r>
      <rPr>
        <sz val="12"/>
        <color rgb="FF000000"/>
        <rFont val="FreeSans"/>
        <family val="2"/>
      </rPr>
      <t xml:space="preserve">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.106//5</t>
    </r>
  </si>
  <si>
    <r>
      <rPr>
        <sz val="12"/>
        <color rgb="FF000000"/>
        <rFont val="Calibri"/>
        <family val="2"/>
        <charset val="1"/>
      </rPr>
      <t xml:space="preserve">107//1/1</t>
    </r>
    <r>
      <rPr>
        <sz val="12"/>
        <color rgb="FF000000"/>
        <rFont val="FreeSans"/>
        <family val="2"/>
      </rPr>
      <t xml:space="preserve">रक्बा</t>
    </r>
  </si>
  <si>
    <r>
      <rPr>
        <sz val="12"/>
        <color rgb="FF000000"/>
        <rFont val="Calibri"/>
        <family val="2"/>
        <charset val="1"/>
      </rPr>
      <t xml:space="preserve">12-16</t>
    </r>
    <r>
      <rPr>
        <sz val="12"/>
        <color rgb="FF000000"/>
        <rFont val="FreeSans"/>
        <family val="2"/>
      </rPr>
      <t xml:space="preserve">व 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</si>
  <si>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.339/710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</si>
  <si>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.129//17-18</t>
    </r>
    <r>
      <rPr>
        <sz val="12"/>
        <color rgb="FF000000"/>
        <rFont val="FreeSans"/>
        <family val="2"/>
      </rPr>
      <t xml:space="preserve">मिन</t>
    </r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</si>
  <si>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9-18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</si>
  <si>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41-6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</si>
  <si>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.250000/-</t>
    </r>
    <r>
      <rPr>
        <sz val="12"/>
        <color rgb="FF000000"/>
        <rFont val="FreeSans"/>
        <family val="2"/>
      </rPr>
      <t xml:space="preserve">मे</t>
    </r>
  </si>
  <si>
    <r>
      <rPr>
        <sz val="12"/>
        <color rgb="FF000000"/>
        <rFont val="FreeSans"/>
        <family val="2"/>
      </rPr>
      <t xml:space="preserve">बाहक </t>
    </r>
    <r>
      <rPr>
        <sz val="12"/>
        <color rgb="FF000000"/>
        <rFont val="Calibri"/>
        <family val="2"/>
        <charset val="1"/>
      </rPr>
      <t xml:space="preserve">P N B </t>
    </r>
    <r>
      <rPr>
        <sz val="12"/>
        <color rgb="FF000000"/>
        <rFont val="FreeSans"/>
        <family val="2"/>
      </rPr>
      <t xml:space="preserve">कालावाली</t>
    </r>
  </si>
  <si>
    <t xml:space="preserve">आङ ऱहन है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</si>
  <si>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.1204</t>
    </r>
  </si>
  <si>
    <r>
      <rPr>
        <sz val="12"/>
        <color rgb="FF000000"/>
        <rFont val="FreeSans"/>
        <family val="2"/>
      </rPr>
      <t xml:space="preserve">तिथी </t>
    </r>
    <r>
      <rPr>
        <sz val="12"/>
        <color rgb="FF000000"/>
        <rFont val="Calibri"/>
        <family val="2"/>
        <charset val="1"/>
      </rPr>
      <t xml:space="preserve">03-09-2010 </t>
    </r>
    <r>
      <rPr>
        <sz val="12"/>
        <color rgb="FF000000"/>
        <rFont val="FreeSans"/>
        <family val="2"/>
      </rPr>
      <t xml:space="preserve">रजि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</si>
  <si>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.1496 </t>
    </r>
    <r>
      <rPr>
        <sz val="12"/>
        <color rgb="FF000000"/>
        <rFont val="FreeSans"/>
        <family val="2"/>
      </rPr>
      <t xml:space="preserve">तिथी</t>
    </r>
  </si>
  <si>
    <r>
      <rPr>
        <sz val="12"/>
        <color rgb="FF000000"/>
        <rFont val="Calibri"/>
        <family val="2"/>
        <charset val="1"/>
      </rPr>
      <t xml:space="preserve">03/09/2010 </t>
    </r>
    <r>
      <rPr>
        <sz val="12"/>
        <color rgb="FF000000"/>
        <rFont val="FreeSans"/>
        <family val="2"/>
      </rPr>
      <t xml:space="preserve">के अनुसार</t>
    </r>
  </si>
  <si>
    <t xml:space="preserve">मिन जानिम कुलदीप</t>
  </si>
  <si>
    <t xml:space="preserve">सिंह पुत्र बलदेव</t>
  </si>
  <si>
    <r>
      <rPr>
        <sz val="12"/>
        <color rgb="FF000000"/>
        <rFont val="FreeSans"/>
        <family val="2"/>
      </rPr>
      <t xml:space="preserve">सिंह ने खेवट न</t>
    </r>
    <r>
      <rPr>
        <sz val="12"/>
        <color rgb="FF000000"/>
        <rFont val="Calibri"/>
        <family val="2"/>
        <charset val="1"/>
      </rPr>
      <t xml:space="preserve">. 208/483</t>
    </r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</si>
  <si>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.41//13/1-18-23</t>
    </r>
  </si>
  <si>
    <r>
      <rPr>
        <sz val="12"/>
        <color rgb="FF000000"/>
        <rFont val="Calibri"/>
        <family val="2"/>
        <charset val="1"/>
      </rPr>
      <t xml:space="preserve">,51</t>
    </r>
    <r>
      <rPr>
        <sz val="12"/>
        <color rgb="FF000000"/>
        <rFont val="FreeSans"/>
        <family val="2"/>
      </rPr>
      <t xml:space="preserve">यय</t>
    </r>
    <r>
      <rPr>
        <sz val="12"/>
        <color rgb="FF000000"/>
        <rFont val="Calibri"/>
        <family val="2"/>
        <charset val="1"/>
      </rPr>
      <t xml:space="preserve">16-17to23-24</t>
    </r>
  </si>
  <si>
    <t xml:space="preserve">52//9-11-12-13-16to19</t>
  </si>
  <si>
    <t xml:space="preserve">-20-24-25,62//4-5</t>
  </si>
  <si>
    <t xml:space="preserve">,63//1-2,71//11-12/1</t>
  </si>
  <si>
    <t xml:space="preserve">76//20/1,86//1-2/1-9/1</t>
  </si>
  <si>
    <r>
      <rPr>
        <sz val="12"/>
        <color rgb="FF000000"/>
        <rFont val="Calibri"/>
        <family val="2"/>
        <charset val="1"/>
      </rPr>
      <t xml:space="preserve">-10-12/1</t>
    </r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275-06</t>
    </r>
  </si>
  <si>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14-11 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</si>
  <si>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.75000/-</t>
    </r>
    <r>
      <rPr>
        <sz val="12"/>
        <color rgb="FF000000"/>
        <rFont val="FreeSans"/>
        <family val="2"/>
      </rPr>
      <t xml:space="preserve">मे बाहक</t>
    </r>
  </si>
  <si>
    <r>
      <rPr>
        <sz val="12"/>
        <color rgb="FF000000"/>
        <rFont val="Calibri"/>
        <family val="2"/>
        <charset val="1"/>
      </rPr>
      <t xml:space="preserve">O B C </t>
    </r>
    <r>
      <rPr>
        <sz val="12"/>
        <color rgb="FF000000"/>
        <rFont val="FreeSans"/>
        <family val="2"/>
      </rPr>
      <t xml:space="preserve">कालावाली</t>
    </r>
  </si>
  <si>
    <t xml:space="preserve">आङऱहन हो चुका है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</si>
  <si>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1203</t>
    </r>
  </si>
  <si>
    <r>
      <rPr>
        <sz val="12"/>
        <color rgb="FF000000"/>
        <rFont val="FreeSans"/>
        <family val="2"/>
      </rPr>
      <t xml:space="preserve">तिथी </t>
    </r>
    <r>
      <rPr>
        <sz val="12"/>
        <color rgb="FF000000"/>
        <rFont val="Calibri"/>
        <family val="2"/>
        <charset val="1"/>
      </rPr>
      <t xml:space="preserve">_03-09-2010 </t>
    </r>
    <r>
      <rPr>
        <sz val="12"/>
        <color rgb="FF000000"/>
        <rFont val="FreeSans"/>
        <family val="2"/>
      </rPr>
      <t xml:space="preserve">रजि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</si>
  <si>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.1497 </t>
    </r>
    <r>
      <rPr>
        <sz val="12"/>
        <color rgb="FF000000"/>
        <rFont val="FreeSans"/>
        <family val="2"/>
      </rPr>
      <t xml:space="preserve">तिथी</t>
    </r>
  </si>
  <si>
    <t xml:space="preserve">मिन जानिम जसवीर सिंह</t>
  </si>
  <si>
    <t xml:space="preserve">पुत्र बलदेव सिंह ने</t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</si>
  <si>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 208 </t>
    </r>
    <r>
      <rPr>
        <sz val="12"/>
        <color rgb="FF000000"/>
        <rFont val="FreeSans"/>
        <family val="2"/>
      </rPr>
      <t xml:space="preserve">खतौनी</t>
    </r>
    <r>
      <rPr>
        <sz val="12"/>
        <color rgb="FF000000"/>
        <rFont val="Calibri"/>
        <family val="2"/>
        <charset val="1"/>
      </rPr>
      <t xml:space="preserve">483</t>
    </r>
  </si>
  <si>
    <t xml:space="preserve">51//16-17to23-24,</t>
  </si>
  <si>
    <t xml:space="preserve">63//1-2,71//11-12/1</t>
  </si>
  <si>
    <r>
      <rPr>
        <sz val="12"/>
        <color rgb="FF000000"/>
        <rFont val="Calibri"/>
        <family val="2"/>
        <charset val="1"/>
      </rPr>
      <t xml:space="preserve">-12/1</t>
    </r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275-06</t>
    </r>
  </si>
  <si>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205/3866</t>
    </r>
    <r>
      <rPr>
        <sz val="12"/>
        <color rgb="FF000000"/>
        <rFont val="FreeSans"/>
        <family val="2"/>
      </rPr>
      <t xml:space="preserve">भाग बक्दर</t>
    </r>
  </si>
  <si>
    <r>
      <rPr>
        <sz val="12"/>
        <color rgb="FF000000"/>
        <rFont val="Calibri"/>
        <family val="2"/>
        <charset val="1"/>
      </rPr>
      <t xml:space="preserve">14-11 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</si>
  <si>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Calibri"/>
        <family val="2"/>
        <charset val="1"/>
      </rPr>
      <t xml:space="preserve">O B C </t>
    </r>
    <r>
      <rPr>
        <sz val="12"/>
        <color rgb="FF000000"/>
        <rFont val="FreeSans"/>
        <family val="2"/>
      </rPr>
      <t xml:space="preserve">कालावाली आङ</t>
    </r>
  </si>
  <si>
    <t xml:space="preserve">रहन हो चुका है</t>
  </si>
  <si>
    <t xml:space="preserve">TSC Rapat N. 2050</t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</si>
  <si>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01-02-2011 </t>
    </r>
    <r>
      <rPr>
        <sz val="12"/>
        <color rgb="FF000000"/>
        <rFont val="FreeSans"/>
        <family val="2"/>
      </rPr>
      <t xml:space="preserve">व</t>
    </r>
  </si>
  <si>
    <t xml:space="preserve">N.T. kalanwali</t>
  </si>
  <si>
    <r>
      <rPr>
        <sz val="12"/>
        <color rgb="FF000000"/>
        <rFont val="FreeSans"/>
        <family val="2"/>
      </rPr>
      <t xml:space="preserve">पत्र क्र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.167</t>
    </r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</si>
  <si>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19-01-2011</t>
    </r>
  </si>
  <si>
    <t xml:space="preserve">के अनुसार मिनजानिब</t>
  </si>
  <si>
    <t xml:space="preserve">गुरदीप सिह पुत्र</t>
  </si>
  <si>
    <t xml:space="preserve">बलदेव सिह का रकबा</t>
  </si>
  <si>
    <r>
      <rPr>
        <sz val="12"/>
        <color rgb="FF000000"/>
        <rFont val="FreeSans"/>
        <family val="2"/>
      </rPr>
      <t xml:space="preserve">खे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.208/483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</si>
  <si>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20-18 </t>
    </r>
    <r>
      <rPr>
        <sz val="12"/>
        <color rgb="FF000000"/>
        <rFont val="FreeSans"/>
        <family val="2"/>
      </rPr>
      <t xml:space="preserve">बकदर </t>
    </r>
    <r>
      <rPr>
        <sz val="12"/>
        <color rgb="FF000000"/>
        <rFont val="Calibri"/>
        <family val="2"/>
        <charset val="1"/>
      </rPr>
      <t xml:space="preserve">8-0 </t>
    </r>
    <r>
      <rPr>
        <sz val="12"/>
        <color rgb="FF000000"/>
        <rFont val="FreeSans"/>
        <family val="2"/>
      </rPr>
      <t xml:space="preserve">व</t>
    </r>
  </si>
  <si>
    <t xml:space="preserve">तेज</t>
  </si>
  <si>
    <t xml:space="preserve">कौर विधवा बलदेव सिह का</t>
  </si>
  <si>
    <t xml:space="preserve">रकबा कैदी कुलदीप</t>
  </si>
  <si>
    <t xml:space="preserve">सिंह उर्फ गोला सिंह</t>
  </si>
  <si>
    <t xml:space="preserve">पुत्र बलदेव सिह की</t>
  </si>
  <si>
    <r>
      <rPr>
        <sz val="12"/>
        <color rgb="FF000000"/>
        <rFont val="FreeSans"/>
        <family val="2"/>
      </rPr>
      <t xml:space="preserve">छुट्टी हेतू </t>
    </r>
    <r>
      <rPr>
        <sz val="12"/>
        <color rgb="FF000000"/>
        <rFont val="Calibri"/>
        <family val="2"/>
        <charset val="1"/>
      </rPr>
      <t xml:space="preserve">200000/-</t>
    </r>
  </si>
  <si>
    <r>
      <rPr>
        <sz val="12"/>
        <color rgb="FF000000"/>
        <rFont val="Calibri"/>
        <family val="2"/>
        <charset val="1"/>
      </rPr>
      <t xml:space="preserve">Each </t>
    </r>
    <r>
      <rPr>
        <sz val="12"/>
        <color rgb="FF000000"/>
        <rFont val="FreeSans"/>
        <family val="2"/>
      </rPr>
      <t xml:space="preserve">जमानत पर है।</t>
    </r>
  </si>
  <si>
    <r>
      <rPr>
        <sz val="12"/>
        <color rgb="FF000000"/>
        <rFont val="FreeSans"/>
        <family val="2"/>
      </rPr>
      <t xml:space="preserve">बरुये </t>
    </r>
    <r>
      <rPr>
        <sz val="12"/>
        <color rgb="FF000000"/>
        <rFont val="Calibri"/>
        <family val="2"/>
        <charset val="1"/>
      </rPr>
      <t xml:space="preserve">TSC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</si>
  <si>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2253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23-2-2011</t>
    </r>
  </si>
  <si>
    <t xml:space="preserve">के अनुसार आमदा</t>
  </si>
  <si>
    <t xml:space="preserve">आदेश जिलाधीश</t>
  </si>
  <si>
    <t xml:space="preserve">महोदय के क्रमाक</t>
  </si>
  <si>
    <r>
      <rPr>
        <sz val="12"/>
        <color rgb="FF000000"/>
        <rFont val="Calibri"/>
        <family val="2"/>
        <charset val="1"/>
      </rPr>
      <t xml:space="preserve">504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21-2-2011</t>
    </r>
  </si>
  <si>
    <t xml:space="preserve">के अनुसार गुरदीप सिह</t>
  </si>
  <si>
    <t xml:space="preserve">पुत्र बलदेव सिह व</t>
  </si>
  <si>
    <t xml:space="preserve">तेज कौर विधवा बलदेव</t>
  </si>
  <si>
    <t xml:space="preserve">सिह ने कैदी कुलदीप सिह</t>
  </si>
  <si>
    <t xml:space="preserve">उर्फ गोला सिह पुत्र</t>
  </si>
  <si>
    <t xml:space="preserve">बलदेव</t>
  </si>
  <si>
    <t xml:space="preserve">सिह की जमानत दी थी</t>
  </si>
  <si>
    <t xml:space="preserve">कैदी पैरोल व्यतीत करके</t>
  </si>
  <si>
    <t xml:space="preserve">समय पर जैल मे</t>
  </si>
  <si>
    <t xml:space="preserve">हाजिर हो गया है</t>
  </si>
  <si>
    <t xml:space="preserve">इसलिए जमानत का</t>
  </si>
  <si>
    <t xml:space="preserve">इन्द्राज को खारिज किया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</si>
  <si>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186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</si>
  <si>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21-1-99 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</si>
  <si>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51//16-17-18</t>
  </si>
  <si>
    <r>
      <rPr>
        <sz val="12"/>
        <color rgb="FF000000"/>
        <rFont val="Calibri"/>
        <family val="2"/>
        <charset val="1"/>
      </rPr>
      <t xml:space="preserve">-19-20-21-22-23-24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</si>
  <si>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69-6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</si>
  <si>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280000/- </t>
    </r>
    <r>
      <rPr>
        <sz val="12"/>
        <color rgb="FF000000"/>
        <rFont val="FreeSans"/>
        <family val="2"/>
      </rPr>
      <t xml:space="preserve">मे मिनजानब</t>
    </r>
  </si>
  <si>
    <t xml:space="preserve">सिंह पुत्र जोगिन्द सिंह</t>
  </si>
  <si>
    <r>
      <rPr>
        <sz val="12"/>
        <color rgb="FF000000"/>
        <rFont val="Calibri"/>
        <family val="2"/>
        <charset val="1"/>
      </rPr>
      <t xml:space="preserve">O.B.C</t>
    </r>
    <r>
      <rPr>
        <sz val="12"/>
        <color rgb="FF000000"/>
        <rFont val="FreeSans"/>
        <family val="2"/>
      </rPr>
      <t xml:space="preserve">कालांवाली आङ रहन</t>
    </r>
  </si>
  <si>
    <r>
      <rPr>
        <sz val="12"/>
        <color rgb="FF000000"/>
        <rFont val="FreeSans"/>
        <family val="2"/>
      </rPr>
      <t xml:space="preserve">बरुए रपट न</t>
    </r>
    <r>
      <rPr>
        <sz val="12"/>
        <color rgb="FF000000"/>
        <rFont val="Calibri"/>
        <family val="2"/>
        <charset val="1"/>
      </rPr>
      <t xml:space="preserve">.236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</si>
  <si>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29-2-2004 </t>
    </r>
    <r>
      <rPr>
        <sz val="12"/>
        <color rgb="FF000000"/>
        <rFont val="FreeSans"/>
        <family val="2"/>
      </rPr>
      <t xml:space="preserve">मिनजानब</t>
    </r>
  </si>
  <si>
    <r>
      <rPr>
        <sz val="12"/>
        <color rgb="FF000000"/>
        <rFont val="FreeSans"/>
        <family val="2"/>
      </rPr>
      <t xml:space="preserve">जोगिन्द्र सिंह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</si>
  <si>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52//9-11-12-13-16-</t>
  </si>
  <si>
    <t xml:space="preserve">17-18-19-20-24-25</t>
  </si>
  <si>
    <r>
      <rPr>
        <sz val="12"/>
        <color rgb="FF000000"/>
        <rFont val="FreeSans"/>
        <family val="2"/>
      </rPr>
      <t xml:space="preserve">कुल </t>
    </r>
    <r>
      <rPr>
        <sz val="12"/>
        <color rgb="FF000000"/>
        <rFont val="Calibri"/>
        <family val="2"/>
        <charset val="1"/>
      </rPr>
      <t xml:space="preserve">87-4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240/1744</t>
    </r>
  </si>
  <si>
    <r>
      <rPr>
        <sz val="12"/>
        <color rgb="FF000000"/>
        <rFont val="FreeSans"/>
        <family val="2"/>
      </rPr>
      <t xml:space="preserve">भाग बकदर </t>
    </r>
    <r>
      <rPr>
        <sz val="12"/>
        <color rgb="FF000000"/>
        <rFont val="Calibri"/>
        <family val="2"/>
        <charset val="1"/>
      </rPr>
      <t xml:space="preserve">12-0 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</si>
  <si>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.50000/-</t>
    </r>
    <r>
      <rPr>
        <sz val="12"/>
        <color rgb="FF000000"/>
        <rFont val="FreeSans"/>
        <family val="2"/>
      </rPr>
      <t xml:space="preserve">रु बाहक</t>
    </r>
  </si>
  <si>
    <r>
      <rPr>
        <sz val="12"/>
        <color rgb="FF000000"/>
        <rFont val="Calibri"/>
        <family val="2"/>
        <charset val="1"/>
      </rPr>
      <t xml:space="preserve">P.A.D.B.</t>
    </r>
    <r>
      <rPr>
        <sz val="12"/>
        <color rgb="FF000000"/>
        <rFont val="FreeSans"/>
        <family val="2"/>
      </rPr>
      <t xml:space="preserve">कालाँवाली</t>
    </r>
  </si>
  <si>
    <t xml:space="preserve">आङ रहन है।</t>
  </si>
  <si>
    <r>
      <rPr>
        <sz val="12"/>
        <color rgb="FF000000"/>
        <rFont val="FreeSans"/>
        <family val="2"/>
      </rPr>
      <t xml:space="preserve">बरुए रपट न</t>
    </r>
    <r>
      <rPr>
        <sz val="12"/>
        <color rgb="FF000000"/>
        <rFont val="Calibri"/>
        <family val="2"/>
        <charset val="1"/>
      </rPr>
      <t xml:space="preserve">.392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</si>
  <si>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5-7-2002 </t>
    </r>
    <r>
      <rPr>
        <sz val="12"/>
        <color rgb="FF000000"/>
        <rFont val="FreeSans"/>
        <family val="2"/>
      </rPr>
      <t xml:space="preserve">मिनजानब</t>
    </r>
  </si>
  <si>
    <t xml:space="preserve">86//1-2/1-9/1-</t>
  </si>
  <si>
    <r>
      <rPr>
        <sz val="12"/>
        <color rgb="FF000000"/>
        <rFont val="Calibri"/>
        <family val="2"/>
        <charset val="1"/>
      </rPr>
      <t xml:space="preserve">10 </t>
    </r>
    <r>
      <rPr>
        <sz val="12"/>
        <color rgb="FF000000"/>
        <rFont val="FreeSans"/>
        <family val="2"/>
      </rPr>
      <t xml:space="preserve">कुल </t>
    </r>
    <r>
      <rPr>
        <sz val="12"/>
        <color rgb="FF000000"/>
        <rFont val="Calibri"/>
        <family val="2"/>
        <charset val="1"/>
      </rPr>
      <t xml:space="preserve">25-11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</si>
  <si>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1/4</t>
    </r>
    <r>
      <rPr>
        <sz val="12"/>
        <color rgb="FF000000"/>
        <rFont val="FreeSans"/>
        <family val="2"/>
      </rPr>
      <t xml:space="preserve">भाग बकदर </t>
    </r>
    <r>
      <rPr>
        <sz val="12"/>
        <color rgb="FF000000"/>
        <rFont val="Calibri"/>
        <family val="2"/>
        <charset val="1"/>
      </rPr>
      <t xml:space="preserve">6-15</t>
    </r>
  </si>
  <si>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.35000/-</t>
    </r>
    <r>
      <rPr>
        <sz val="12"/>
        <color rgb="FF000000"/>
        <rFont val="FreeSans"/>
        <family val="2"/>
      </rPr>
      <t xml:space="preserve">रु</t>
    </r>
  </si>
  <si>
    <r>
      <rPr>
        <sz val="12"/>
        <color rgb="FF000000"/>
        <rFont val="FreeSans"/>
        <family val="2"/>
      </rPr>
      <t xml:space="preserve">बाहक </t>
    </r>
    <r>
      <rPr>
        <sz val="12"/>
        <color rgb="FF000000"/>
        <rFont val="Calibri"/>
        <family val="2"/>
        <charset val="1"/>
      </rPr>
      <t xml:space="preserve">P.A.D.B.</t>
    </r>
    <r>
      <rPr>
        <sz val="12"/>
        <color rgb="FF000000"/>
        <rFont val="FreeSans"/>
        <family val="2"/>
      </rPr>
      <t xml:space="preserve">कालाँवाली</t>
    </r>
  </si>
  <si>
    <t xml:space="preserve">हरपाल सिंह</t>
  </si>
  <si>
    <t xml:space="preserve">85//</t>
  </si>
  <si>
    <r>
      <rPr>
        <sz val="12"/>
        <color rgb="FF000000"/>
        <rFont val="Calibri"/>
        <family val="2"/>
        <charset val="1"/>
      </rPr>
      <t xml:space="preserve">0-11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</si>
  <si>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2-0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</si>
  <si>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10-11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</si>
  <si>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जगसीर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</si>
  <si>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मलकीत कौर</t>
    </r>
    <r>
      <rPr>
        <sz val="12"/>
        <color rgb="FF000000"/>
        <rFont val="Calibri"/>
        <family val="2"/>
        <charset val="1"/>
      </rPr>
      <t xml:space="preserve">,</t>
    </r>
  </si>
  <si>
    <t xml:space="preserve">बचन कौर</t>
  </si>
  <si>
    <t xml:space="preserve">जगदेव कौर पत्नी</t>
  </si>
  <si>
    <t xml:space="preserve">जगा सिंह पुत्र</t>
  </si>
  <si>
    <t xml:space="preserve">घ्यान सिंह</t>
  </si>
  <si>
    <r>
      <rPr>
        <sz val="12"/>
        <color rgb="FF000000"/>
        <rFont val="Calibri"/>
        <family val="2"/>
        <charset val="1"/>
      </rPr>
      <t xml:space="preserve">16-0 </t>
    </r>
    <r>
      <rPr>
        <sz val="12"/>
        <color rgb="FF000000"/>
        <rFont val="FreeSans"/>
        <family val="2"/>
      </rPr>
      <t xml:space="preserve">नहरी</t>
    </r>
  </si>
  <si>
    <t xml:space="preserve">मुर्हतन</t>
  </si>
  <si>
    <r>
      <rPr>
        <sz val="12"/>
        <color rgb="FF000000"/>
        <rFont val="Calibri"/>
        <family val="2"/>
        <charset val="1"/>
      </rPr>
      <t xml:space="preserve">4038 </t>
    </r>
    <r>
      <rPr>
        <sz val="12"/>
        <color rgb="FF000000"/>
        <rFont val="FreeSans"/>
        <family val="2"/>
      </rPr>
      <t xml:space="preserve">विरासत</t>
    </r>
  </si>
  <si>
    <r>
      <rPr>
        <sz val="12"/>
        <color rgb="FF000000"/>
        <rFont val="Calibri"/>
        <family val="2"/>
        <charset val="1"/>
      </rPr>
      <t xml:space="preserve">4-9 </t>
    </r>
    <r>
      <rPr>
        <sz val="12"/>
        <color rgb="FF000000"/>
        <rFont val="FreeSans"/>
        <family val="2"/>
      </rPr>
      <t xml:space="preserve">नहरी</t>
    </r>
  </si>
  <si>
    <t xml:space="preserve">21/1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</si>
  <si>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4</t>
    </r>
  </si>
  <si>
    <t xml:space="preserve">19-11</t>
  </si>
  <si>
    <t xml:space="preserve">विशन सिंह पुत्र</t>
  </si>
  <si>
    <r>
      <rPr>
        <sz val="12"/>
        <color rgb="FF000000"/>
        <rFont val="Calibri"/>
        <family val="2"/>
        <charset val="1"/>
      </rPr>
      <t xml:space="preserve">1/5 </t>
    </r>
    <r>
      <rPr>
        <sz val="12"/>
        <color rgb="FF000000"/>
        <rFont val="FreeSans"/>
        <family val="2"/>
      </rPr>
      <t xml:space="preserve">भाग</t>
    </r>
  </si>
  <si>
    <t xml:space="preserve">मुर्ति कौर विधवा व</t>
  </si>
  <si>
    <r>
      <rPr>
        <sz val="12"/>
        <color rgb="FF000000"/>
        <rFont val="Calibri"/>
        <family val="2"/>
        <charset val="1"/>
      </rPr>
      <t xml:space="preserve">19-11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</si>
  <si>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पाल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</si>
  <si>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हरमन्द्र सिंह पुत्रान</t>
  </si>
  <si>
    <t xml:space="preserve">व</t>
  </si>
  <si>
    <t xml:space="preserve">चरणजीत कौर पुत्री</t>
  </si>
  <si>
    <t xml:space="preserve">टहल सिंह पुत्र</t>
  </si>
  <si>
    <t xml:space="preserve">कौल सिंह</t>
  </si>
  <si>
    <r>
      <rPr>
        <sz val="12"/>
        <color rgb="FF000000"/>
        <rFont val="Calibri"/>
        <family val="2"/>
        <charset val="1"/>
      </rPr>
      <t xml:space="preserve">4/5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</si>
  <si>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4/15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</si>
  <si>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6-4 </t>
    </r>
    <r>
      <rPr>
        <sz val="12"/>
        <color rgb="FF000000"/>
        <rFont val="FreeSans"/>
        <family val="2"/>
      </rPr>
      <t xml:space="preserve">बारानी</t>
    </r>
  </si>
  <si>
    <t xml:space="preserve">मलकीत कौर</t>
  </si>
  <si>
    <t xml:space="preserve">22/2</t>
  </si>
  <si>
    <r>
      <rPr>
        <sz val="12"/>
        <color rgb="FF000000"/>
        <rFont val="Calibri"/>
        <family val="2"/>
        <charset val="1"/>
      </rPr>
      <t xml:space="preserve">5-16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</si>
  <si>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1/6 </t>
    </r>
    <r>
      <rPr>
        <sz val="12"/>
        <color rgb="FF000000"/>
        <rFont val="FreeSans"/>
        <family val="2"/>
      </rPr>
      <t xml:space="preserve">भाग</t>
    </r>
  </si>
  <si>
    <t xml:space="preserve">जगसीर सिंह</t>
  </si>
  <si>
    <t xml:space="preserve">तेज कौर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</si>
  <si>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6</t>
    </r>
  </si>
  <si>
    <t xml:space="preserve">43-4</t>
  </si>
  <si>
    <r>
      <rPr>
        <sz val="12"/>
        <color rgb="FF000000"/>
        <rFont val="Calibri"/>
        <family val="2"/>
        <charset val="1"/>
      </rPr>
      <t xml:space="preserve">1/10 </t>
    </r>
    <r>
      <rPr>
        <sz val="12"/>
        <color rgb="FF000000"/>
        <rFont val="FreeSans"/>
        <family val="2"/>
      </rPr>
      <t xml:space="preserve">भाग</t>
    </r>
  </si>
  <si>
    <t xml:space="preserve">जसवीर सिंह</t>
  </si>
  <si>
    <r>
      <rPr>
        <sz val="12"/>
        <color rgb="FF000000"/>
        <rFont val="Calibri"/>
        <family val="2"/>
        <charset val="1"/>
      </rPr>
      <t xml:space="preserve">43-4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</si>
  <si>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3/10 </t>
    </r>
    <r>
      <rPr>
        <sz val="12"/>
        <color rgb="FF000000"/>
        <rFont val="FreeSans"/>
        <family val="2"/>
      </rPr>
      <t xml:space="preserve">भाग</t>
    </r>
  </si>
  <si>
    <t xml:space="preserve">िड्रग्री दहिन्दगान</t>
  </si>
  <si>
    <t xml:space="preserve">शाम कौर पत्नी</t>
  </si>
  <si>
    <t xml:space="preserve">गुरचरन सिंह पुत्र</t>
  </si>
  <si>
    <t xml:space="preserve">मुन्शी</t>
  </si>
  <si>
    <t xml:space="preserve">िड्रग्री गरिन्दा</t>
  </si>
  <si>
    <t xml:space="preserve">डिक्री गरिन्दा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</si>
  <si>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57</t>
    </r>
  </si>
  <si>
    <t xml:space="preserve">380-12</t>
  </si>
  <si>
    <t xml:space="preserve">380-6</t>
  </si>
  <si>
    <r>
      <rPr>
        <sz val="12"/>
        <color rgb="FF000000"/>
        <rFont val="Calibri"/>
        <family val="2"/>
        <charset val="1"/>
      </rPr>
      <t xml:space="preserve">219-18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</si>
  <si>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160-8 </t>
    </r>
    <r>
      <rPr>
        <sz val="12"/>
        <color rgb="FF000000"/>
        <rFont val="FreeSans"/>
        <family val="2"/>
      </rPr>
      <t xml:space="preserve">बारानी</t>
    </r>
  </si>
  <si>
    <t xml:space="preserve">गुरबचनसिंह पुत्र</t>
  </si>
  <si>
    <r>
      <rPr>
        <sz val="12"/>
        <color rgb="FF000000"/>
        <rFont val="Calibri"/>
        <family val="2"/>
        <charset val="1"/>
      </rPr>
      <t xml:space="preserve">4-0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</si>
  <si>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आबादी</t>
  </si>
  <si>
    <r>
      <rPr>
        <sz val="12"/>
        <color rgb="FF000000"/>
        <rFont val="Calibri"/>
        <family val="2"/>
        <charset val="1"/>
      </rPr>
      <t xml:space="preserve">28/85 </t>
    </r>
    <r>
      <rPr>
        <sz val="12"/>
        <color rgb="FF000000"/>
        <rFont val="FreeSans"/>
        <family val="2"/>
      </rPr>
      <t xml:space="preserve">भाग</t>
    </r>
  </si>
  <si>
    <t xml:space="preserve">सुखबीर सिंह पुत्र</t>
  </si>
  <si>
    <t xml:space="preserve">हरचन्द सिंह</t>
  </si>
  <si>
    <r>
      <rPr>
        <sz val="12"/>
        <color rgb="FF000000"/>
        <rFont val="Calibri"/>
        <family val="2"/>
        <charset val="1"/>
      </rPr>
      <t xml:space="preserve">21/85 </t>
    </r>
    <r>
      <rPr>
        <sz val="12"/>
        <color rgb="FF000000"/>
        <rFont val="FreeSans"/>
        <family val="2"/>
      </rPr>
      <t xml:space="preserve">भाग</t>
    </r>
  </si>
  <si>
    <t xml:space="preserve">सर्वन सिंह ऊर्फ</t>
  </si>
  <si>
    <t xml:space="preserve">शरनसिंह पुत्र</t>
  </si>
  <si>
    <t xml:space="preserve">गुरबचनसिंह उर्फ</t>
  </si>
  <si>
    <t xml:space="preserve">बूटासिंह पुत्र</t>
  </si>
  <si>
    <r>
      <rPr>
        <sz val="12"/>
        <color rgb="FF000000"/>
        <rFont val="Calibri"/>
        <family val="2"/>
        <charset val="1"/>
      </rPr>
      <t xml:space="preserve">4-5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</si>
  <si>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ईशर सिंह</t>
  </si>
  <si>
    <r>
      <rPr>
        <sz val="12"/>
        <color rgb="FF000000"/>
        <rFont val="Calibri"/>
        <family val="2"/>
        <charset val="1"/>
      </rPr>
      <t xml:space="preserve">24/85 </t>
    </r>
    <r>
      <rPr>
        <sz val="12"/>
        <color rgb="FF000000"/>
        <rFont val="FreeSans"/>
        <family val="2"/>
      </rPr>
      <t xml:space="preserve">भाग</t>
    </r>
  </si>
  <si>
    <t xml:space="preserve">बलविन्द्र कौर पुत्री</t>
  </si>
  <si>
    <t xml:space="preserve">परमजीत कौर पुत्र</t>
  </si>
  <si>
    <t xml:space="preserve">गुरबचन सिंह उर्फ बुटा</t>
  </si>
  <si>
    <t xml:space="preserve">सिह</t>
  </si>
  <si>
    <r>
      <rPr>
        <sz val="12"/>
        <color rgb="FF000000"/>
        <rFont val="Calibri"/>
        <family val="2"/>
        <charset val="1"/>
      </rPr>
      <t xml:space="preserve">12/85 </t>
    </r>
    <r>
      <rPr>
        <sz val="12"/>
        <color rgb="FF000000"/>
        <rFont val="FreeSans"/>
        <family val="2"/>
      </rPr>
      <t xml:space="preserve">भाग</t>
    </r>
  </si>
  <si>
    <t xml:space="preserve">सुखपालसिह पुत्र</t>
  </si>
  <si>
    <t xml:space="preserve">20//</t>
  </si>
  <si>
    <r>
      <rPr>
        <sz val="12"/>
        <color rgb="FF000000"/>
        <rFont val="FreeSans"/>
        <family val="2"/>
      </rPr>
      <t xml:space="preserve">बरूए </t>
    </r>
    <r>
      <rPr>
        <sz val="12"/>
        <color rgb="FF000000"/>
        <rFont val="Calibri"/>
        <family val="2"/>
        <charset val="1"/>
      </rPr>
      <t xml:space="preserve">T S 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17</t>
    </r>
  </si>
  <si>
    <t xml:space="preserve">गुरवचन सिह पुत्र</t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</si>
  <si>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7-8-07 </t>
    </r>
    <r>
      <rPr>
        <sz val="12"/>
        <color rgb="FF000000"/>
        <rFont val="FreeSans"/>
        <family val="2"/>
      </rPr>
      <t xml:space="preserve">रजिटर्ी न</t>
    </r>
    <r>
      <rPr>
        <sz val="12"/>
        <color rgb="FF000000"/>
        <rFont val="Calibri"/>
        <family val="2"/>
        <charset val="1"/>
      </rPr>
      <t xml:space="preserve">.</t>
    </r>
  </si>
  <si>
    <t xml:space="preserve">विशन सिह</t>
  </si>
  <si>
    <r>
      <rPr>
        <sz val="12"/>
        <color rgb="FF000000"/>
        <rFont val="Calibri"/>
        <family val="2"/>
        <charset val="1"/>
      </rPr>
      <t xml:space="preserve">1030 </t>
    </r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7-8-07 </t>
    </r>
    <r>
      <rPr>
        <sz val="12"/>
        <color rgb="FF000000"/>
        <rFont val="FreeSans"/>
        <family val="2"/>
      </rPr>
      <t xml:space="preserve">की रूह</t>
    </r>
  </si>
  <si>
    <r>
      <rPr>
        <sz val="12"/>
        <color rgb="FF000000"/>
        <rFont val="Calibri"/>
        <family val="2"/>
        <charset val="1"/>
      </rPr>
      <t xml:space="preserve">823/5066 </t>
    </r>
    <r>
      <rPr>
        <sz val="12"/>
        <color rgb="FF000000"/>
        <rFont val="FreeSans"/>
        <family val="2"/>
      </rPr>
      <t xml:space="preserve">भाग</t>
    </r>
  </si>
  <si>
    <t xml:space="preserve">33//</t>
  </si>
  <si>
    <r>
      <rPr>
        <sz val="12"/>
        <color rgb="FF000000"/>
        <rFont val="FreeSans"/>
        <family val="2"/>
      </rPr>
      <t xml:space="preserve">से किला न</t>
    </r>
    <r>
      <rPr>
        <sz val="12"/>
        <color rgb="FF000000"/>
        <rFont val="Calibri"/>
        <family val="2"/>
        <charset val="1"/>
      </rPr>
      <t xml:space="preserve">.</t>
    </r>
  </si>
  <si>
    <t xml:space="preserve">जसवीरसिह पुत्र</t>
  </si>
  <si>
    <r>
      <rPr>
        <sz val="12"/>
        <color rgb="FF000000"/>
        <rFont val="Calibri"/>
        <family val="2"/>
        <charset val="1"/>
      </rPr>
      <t xml:space="preserve">2-15 </t>
    </r>
    <r>
      <rPr>
        <sz val="12"/>
        <color rgb="FF000000"/>
        <rFont val="FreeSans"/>
        <family val="2"/>
      </rPr>
      <t xml:space="preserve">नहरी</t>
    </r>
  </si>
  <si>
    <t xml:space="preserve">97//21/1-21/2-</t>
  </si>
  <si>
    <r>
      <rPr>
        <sz val="12"/>
        <color rgb="FF000000"/>
        <rFont val="Calibri"/>
        <family val="2"/>
        <charset val="1"/>
      </rPr>
      <t xml:space="preserve">2-15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</si>
  <si>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97//22 107//1/2-2 </t>
    </r>
    <r>
      <rPr>
        <sz val="12"/>
        <color rgb="FF000000"/>
        <rFont val="FreeSans"/>
        <family val="2"/>
      </rPr>
      <t xml:space="preserve">रकबा</t>
    </r>
  </si>
  <si>
    <t xml:space="preserve">विसन सिह</t>
  </si>
  <si>
    <t xml:space="preserve">34//</t>
  </si>
  <si>
    <r>
      <rPr>
        <sz val="12"/>
        <color rgb="FF000000"/>
        <rFont val="Calibri"/>
        <family val="2"/>
        <charset val="1"/>
      </rPr>
      <t xml:space="preserve">25-9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2/3 </t>
    </r>
    <r>
      <rPr>
        <sz val="12"/>
        <color rgb="FF000000"/>
        <rFont val="FreeSans"/>
        <family val="2"/>
      </rPr>
      <t xml:space="preserve">भाग बकदर</t>
    </r>
  </si>
  <si>
    <r>
      <rPr>
        <sz val="12"/>
        <color rgb="FF000000"/>
        <rFont val="Calibri"/>
        <family val="2"/>
        <charset val="1"/>
      </rPr>
      <t xml:space="preserve">426/2533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</si>
  <si>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16-19 </t>
    </r>
    <r>
      <rPr>
        <sz val="12"/>
        <color rgb="FF000000"/>
        <rFont val="FreeSans"/>
        <family val="2"/>
      </rPr>
      <t xml:space="preserve">व खेवट न</t>
    </r>
    <r>
      <rPr>
        <sz val="12"/>
        <color rgb="FF000000"/>
        <rFont val="Calibri"/>
        <family val="2"/>
        <charset val="1"/>
      </rPr>
      <t xml:space="preserve">. 331/695</t>
    </r>
  </si>
  <si>
    <t xml:space="preserve">गुरदेव सिह पुत्र</t>
  </si>
  <si>
    <r>
      <rPr>
        <sz val="12"/>
        <color rgb="FF000000"/>
        <rFont val="FreeSans"/>
        <family val="2"/>
      </rPr>
      <t xml:space="preserve">किला न</t>
    </r>
    <r>
      <rPr>
        <sz val="12"/>
        <color rgb="FF000000"/>
        <rFont val="Calibri"/>
        <family val="2"/>
        <charset val="1"/>
      </rPr>
      <t xml:space="preserve">. 114//11-12-13/1</t>
    </r>
  </si>
  <si>
    <t xml:space="preserve">उजागर सिह पुत्र</t>
  </si>
  <si>
    <t xml:space="preserve">19-20 115//16-17-18/1</t>
  </si>
  <si>
    <t xml:space="preserve">बोधा सिह</t>
  </si>
  <si>
    <t xml:space="preserve">23/2-24-25-129//6-7/1-7</t>
  </si>
  <si>
    <r>
      <rPr>
        <sz val="12"/>
        <color rgb="FF000000"/>
        <rFont val="Calibri"/>
        <family val="2"/>
        <charset val="1"/>
      </rPr>
      <t xml:space="preserve">155/2533 </t>
    </r>
    <r>
      <rPr>
        <sz val="12"/>
        <color rgb="FF000000"/>
        <rFont val="FreeSans"/>
        <family val="2"/>
      </rPr>
      <t xml:space="preserve">भाग</t>
    </r>
  </si>
  <si>
    <t xml:space="preserve">ज्ञान सिह पुत्र</t>
  </si>
  <si>
    <r>
      <rPr>
        <sz val="12"/>
        <color rgb="FF000000"/>
        <rFont val="Calibri"/>
        <family val="2"/>
        <charset val="1"/>
      </rPr>
      <t xml:space="preserve">8-9-25 </t>
    </r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72-9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1/3</t>
    </r>
  </si>
  <si>
    <r>
      <rPr>
        <sz val="12"/>
        <color rgb="FF000000"/>
        <rFont val="FreeSans"/>
        <family val="2"/>
      </rPr>
      <t xml:space="preserve">भाग बकदर </t>
    </r>
    <r>
      <rPr>
        <sz val="12"/>
        <color rgb="FF000000"/>
        <rFont val="Calibri"/>
        <family val="2"/>
        <charset val="1"/>
      </rPr>
      <t xml:space="preserve">24-3 </t>
    </r>
    <r>
      <rPr>
        <sz val="12"/>
        <color rgb="FF000000"/>
        <rFont val="FreeSans"/>
        <family val="2"/>
      </rPr>
      <t xml:space="preserve">कूल रकबा</t>
    </r>
  </si>
  <si>
    <t xml:space="preserve">मुन्शी सिह</t>
  </si>
  <si>
    <t xml:space="preserve">134//</t>
  </si>
  <si>
    <r>
      <rPr>
        <sz val="12"/>
        <color rgb="FF000000"/>
        <rFont val="Calibri"/>
        <family val="2"/>
        <charset val="1"/>
      </rPr>
      <t xml:space="preserve">41-2 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</si>
  <si>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Calibri"/>
        <family val="2"/>
        <charset val="1"/>
      </rPr>
      <t xml:space="preserve">319/5066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</si>
  <si>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.200000/-</t>
    </r>
    <r>
      <rPr>
        <sz val="12"/>
        <color rgb="FF000000"/>
        <rFont val="FreeSans"/>
        <family val="2"/>
      </rPr>
      <t xml:space="preserve">मिन</t>
    </r>
  </si>
  <si>
    <t xml:space="preserve">सुखवीर सिह पुत्र</t>
  </si>
  <si>
    <t xml:space="preserve">जानव बलविन्दर सिह उर्फ</t>
  </si>
  <si>
    <t xml:space="preserve">बलजिन्दर सिह पुत्र</t>
  </si>
  <si>
    <t xml:space="preserve">हरचन्द सिह</t>
  </si>
  <si>
    <t xml:space="preserve">सतपाल</t>
  </si>
  <si>
    <r>
      <rPr>
        <sz val="12"/>
        <color rgb="FF000000"/>
        <rFont val="Calibri"/>
        <family val="2"/>
        <charset val="1"/>
      </rPr>
      <t xml:space="preserve">638/2533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</si>
  <si>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सिह बाहक </t>
    </r>
    <r>
      <rPr>
        <sz val="12"/>
        <color rgb="FF000000"/>
        <rFont val="Calibri"/>
        <family val="2"/>
        <charset val="1"/>
      </rPr>
      <t xml:space="preserve">P N B</t>
    </r>
  </si>
  <si>
    <t xml:space="preserve">स्वर्ण सिह ऊर्फ शरण</t>
  </si>
  <si>
    <t xml:space="preserve">कालावालीे</t>
  </si>
  <si>
    <t xml:space="preserve">सिह पुत्र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</si>
  <si>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16</t>
    </r>
  </si>
  <si>
    <t xml:space="preserve">110-8</t>
  </si>
  <si>
    <t xml:space="preserve">के पास आडरहन है</t>
  </si>
  <si>
    <t xml:space="preserve">इशर सिह</t>
  </si>
  <si>
    <t xml:space="preserve">TSC Rapat N. 920</t>
  </si>
  <si>
    <r>
      <rPr>
        <sz val="12"/>
        <color rgb="FF000000"/>
        <rFont val="Calibri"/>
        <family val="2"/>
        <charset val="1"/>
      </rPr>
      <t xml:space="preserve">1486/7599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</si>
  <si>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ति </t>
    </r>
    <r>
      <rPr>
        <sz val="12"/>
        <color rgb="FF000000"/>
        <rFont val="Calibri"/>
        <family val="2"/>
        <charset val="1"/>
      </rPr>
      <t xml:space="preserve">27-08-2009</t>
    </r>
  </si>
  <si>
    <t xml:space="preserve">को आमदा आदेश</t>
  </si>
  <si>
    <r>
      <rPr>
        <sz val="12"/>
        <color rgb="FF000000"/>
        <rFont val="Calibri"/>
        <family val="2"/>
        <charset val="1"/>
      </rPr>
      <t xml:space="preserve">91-13 </t>
    </r>
    <r>
      <rPr>
        <sz val="12"/>
        <color rgb="FF000000"/>
        <rFont val="FreeSans"/>
        <family val="2"/>
      </rPr>
      <t xml:space="preserve">नहरी</t>
    </r>
  </si>
  <si>
    <t xml:space="preserve">SBI kalanwali</t>
  </si>
  <si>
    <r>
      <rPr>
        <sz val="12"/>
        <color rgb="FF000000"/>
        <rFont val="Calibri"/>
        <family val="2"/>
        <charset val="1"/>
      </rPr>
      <t xml:space="preserve">18-15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</si>
  <si>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के पत्र क्र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.DPS/07/08</t>
    </r>
  </si>
  <si>
    <r>
      <rPr>
        <sz val="12"/>
        <color rgb="FF000000"/>
        <rFont val="Calibri"/>
        <family val="2"/>
        <charset val="1"/>
      </rPr>
      <t xml:space="preserve">743/7599 </t>
    </r>
    <r>
      <rPr>
        <sz val="12"/>
        <color rgb="FF000000"/>
        <rFont val="FreeSans"/>
        <family val="2"/>
      </rPr>
      <t xml:space="preserve">भाग</t>
    </r>
  </si>
  <si>
    <t xml:space="preserve">गुरबचन</t>
  </si>
  <si>
    <r>
      <rPr>
        <sz val="12"/>
        <color rgb="FF000000"/>
        <rFont val="FreeSans"/>
        <family val="2"/>
      </rPr>
      <t xml:space="preserve">सिंह का जो रकबा रपट 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</si>
  <si>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388 </t>
    </r>
    <r>
      <rPr>
        <sz val="12"/>
        <color rgb="FF000000"/>
        <rFont val="FreeSans"/>
        <family val="2"/>
      </rPr>
      <t xml:space="preserve">ति </t>
    </r>
    <r>
      <rPr>
        <sz val="12"/>
        <color rgb="FF000000"/>
        <rFont val="Calibri"/>
        <family val="2"/>
        <charset val="1"/>
      </rPr>
      <t xml:space="preserve">25-7-2000 </t>
    </r>
    <r>
      <rPr>
        <sz val="12"/>
        <color rgb="FF000000"/>
        <rFont val="FreeSans"/>
        <family val="2"/>
      </rPr>
      <t xml:space="preserve">पर</t>
    </r>
  </si>
  <si>
    <t xml:space="preserve">आड रहन था अब</t>
  </si>
  <si>
    <t xml:space="preserve">फक किया जाता है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</si>
  <si>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.967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</si>
  <si>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8-9-2009 </t>
    </r>
    <r>
      <rPr>
        <sz val="12"/>
        <color rgb="FF000000"/>
        <rFont val="FreeSans"/>
        <family val="2"/>
      </rPr>
      <t xml:space="preserve">आमदा आदेश</t>
    </r>
  </si>
  <si>
    <r>
      <rPr>
        <sz val="12"/>
        <color rgb="FF000000"/>
        <rFont val="Calibri"/>
        <family val="2"/>
        <charset val="1"/>
      </rPr>
      <t xml:space="preserve">PARDB </t>
    </r>
    <r>
      <rPr>
        <sz val="12"/>
        <color rgb="FF000000"/>
        <rFont val="FreeSans"/>
        <family val="2"/>
      </rPr>
      <t xml:space="preserve">कालावाली के</t>
    </r>
  </si>
  <si>
    <t xml:space="preserve">अनुसार मिन जानिब</t>
  </si>
  <si>
    <r>
      <rPr>
        <sz val="12"/>
        <color rgb="FF000000"/>
        <rFont val="FreeSans"/>
        <family val="2"/>
      </rPr>
      <t xml:space="preserve">गुरचरण सिंह रपट न</t>
    </r>
    <r>
      <rPr>
        <sz val="12"/>
        <color rgb="FF000000"/>
        <rFont val="Calibri"/>
        <family val="2"/>
        <charset val="1"/>
      </rPr>
      <t xml:space="preserve">.316</t>
    </r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</si>
  <si>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16-5-97 </t>
    </r>
    <r>
      <rPr>
        <sz val="12"/>
        <color rgb="FF000000"/>
        <rFont val="FreeSans"/>
        <family val="2"/>
      </rPr>
      <t xml:space="preserve">पर</t>
    </r>
  </si>
  <si>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.30000/- </t>
    </r>
    <r>
      <rPr>
        <sz val="12"/>
        <color rgb="FF000000"/>
        <rFont val="FreeSans"/>
        <family val="2"/>
      </rPr>
      <t xml:space="preserve">रू</t>
    </r>
  </si>
  <si>
    <t xml:space="preserve">मे जो रकबा आड रहन था</t>
  </si>
  <si>
    <t xml:space="preserve">अब फक हो चुका है</t>
  </si>
  <si>
    <r>
      <rPr>
        <sz val="12"/>
        <color rgb="FF000000"/>
        <rFont val="Calibri"/>
        <family val="2"/>
        <charset val="1"/>
      </rPr>
      <t xml:space="preserve">T S C </t>
    </r>
    <r>
      <rPr>
        <sz val="12"/>
        <color rgb="FF000000"/>
        <rFont val="FreeSans"/>
        <family val="2"/>
      </rPr>
      <t xml:space="preserve">रपट </t>
    </r>
    <r>
      <rPr>
        <sz val="12"/>
        <color rgb="FF000000"/>
        <rFont val="Calibri"/>
        <family val="2"/>
        <charset val="1"/>
      </rPr>
      <t xml:space="preserve">2193</t>
    </r>
  </si>
  <si>
    <r>
      <rPr>
        <sz val="12"/>
        <color rgb="FF000000"/>
        <rFont val="FreeSans"/>
        <family val="2"/>
      </rPr>
      <t xml:space="preserve">तिथी </t>
    </r>
    <r>
      <rPr>
        <sz val="12"/>
        <color rgb="FF000000"/>
        <rFont val="Calibri"/>
        <family val="2"/>
        <charset val="1"/>
      </rPr>
      <t xml:space="preserve">__9-3-10 </t>
    </r>
    <r>
      <rPr>
        <sz val="12"/>
        <color rgb="FF000000"/>
        <rFont val="FreeSans"/>
        <family val="2"/>
      </rPr>
      <t xml:space="preserve">रजि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</si>
  <si>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.2583 </t>
    </r>
    <r>
      <rPr>
        <sz val="12"/>
        <color rgb="FF000000"/>
        <rFont val="FreeSans"/>
        <family val="2"/>
      </rPr>
      <t xml:space="preserve">तिथी</t>
    </r>
  </si>
  <si>
    <r>
      <rPr>
        <sz val="12"/>
        <color rgb="FF000000"/>
        <rFont val="Calibri"/>
        <family val="2"/>
        <charset val="1"/>
      </rPr>
      <t xml:space="preserve">09/03/2010 </t>
    </r>
    <r>
      <rPr>
        <sz val="12"/>
        <color rgb="FF000000"/>
        <rFont val="FreeSans"/>
        <family val="2"/>
      </rPr>
      <t xml:space="preserve">के अनुसार</t>
    </r>
  </si>
  <si>
    <r>
      <rPr>
        <sz val="12"/>
        <color rgb="FF000000"/>
        <rFont val="FreeSans"/>
        <family val="2"/>
      </rPr>
      <t xml:space="preserve">मिन जानिम </t>
    </r>
    <r>
      <rPr>
        <sz val="12"/>
        <color rgb="FF000000"/>
        <rFont val="Calibri"/>
        <family val="2"/>
        <charset val="1"/>
      </rPr>
      <t xml:space="preserve">Sukhpal</t>
    </r>
  </si>
  <si>
    <r>
      <rPr>
        <sz val="12"/>
        <color rgb="FF000000"/>
        <rFont val="Calibri"/>
        <family val="2"/>
        <charset val="1"/>
      </rPr>
      <t xml:space="preserve">Singh </t>
    </r>
    <r>
      <rPr>
        <sz val="12"/>
        <color rgb="FF000000"/>
        <rFont val="FreeSans"/>
        <family val="2"/>
      </rPr>
      <t xml:space="preserve">पुत्र</t>
    </r>
  </si>
  <si>
    <r>
      <rPr>
        <sz val="12"/>
        <color rgb="FF000000"/>
        <rFont val="Calibri"/>
        <family val="2"/>
        <charset val="1"/>
      </rPr>
      <t xml:space="preserve">Gurbachan Singh </t>
    </r>
    <r>
      <rPr>
        <sz val="12"/>
        <color rgb="FF000000"/>
        <rFont val="FreeSans"/>
        <family val="2"/>
      </rPr>
      <t xml:space="preserve">ने</t>
    </r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</si>
  <si>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 217 /498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</si>
  <si>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.134//14-17-18-</t>
    </r>
  </si>
  <si>
    <t xml:space="preserve">144//2-3-4-5/1-</t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</si>
  <si>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51-17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966/1037</t>
    </r>
  </si>
  <si>
    <r>
      <rPr>
        <sz val="12"/>
        <color rgb="FF000000"/>
        <rFont val="FreeSans"/>
        <family val="2"/>
      </rPr>
      <t xml:space="preserve">भाग </t>
    </r>
    <r>
      <rPr>
        <sz val="12"/>
        <color rgb="FF000000"/>
        <rFont val="Calibri"/>
        <family val="2"/>
        <charset val="1"/>
      </rPr>
      <t xml:space="preserve">48-06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</si>
  <si>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500000/-</t>
    </r>
    <r>
      <rPr>
        <sz val="12"/>
        <color rgb="FF000000"/>
        <rFont val="FreeSans"/>
        <family val="2"/>
      </rPr>
      <t xml:space="preserve">मे बाहक</t>
    </r>
  </si>
  <si>
    <r>
      <rPr>
        <sz val="12"/>
        <color rgb="FF000000"/>
        <rFont val="Calibri"/>
        <family val="2"/>
        <charset val="1"/>
      </rPr>
      <t xml:space="preserve">P N B</t>
    </r>
    <r>
      <rPr>
        <sz val="12"/>
        <color rgb="FF000000"/>
        <rFont val="FreeSans"/>
        <family val="2"/>
      </rPr>
      <t xml:space="preserve">ब्राच कालावाली आङ</t>
    </r>
  </si>
  <si>
    <t xml:space="preserve">रहन है</t>
  </si>
  <si>
    <r>
      <rPr>
        <sz val="12"/>
        <color rgb="FF000000"/>
        <rFont val="FreeSans"/>
        <family val="2"/>
      </rPr>
      <t xml:space="preserve">बरुये </t>
    </r>
    <r>
      <rPr>
        <sz val="12"/>
        <color rgb="FF000000"/>
        <rFont val="Calibri"/>
        <family val="2"/>
        <charset val="1"/>
      </rPr>
      <t xml:space="preserve">T S 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</si>
  <si>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1445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15-10-2010</t>
    </r>
  </si>
  <si>
    <t xml:space="preserve">आदेश उपतहसीलदार</t>
  </si>
  <si>
    <t xml:space="preserve">कालावाली दिनांक</t>
  </si>
  <si>
    <r>
      <rPr>
        <sz val="12"/>
        <color rgb="FF000000"/>
        <rFont val="Calibri"/>
        <family val="2"/>
        <charset val="1"/>
      </rPr>
      <t xml:space="preserve">5-10-2010 </t>
    </r>
    <r>
      <rPr>
        <sz val="12"/>
        <color rgb="FF000000"/>
        <rFont val="FreeSans"/>
        <family val="2"/>
      </rPr>
      <t xml:space="preserve">आदेश</t>
    </r>
  </si>
  <si>
    <t xml:space="preserve">Ms Sarita Gupta</t>
  </si>
  <si>
    <t xml:space="preserve">H C S civil judge</t>
  </si>
  <si>
    <t xml:space="preserve">(J.r.divin)Sirsa</t>
  </si>
  <si>
    <t xml:space="preserve">Civil suit no 766/555</t>
  </si>
  <si>
    <r>
      <rPr>
        <sz val="12"/>
        <color rgb="FF000000"/>
        <rFont val="Calibri"/>
        <family val="2"/>
        <charset val="1"/>
      </rPr>
      <t xml:space="preserve">/92/97</t>
    </r>
    <r>
      <rPr>
        <sz val="12"/>
        <color rgb="FF000000"/>
        <rFont val="FreeSans"/>
        <family val="2"/>
      </rPr>
      <t xml:space="preserve">दायर </t>
    </r>
    <r>
      <rPr>
        <sz val="12"/>
        <color rgb="FF000000"/>
        <rFont val="Calibri"/>
        <family val="2"/>
        <charset val="1"/>
      </rPr>
      <t xml:space="preserve">23-3-1993</t>
    </r>
  </si>
  <si>
    <r>
      <rPr>
        <sz val="12"/>
        <color rgb="FF000000"/>
        <rFont val="Calibri"/>
        <family val="2"/>
        <charset val="1"/>
      </rPr>
      <t xml:space="preserve">/10-6-1997 </t>
    </r>
    <r>
      <rPr>
        <sz val="12"/>
        <color rgb="FF000000"/>
        <rFont val="FreeSans"/>
        <family val="2"/>
      </rPr>
      <t xml:space="preserve">फैसला</t>
    </r>
  </si>
  <si>
    <t xml:space="preserve">जसवीर सिह पुत्र</t>
  </si>
  <si>
    <t xml:space="preserve">गुरबचन सिह बनाम</t>
  </si>
  <si>
    <t xml:space="preserve">शरण सिह उर्फ सवर्ण सिह</t>
  </si>
  <si>
    <t xml:space="preserve">पुत्र गुरबचन सिह</t>
  </si>
  <si>
    <t xml:space="preserve">present Shri A S</t>
  </si>
  <si>
    <t xml:space="preserve">Beniwal</t>
  </si>
  <si>
    <t xml:space="preserve">Adv.the plaintiff</t>
  </si>
  <si>
    <t xml:space="preserve">Case received by way</t>
  </si>
  <si>
    <t xml:space="preserve">of transfer It chekcked</t>
  </si>
  <si>
    <t xml:space="preserve">&amp; regd.In view of the</t>
  </si>
  <si>
    <t xml:space="preserve">statement made by</t>
  </si>
  <si>
    <t xml:space="preserve">the counsel for the</t>
  </si>
  <si>
    <t xml:space="preserve">plaintiff the suit of</t>
  </si>
  <si>
    <t xml:space="preserve">the plaintiff hereby</t>
  </si>
  <si>
    <t xml:space="preserve">dismissed</t>
  </si>
  <si>
    <t xml:space="preserve">as withdrawn file</t>
  </si>
  <si>
    <t xml:space="preserve">be consigned to the</t>
  </si>
  <si>
    <t xml:space="preserve">record room after</t>
  </si>
  <si>
    <t xml:space="preserve">due compliance</t>
  </si>
  <si>
    <t xml:space="preserve">civil judge Jr.div.</t>
  </si>
  <si>
    <t xml:space="preserve">Sirsa 10-6-1997</t>
  </si>
  <si>
    <t xml:space="preserve">मताबिक आदेश</t>
  </si>
  <si>
    <t xml:space="preserve">रिकार्ड मे दर्ज किया</t>
  </si>
  <si>
    <t xml:space="preserve">गया</t>
  </si>
  <si>
    <r>
      <rPr>
        <sz val="12"/>
        <color rgb="FF000000"/>
        <rFont val="FreeSans"/>
        <family val="2"/>
      </rPr>
      <t xml:space="preserve">बरुए रपट न</t>
    </r>
    <r>
      <rPr>
        <sz val="12"/>
        <color rgb="FF000000"/>
        <rFont val="Calibri"/>
        <family val="2"/>
        <charset val="1"/>
      </rPr>
      <t xml:space="preserve">.282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</si>
  <si>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10-4-92 </t>
    </r>
    <r>
      <rPr>
        <sz val="12"/>
        <color rgb="FF000000"/>
        <rFont val="FreeSans"/>
        <family val="2"/>
      </rPr>
      <t xml:space="preserve">किला न</t>
    </r>
    <r>
      <rPr>
        <sz val="12"/>
        <color rgb="FF000000"/>
        <rFont val="Calibri"/>
        <family val="2"/>
        <charset val="1"/>
      </rPr>
      <t xml:space="preserve">.</t>
    </r>
  </si>
  <si>
    <t xml:space="preserve">134//17-19/2-24-25/1</t>
  </si>
  <si>
    <r>
      <rPr>
        <sz val="12"/>
        <color rgb="FF000000"/>
        <rFont val="Calibri"/>
        <family val="2"/>
        <charset val="1"/>
      </rPr>
      <t xml:space="preserve">144//2-5/1,105//5-6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</si>
  <si>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.120000/-</t>
    </r>
    <r>
      <rPr>
        <sz val="12"/>
        <color rgb="FF000000"/>
        <rFont val="FreeSans"/>
        <family val="2"/>
      </rPr>
      <t xml:space="preserve">रु मिनजानब</t>
    </r>
  </si>
  <si>
    <t xml:space="preserve">शरन सिह पुत्र गुरबचन</t>
  </si>
  <si>
    <r>
      <rPr>
        <sz val="12"/>
        <color rgb="FF000000"/>
        <rFont val="FreeSans"/>
        <family val="2"/>
      </rPr>
      <t xml:space="preserve">बाहक </t>
    </r>
    <r>
      <rPr>
        <sz val="12"/>
        <color rgb="FF000000"/>
        <rFont val="Calibri"/>
        <family val="2"/>
        <charset val="1"/>
      </rPr>
      <t xml:space="preserve">P.A.D.B.</t>
    </r>
    <r>
      <rPr>
        <sz val="12"/>
        <color rgb="FF000000"/>
        <rFont val="FreeSans"/>
        <family val="2"/>
      </rPr>
      <t xml:space="preserve">आङ रहन है</t>
    </r>
  </si>
  <si>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.302</t>
    </r>
    <r>
      <rPr>
        <sz val="12"/>
        <color rgb="FF000000"/>
        <rFont val="FreeSans"/>
        <family val="2"/>
      </rPr>
      <t xml:space="preserve">तिथि</t>
    </r>
  </si>
  <si>
    <t xml:space="preserve">21-4-95</t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</si>
  <si>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.97//23-24-25</t>
    </r>
  </si>
  <si>
    <t xml:space="preserve">पर स्टे दर्ज है</t>
  </si>
  <si>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.316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</si>
  <si>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16-5-97 </t>
    </r>
    <r>
      <rPr>
        <sz val="12"/>
        <color rgb="FF000000"/>
        <rFont val="FreeSans"/>
        <family val="2"/>
      </rPr>
      <t xml:space="preserve">मिनजानब सुखपाल</t>
    </r>
  </si>
  <si>
    <t xml:space="preserve">सिंह हिस्सेदार</t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</si>
  <si>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.144//3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</si>
  <si>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8-0</t>
    </r>
    <r>
      <rPr>
        <sz val="12"/>
        <color rgb="FF000000"/>
        <rFont val="FreeSans"/>
        <family val="2"/>
      </rPr>
      <t xml:space="preserve">बदले ंमु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</si>
  <si>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30000/-</t>
    </r>
    <r>
      <rPr>
        <sz val="12"/>
        <color rgb="FF000000"/>
        <rFont val="FreeSans"/>
        <family val="2"/>
      </rPr>
      <t xml:space="preserve">रु बाहक </t>
    </r>
    <r>
      <rPr>
        <sz val="12"/>
        <color rgb="FF000000"/>
        <rFont val="Calibri"/>
        <family val="2"/>
        <charset val="1"/>
      </rPr>
      <t xml:space="preserve">P.A.D.B.</t>
    </r>
  </si>
  <si>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.388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</si>
  <si>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25-7-2000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</si>
  <si>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8-0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</si>
  <si>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Calibri"/>
        <family val="2"/>
        <charset val="1"/>
      </rPr>
      <t xml:space="preserve">134//14-17-18 </t>
    </r>
    <r>
      <rPr>
        <sz val="12"/>
        <color rgb="FF000000"/>
        <rFont val="FreeSans"/>
        <family val="2"/>
      </rPr>
      <t xml:space="preserve">मय खे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</si>
  <si>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202/470 </t>
    </r>
    <r>
      <rPr>
        <sz val="12"/>
        <color rgb="FF000000"/>
        <rFont val="FreeSans"/>
        <family val="2"/>
      </rPr>
      <t xml:space="preserve">मिनजानब सुखपाल</t>
    </r>
  </si>
  <si>
    <t xml:space="preserve">144//</t>
  </si>
  <si>
    <t xml:space="preserve">सिंह पुत्र गुरबचन सिंह</t>
  </si>
  <si>
    <r>
      <rPr>
        <sz val="12"/>
        <color rgb="FF000000"/>
        <rFont val="Calibri"/>
        <family val="2"/>
        <charset val="1"/>
      </rPr>
      <t xml:space="preserve">7-13 </t>
    </r>
    <r>
      <rPr>
        <sz val="12"/>
        <color rgb="FF000000"/>
        <rFont val="FreeSans"/>
        <family val="2"/>
      </rPr>
      <t xml:space="preserve">नहरी</t>
    </r>
  </si>
  <si>
    <t xml:space="preserve">आङ</t>
  </si>
  <si>
    <t xml:space="preserve">रहन है।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</si>
  <si>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7</t>
    </r>
  </si>
  <si>
    <t xml:space="preserve">51-17</t>
  </si>
  <si>
    <r>
      <rPr>
        <sz val="12"/>
        <color rgb="FF000000"/>
        <rFont val="Calibri"/>
        <family val="2"/>
        <charset val="1"/>
      </rPr>
      <t xml:space="preserve">43-17 </t>
    </r>
    <r>
      <rPr>
        <sz val="12"/>
        <color rgb="FF000000"/>
        <rFont val="FreeSans"/>
        <family val="2"/>
      </rPr>
      <t xml:space="preserve">नहरी</t>
    </r>
  </si>
  <si>
    <t xml:space="preserve">स्वर्ण सिह</t>
  </si>
  <si>
    <t xml:space="preserve">97//</t>
  </si>
  <si>
    <r>
      <rPr>
        <sz val="12"/>
        <color rgb="FF000000"/>
        <rFont val="Calibri"/>
        <family val="2"/>
        <charset val="1"/>
      </rPr>
      <t xml:space="preserve">0-2 </t>
    </r>
    <r>
      <rPr>
        <sz val="12"/>
        <color rgb="FF000000"/>
        <rFont val="FreeSans"/>
        <family val="2"/>
      </rPr>
      <t xml:space="preserve">नहरी</t>
    </r>
  </si>
  <si>
    <t xml:space="preserve">21/2</t>
  </si>
  <si>
    <r>
      <rPr>
        <sz val="12"/>
        <color rgb="FF000000"/>
        <rFont val="Calibri"/>
        <family val="2"/>
        <charset val="1"/>
      </rPr>
      <t xml:space="preserve">6-16 </t>
    </r>
    <r>
      <rPr>
        <sz val="12"/>
        <color rgb="FF000000"/>
        <rFont val="FreeSans"/>
        <family val="2"/>
      </rPr>
      <t xml:space="preserve">बारानी</t>
    </r>
  </si>
  <si>
    <t xml:space="preserve">बलजिन्द्र कोर</t>
  </si>
  <si>
    <r>
      <rPr>
        <sz val="12"/>
        <color rgb="FF000000"/>
        <rFont val="Calibri"/>
        <family val="2"/>
        <charset val="1"/>
      </rPr>
      <t xml:space="preserve">7-7 </t>
    </r>
    <r>
      <rPr>
        <sz val="12"/>
        <color rgb="FF000000"/>
        <rFont val="FreeSans"/>
        <family val="2"/>
      </rPr>
      <t xml:space="preserve">नहरी</t>
    </r>
  </si>
  <si>
    <t xml:space="preserve">107//</t>
  </si>
  <si>
    <t xml:space="preserve">जसवीर सिंह पुत्र</t>
  </si>
  <si>
    <t xml:space="preserve">25-9</t>
  </si>
  <si>
    <t xml:space="preserve">बलविन्द्र सिंह पुत्र</t>
  </si>
  <si>
    <t xml:space="preserve">सतपाल सिंह पुत्र</t>
  </si>
  <si>
    <r>
      <rPr>
        <sz val="12"/>
        <color rgb="FF000000"/>
        <rFont val="Calibri"/>
        <family val="2"/>
        <charset val="1"/>
      </rPr>
      <t xml:space="preserve">7-9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</si>
  <si>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18-0 </t>
    </r>
    <r>
      <rPr>
        <sz val="12"/>
        <color rgb="FF000000"/>
        <rFont val="FreeSans"/>
        <family val="2"/>
      </rPr>
      <t xml:space="preserve">बारानी</t>
    </r>
  </si>
  <si>
    <t xml:space="preserve">डीग्री गरिन्दगान</t>
  </si>
  <si>
    <t xml:space="preserve">96//</t>
  </si>
  <si>
    <r>
      <rPr>
        <sz val="12"/>
        <color rgb="FF000000"/>
        <rFont val="Calibri"/>
        <family val="2"/>
        <charset val="1"/>
      </rPr>
      <t xml:space="preserve">6-19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</si>
  <si>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6-16 </t>
    </r>
    <r>
      <rPr>
        <sz val="12"/>
        <color rgb="FF000000"/>
        <rFont val="FreeSans"/>
        <family val="2"/>
      </rPr>
      <t xml:space="preserve">नहरी</t>
    </r>
  </si>
  <si>
    <t xml:space="preserve">35-16</t>
  </si>
  <si>
    <t xml:space="preserve">गैर मौरूसीयान</t>
  </si>
  <si>
    <r>
      <rPr>
        <sz val="12"/>
        <color rgb="FF000000"/>
        <rFont val="Calibri"/>
        <family val="2"/>
        <charset val="1"/>
      </rPr>
      <t xml:space="preserve">35-16 </t>
    </r>
    <r>
      <rPr>
        <sz val="12"/>
        <color rgb="FF000000"/>
        <rFont val="FreeSans"/>
        <family val="2"/>
      </rPr>
      <t xml:space="preserve">नहरी</t>
    </r>
  </si>
  <si>
    <t xml:space="preserve">डिग्री देहिन्दा</t>
  </si>
  <si>
    <t xml:space="preserve">24/1</t>
  </si>
  <si>
    <r>
      <rPr>
        <sz val="12"/>
        <color rgb="FF000000"/>
        <rFont val="Calibri"/>
        <family val="2"/>
        <charset val="1"/>
      </rPr>
      <t xml:space="preserve">6-5 </t>
    </r>
    <r>
      <rPr>
        <sz val="12"/>
        <color rgb="FF000000"/>
        <rFont val="FreeSans"/>
        <family val="2"/>
      </rPr>
      <t xml:space="preserve">नहरी</t>
    </r>
  </si>
  <si>
    <t xml:space="preserve">13-4</t>
  </si>
  <si>
    <t xml:space="preserve">तबादला दहिन्दगान</t>
  </si>
  <si>
    <r>
      <rPr>
        <sz val="12"/>
        <color rgb="FF000000"/>
        <rFont val="Calibri"/>
        <family val="2"/>
        <charset val="1"/>
      </rPr>
      <t xml:space="preserve">13-4 </t>
    </r>
    <r>
      <rPr>
        <sz val="12"/>
        <color rgb="FF000000"/>
        <rFont val="FreeSans"/>
        <family val="2"/>
      </rPr>
      <t xml:space="preserve">नहरी</t>
    </r>
  </si>
  <si>
    <t xml:space="preserve">तबादला गरिन्दगान</t>
  </si>
  <si>
    <r>
      <rPr>
        <sz val="12"/>
        <color rgb="FF000000"/>
        <rFont val="FreeSans"/>
        <family val="2"/>
      </rPr>
      <t xml:space="preserve">स्वर्ण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</si>
  <si>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बलविन्द्र कौर</t>
  </si>
  <si>
    <r>
      <rPr>
        <sz val="12"/>
        <color rgb="FF000000"/>
        <rFont val="Calibri"/>
        <family val="2"/>
        <charset val="1"/>
      </rPr>
      <t xml:space="preserve">1-2 </t>
    </r>
    <r>
      <rPr>
        <sz val="12"/>
        <color rgb="FF000000"/>
        <rFont val="FreeSans"/>
        <family val="2"/>
      </rPr>
      <t xml:space="preserve">नहरी</t>
    </r>
  </si>
  <si>
    <t xml:space="preserve">गुरदेव सिह</t>
  </si>
  <si>
    <t xml:space="preserve">हक दहिन्दगान</t>
  </si>
  <si>
    <r>
      <rPr>
        <sz val="12"/>
        <color rgb="FF000000"/>
        <rFont val="Calibri"/>
        <family val="2"/>
        <charset val="1"/>
      </rPr>
      <t xml:space="preserve">7-11 </t>
    </r>
    <r>
      <rPr>
        <sz val="12"/>
        <color rgb="FF000000"/>
        <rFont val="FreeSans"/>
        <family val="2"/>
      </rPr>
      <t xml:space="preserve">बारानी</t>
    </r>
  </si>
  <si>
    <t xml:space="preserve">अमरजीत कौर पत्नी</t>
  </si>
  <si>
    <t xml:space="preserve">15-10</t>
  </si>
  <si>
    <t xml:space="preserve">उजागर सिंह</t>
  </si>
  <si>
    <t xml:space="preserve">हक गरिन्दा</t>
  </si>
  <si>
    <t xml:space="preserve">वाहब</t>
  </si>
  <si>
    <t xml:space="preserve">बलजिन्द्र सिंह पुत्र</t>
  </si>
  <si>
    <r>
      <rPr>
        <sz val="12"/>
        <color rgb="FF000000"/>
        <rFont val="Calibri"/>
        <family val="2"/>
        <charset val="1"/>
      </rPr>
      <t xml:space="preserve">15-10 </t>
    </r>
    <r>
      <rPr>
        <sz val="12"/>
        <color rgb="FF000000"/>
        <rFont val="FreeSans"/>
        <family val="2"/>
      </rPr>
      <t xml:space="preserve">बारानी</t>
    </r>
  </si>
  <si>
    <t xml:space="preserve">मोहुब अलै</t>
  </si>
  <si>
    <t xml:space="preserve">हिबा गरिन्दगान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</si>
  <si>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38</t>
    </r>
  </si>
  <si>
    <t xml:space="preserve">253-6</t>
  </si>
  <si>
    <r>
      <rPr>
        <sz val="12"/>
        <color rgb="FF000000"/>
        <rFont val="Calibri"/>
        <family val="2"/>
        <charset val="1"/>
      </rPr>
      <t xml:space="preserve">193-1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</si>
  <si>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52-5 </t>
    </r>
    <r>
      <rPr>
        <sz val="12"/>
        <color rgb="FF000000"/>
        <rFont val="FreeSans"/>
        <family val="2"/>
      </rPr>
      <t xml:space="preserve">बारानी</t>
    </r>
  </si>
  <si>
    <t xml:space="preserve">छोटो पुत्री</t>
  </si>
  <si>
    <t xml:space="preserve">ईशर सिंह पुत्र</t>
  </si>
  <si>
    <t xml:space="preserve">2-11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</si>
  <si>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.910 </t>
    </r>
    <r>
      <rPr>
        <sz val="12"/>
        <color rgb="FF000000"/>
        <rFont val="FreeSans"/>
        <family val="2"/>
      </rPr>
      <t xml:space="preserve">तिथि</t>
    </r>
  </si>
  <si>
    <t xml:space="preserve">गुरदयाल सिंह</t>
  </si>
  <si>
    <t xml:space="preserve">2-12</t>
  </si>
  <si>
    <r>
      <rPr>
        <sz val="12"/>
        <color rgb="FF000000"/>
        <rFont val="Calibri"/>
        <family val="2"/>
        <charset val="1"/>
      </rPr>
      <t xml:space="preserve">25-8-2009 </t>
    </r>
    <r>
      <rPr>
        <sz val="12"/>
        <color rgb="FF000000"/>
        <rFont val="FreeSans"/>
        <family val="2"/>
      </rPr>
      <t xml:space="preserve">आमदा</t>
    </r>
  </si>
  <si>
    <r>
      <rPr>
        <sz val="12"/>
        <color rgb="FF000000"/>
        <rFont val="Calibri"/>
        <family val="2"/>
        <charset val="1"/>
      </rPr>
      <t xml:space="preserve">1039/3388 </t>
    </r>
    <r>
      <rPr>
        <sz val="12"/>
        <color rgb="FF000000"/>
        <rFont val="FreeSans"/>
        <family val="2"/>
      </rPr>
      <t xml:space="preserve">भाग</t>
    </r>
  </si>
  <si>
    <t xml:space="preserve">शरण सिंह पुत्र</t>
  </si>
  <si>
    <r>
      <rPr>
        <sz val="12"/>
        <color rgb="FF000000"/>
        <rFont val="FreeSans"/>
        <family val="2"/>
      </rPr>
      <t xml:space="preserve">के पत्र न</t>
    </r>
    <r>
      <rPr>
        <sz val="12"/>
        <color rgb="FF000000"/>
        <rFont val="Calibri"/>
        <family val="2"/>
        <charset val="1"/>
      </rPr>
      <t xml:space="preserve">.106 </t>
    </r>
    <r>
      <rPr>
        <sz val="12"/>
        <color rgb="FF000000"/>
        <rFont val="FreeSans"/>
        <family val="2"/>
      </rPr>
      <t xml:space="preserve">तिथि</t>
    </r>
  </si>
  <si>
    <t xml:space="preserve">बुटा सिंह उर्फ गुरबचन</t>
  </si>
  <si>
    <r>
      <rPr>
        <sz val="12"/>
        <color rgb="FF000000"/>
        <rFont val="Calibri"/>
        <family val="2"/>
        <charset val="1"/>
      </rPr>
      <t xml:space="preserve">23-7-09 </t>
    </r>
    <r>
      <rPr>
        <sz val="12"/>
        <color rgb="FF000000"/>
        <rFont val="FreeSans"/>
        <family val="2"/>
      </rPr>
      <t xml:space="preserve">के अनुसार</t>
    </r>
  </si>
  <si>
    <t xml:space="preserve">मिन जानिब सुखपाल सिंह</t>
  </si>
  <si>
    <t xml:space="preserve">पुत्र गुरबचन सिंह रपट</t>
  </si>
  <si>
    <r>
      <rPr>
        <sz val="12"/>
        <color rgb="FF000000"/>
        <rFont val="Calibri"/>
        <family val="2"/>
        <charset val="1"/>
      </rPr>
      <t xml:space="preserve">2349/3388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</si>
  <si>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7-7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</si>
  <si>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418 </t>
    </r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25-7-2003</t>
    </r>
  </si>
  <si>
    <t xml:space="preserve">पर जो रकबा आड रहन था</t>
  </si>
  <si>
    <t xml:space="preserve">अब फक किया जात है</t>
  </si>
  <si>
    <r>
      <rPr>
        <sz val="12"/>
        <color rgb="FF000000"/>
        <rFont val="Calibri"/>
        <family val="2"/>
        <charset val="1"/>
      </rPr>
      <t xml:space="preserve">TSC Rapat N. 920</t>
    </r>
    <r>
      <rPr>
        <sz val="12"/>
        <color rgb="FF000000"/>
        <rFont val="FreeSans"/>
        <family val="2"/>
      </rPr>
      <t xml:space="preserve">ति</t>
    </r>
  </si>
  <si>
    <r>
      <rPr>
        <sz val="12"/>
        <color rgb="FF000000"/>
        <rFont val="Calibri"/>
        <family val="2"/>
        <charset val="1"/>
      </rPr>
      <t xml:space="preserve">27-08-2009</t>
    </r>
    <r>
      <rPr>
        <sz val="12"/>
        <color rgb="FF000000"/>
        <rFont val="FreeSans"/>
        <family val="2"/>
      </rPr>
      <t xml:space="preserve">को आमदा</t>
    </r>
  </si>
  <si>
    <r>
      <rPr>
        <sz val="12"/>
        <color rgb="FF000000"/>
        <rFont val="FreeSans"/>
        <family val="2"/>
      </rPr>
      <t xml:space="preserve">आदेश</t>
    </r>
    <r>
      <rPr>
        <sz val="12"/>
        <color rgb="FF000000"/>
        <rFont val="Calibri"/>
        <family val="2"/>
        <charset val="1"/>
      </rPr>
      <t xml:space="preserve">SBI kalanwali</t>
    </r>
    <r>
      <rPr>
        <sz val="12"/>
        <color rgb="FF000000"/>
        <rFont val="FreeSans"/>
        <family val="2"/>
      </rPr>
      <t xml:space="preserve">के</t>
    </r>
  </si>
  <si>
    <t xml:space="preserve">पत्र</t>
  </si>
  <si>
    <r>
      <rPr>
        <sz val="12"/>
        <color rgb="FF000000"/>
        <rFont val="FreeSans"/>
        <family val="2"/>
      </rPr>
      <t xml:space="preserve">क्र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.DPS/07/08</t>
    </r>
    <r>
      <rPr>
        <sz val="12"/>
        <color rgb="FF000000"/>
        <rFont val="FreeSans"/>
        <family val="2"/>
      </rPr>
      <t xml:space="preserve">के</t>
    </r>
  </si>
  <si>
    <t xml:space="preserve">117-19</t>
  </si>
  <si>
    <t xml:space="preserve">अनुसार</t>
  </si>
  <si>
    <t xml:space="preserve">मिनजानिबसुखपाल सिंह</t>
  </si>
  <si>
    <t xml:space="preserve">पुत्र गुरबचनसिंह का</t>
  </si>
  <si>
    <r>
      <rPr>
        <sz val="12"/>
        <color rgb="FF000000"/>
        <rFont val="FreeSans"/>
        <family val="2"/>
      </rPr>
      <t xml:space="preserve">जो रकबा रपट न</t>
    </r>
    <r>
      <rPr>
        <sz val="12"/>
        <color rgb="FF000000"/>
        <rFont val="Calibri"/>
        <family val="2"/>
        <charset val="1"/>
      </rPr>
      <t xml:space="preserve">.388 </t>
    </r>
    <r>
      <rPr>
        <sz val="12"/>
        <color rgb="FF000000"/>
        <rFont val="FreeSans"/>
        <family val="2"/>
      </rPr>
      <t xml:space="preserve">ति</t>
    </r>
  </si>
  <si>
    <r>
      <rPr>
        <sz val="12"/>
        <color rgb="FF000000"/>
        <rFont val="Calibri"/>
        <family val="2"/>
        <charset val="1"/>
      </rPr>
      <t xml:space="preserve">25-7-2000 </t>
    </r>
    <r>
      <rPr>
        <sz val="12"/>
        <color rgb="FF000000"/>
        <rFont val="FreeSans"/>
        <family val="2"/>
      </rPr>
      <t xml:space="preserve">परआड रहन</t>
    </r>
  </si>
  <si>
    <r>
      <rPr>
        <sz val="12"/>
        <color rgb="FF000000"/>
        <rFont val="Calibri"/>
        <family val="2"/>
        <charset val="1"/>
      </rPr>
      <t xml:space="preserve">37-13 </t>
    </r>
    <r>
      <rPr>
        <sz val="12"/>
        <color rgb="FF000000"/>
        <rFont val="FreeSans"/>
        <family val="2"/>
      </rPr>
      <t xml:space="preserve">नहरी</t>
    </r>
  </si>
  <si>
    <t xml:space="preserve">था अबफक किया जाता है</t>
  </si>
  <si>
    <r>
      <rPr>
        <sz val="12"/>
        <color rgb="FF000000"/>
        <rFont val="Calibri"/>
        <family val="2"/>
        <charset val="1"/>
      </rPr>
      <t xml:space="preserve">80-6 </t>
    </r>
    <r>
      <rPr>
        <sz val="12"/>
        <color rgb="FF000000"/>
        <rFont val="FreeSans"/>
        <family val="2"/>
      </rPr>
      <t xml:space="preserve">बारानी</t>
    </r>
  </si>
  <si>
    <t xml:space="preserve">छोटो</t>
  </si>
  <si>
    <t xml:space="preserve">98//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</si>
  <si>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388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</si>
  <si>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5-17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</si>
  <si>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25-7-2000 </t>
    </r>
    <r>
      <rPr>
        <sz val="12"/>
        <color rgb="FF000000"/>
        <rFont val="FreeSans"/>
        <family val="2"/>
      </rPr>
      <t xml:space="preserve">मिनजानब</t>
    </r>
  </si>
  <si>
    <t xml:space="preserve">तबादला दहिन्दा</t>
  </si>
  <si>
    <r>
      <rPr>
        <sz val="12"/>
        <color rgb="FF000000"/>
        <rFont val="Calibri"/>
        <family val="2"/>
        <charset val="1"/>
      </rPr>
      <t xml:space="preserve">6-8 </t>
    </r>
    <r>
      <rPr>
        <sz val="12"/>
        <color rgb="FF000000"/>
        <rFont val="FreeSans"/>
        <family val="2"/>
      </rPr>
      <t xml:space="preserve">कुल</t>
    </r>
  </si>
  <si>
    <t xml:space="preserve">सुखपाल</t>
  </si>
  <si>
    <t xml:space="preserve">सिंह पुत्र गुरबचन सिहं</t>
  </si>
  <si>
    <r>
      <rPr>
        <sz val="12"/>
        <color rgb="FF000000"/>
        <rFont val="Calibri"/>
        <family val="2"/>
        <charset val="1"/>
      </rPr>
      <t xml:space="preserve">0-2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</si>
  <si>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 98//24/2-25/1</t>
    </r>
  </si>
  <si>
    <t xml:space="preserve">105//4/2-5-6</t>
  </si>
  <si>
    <t xml:space="preserve">तबादला गरिन्दा</t>
  </si>
  <si>
    <r>
      <rPr>
        <sz val="12"/>
        <color rgb="FF000000"/>
        <rFont val="Calibri"/>
        <family val="2"/>
        <charset val="1"/>
      </rPr>
      <t xml:space="preserve">0-7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</si>
  <si>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106//4/1 </t>
    </r>
    <r>
      <rPr>
        <sz val="12"/>
        <color rgb="FF000000"/>
        <rFont val="FreeSans"/>
        <family val="2"/>
      </rPr>
      <t xml:space="preserve">बाकी रकबा</t>
    </r>
  </si>
  <si>
    <t xml:space="preserve">105//</t>
  </si>
  <si>
    <r>
      <rPr>
        <sz val="12"/>
        <color rgb="FF000000"/>
        <rFont val="FreeSans"/>
        <family val="2"/>
      </rPr>
      <t xml:space="preserve">खाता न</t>
    </r>
    <r>
      <rPr>
        <sz val="12"/>
        <color rgb="FF000000"/>
        <rFont val="Calibri"/>
        <family val="2"/>
        <charset val="1"/>
      </rPr>
      <t xml:space="preserve">. 201/462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</si>
  <si>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Calibri"/>
        <family val="2"/>
        <charset val="1"/>
      </rPr>
      <t xml:space="preserve">6-8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</si>
  <si>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64-4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</si>
  <si>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240000/- </t>
    </r>
    <r>
      <rPr>
        <sz val="12"/>
        <color rgb="FF000000"/>
        <rFont val="FreeSans"/>
        <family val="2"/>
      </rPr>
      <t xml:space="preserve">मे वाहक</t>
    </r>
  </si>
  <si>
    <r>
      <rPr>
        <sz val="12"/>
        <color rgb="FF000000"/>
        <rFont val="Calibri"/>
        <family val="2"/>
        <charset val="1"/>
      </rPr>
      <t xml:space="preserve">S.B.I. </t>
    </r>
    <r>
      <rPr>
        <sz val="12"/>
        <color rgb="FF000000"/>
        <rFont val="FreeSans"/>
        <family val="2"/>
      </rPr>
      <t xml:space="preserve">कालांवाली आड़</t>
    </r>
  </si>
  <si>
    <t xml:space="preserve">106//</t>
  </si>
  <si>
    <r>
      <rPr>
        <sz val="12"/>
        <color rgb="FF000000"/>
        <rFont val="Calibri"/>
        <family val="2"/>
        <charset val="1"/>
      </rPr>
      <t xml:space="preserve">2. </t>
    </r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418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</si>
  <si>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22-7-2003 </t>
    </r>
    <r>
      <rPr>
        <sz val="12"/>
        <color rgb="FF000000"/>
        <rFont val="FreeSans"/>
        <family val="2"/>
      </rPr>
      <t xml:space="preserve">मिनजानब</t>
    </r>
  </si>
  <si>
    <r>
      <rPr>
        <sz val="12"/>
        <color rgb="FF000000"/>
        <rFont val="Calibri"/>
        <family val="2"/>
        <charset val="1"/>
      </rPr>
      <t xml:space="preserve">5-11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</si>
  <si>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गुरबचन सिंह 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</si>
  <si>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51-9</t>
  </si>
  <si>
    <r>
      <rPr>
        <sz val="12"/>
        <color rgb="FF000000"/>
        <rFont val="Calibri"/>
        <family val="2"/>
        <charset val="1"/>
      </rPr>
      <t xml:space="preserve">106//3 </t>
    </r>
    <r>
      <rPr>
        <sz val="12"/>
        <color rgb="FF000000"/>
        <rFont val="FreeSans"/>
        <family val="2"/>
      </rPr>
      <t xml:space="preserve">तदादी </t>
    </r>
    <r>
      <rPr>
        <sz val="12"/>
        <color rgb="FF000000"/>
        <rFont val="Calibri"/>
        <family val="2"/>
        <charset val="1"/>
      </rPr>
      <t xml:space="preserve">8-0</t>
    </r>
  </si>
  <si>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 70000/- </t>
    </r>
    <r>
      <rPr>
        <sz val="12"/>
        <color rgb="FF000000"/>
        <rFont val="FreeSans"/>
        <family val="2"/>
      </rPr>
      <t xml:space="preserve">वाहक</t>
    </r>
  </si>
  <si>
    <r>
      <rPr>
        <sz val="12"/>
        <color rgb="FF000000"/>
        <rFont val="Calibri"/>
        <family val="2"/>
        <charset val="1"/>
      </rPr>
      <t xml:space="preserve">P.L.D.B. </t>
    </r>
    <r>
      <rPr>
        <sz val="12"/>
        <color rgb="FF000000"/>
        <rFont val="FreeSans"/>
        <family val="2"/>
      </rPr>
      <t xml:space="preserve">कालांवाली आड़</t>
    </r>
  </si>
  <si>
    <t xml:space="preserve">51-7</t>
  </si>
  <si>
    <r>
      <rPr>
        <sz val="12"/>
        <color rgb="FF000000"/>
        <rFont val="Calibri"/>
        <family val="2"/>
        <charset val="1"/>
      </rPr>
      <t xml:space="preserve">31-3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</si>
  <si>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0-2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</si>
  <si>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26</t>
    </r>
  </si>
  <si>
    <t xml:space="preserve">169-8</t>
  </si>
  <si>
    <t xml:space="preserve">169-6</t>
  </si>
  <si>
    <r>
      <rPr>
        <sz val="12"/>
        <color rgb="FF000000"/>
        <rFont val="Calibri"/>
        <family val="2"/>
        <charset val="1"/>
      </rPr>
      <t xml:space="preserve">68-16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</si>
  <si>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100-10 </t>
    </r>
    <r>
      <rPr>
        <sz val="12"/>
        <color rgb="FF000000"/>
        <rFont val="FreeSans"/>
        <family val="2"/>
      </rPr>
      <t xml:space="preserve">बारानी</t>
    </r>
  </si>
  <si>
    <t xml:space="preserve">भगवान सिंह</t>
  </si>
  <si>
    <r>
      <rPr>
        <sz val="12"/>
        <color rgb="FF000000"/>
        <rFont val="FreeSans"/>
        <family val="2"/>
      </rPr>
      <t xml:space="preserve">बरुये </t>
    </r>
    <r>
      <rPr>
        <sz val="12"/>
        <color rgb="FF000000"/>
        <rFont val="Calibri"/>
        <family val="2"/>
        <charset val="1"/>
      </rPr>
      <t xml:space="preserve">T S C</t>
    </r>
  </si>
  <si>
    <t xml:space="preserve">मालक</t>
  </si>
  <si>
    <r>
      <rPr>
        <sz val="12"/>
        <color rgb="FF000000"/>
        <rFont val="FreeSans"/>
        <family val="2"/>
      </rPr>
      <t xml:space="preserve">रपटन</t>
    </r>
    <r>
      <rPr>
        <sz val="12"/>
        <color rgb="FF000000"/>
        <rFont val="Calibri"/>
        <family val="2"/>
        <charset val="1"/>
      </rPr>
      <t xml:space="preserve">.407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2-6-2010</t>
    </r>
  </si>
  <si>
    <r>
      <rPr>
        <sz val="12"/>
        <color rgb="FF000000"/>
        <rFont val="Calibri"/>
        <family val="2"/>
        <charset val="1"/>
      </rPr>
      <t xml:space="preserve">4-16 </t>
    </r>
    <r>
      <rPr>
        <sz val="12"/>
        <color rgb="FF000000"/>
        <rFont val="FreeSans"/>
        <family val="2"/>
      </rPr>
      <t xml:space="preserve">नहरी</t>
    </r>
  </si>
  <si>
    <t xml:space="preserve">अनुसार मिनजानबगुरबचन</t>
  </si>
  <si>
    <t xml:space="preserve">सिह पुत्रबिशन सिह का</t>
  </si>
  <si>
    <t xml:space="preserve">12-16</t>
  </si>
  <si>
    <t xml:space="preserve">रक्बाखेवट</t>
  </si>
  <si>
    <r>
      <rPr>
        <sz val="12"/>
        <color rgb="FF000000"/>
        <rFont val="Calibri"/>
        <family val="2"/>
        <charset val="1"/>
      </rPr>
      <t xml:space="preserve">208/483</t>
    </r>
    <r>
      <rPr>
        <sz val="12"/>
        <color rgb="FF000000"/>
        <rFont val="FreeSans"/>
        <family val="2"/>
      </rPr>
      <t xml:space="preserve">सालमखाता का</t>
    </r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</si>
  <si>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291-06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</si>
  <si>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391/7732</t>
    </r>
    <r>
      <rPr>
        <sz val="12"/>
        <color rgb="FF000000"/>
        <rFont val="FreeSans"/>
        <family val="2"/>
      </rPr>
      <t xml:space="preserve">भागरक्बा</t>
    </r>
  </si>
  <si>
    <r>
      <rPr>
        <sz val="12"/>
        <color rgb="FF000000"/>
        <rFont val="Calibri"/>
        <family val="2"/>
        <charset val="1"/>
      </rPr>
      <t xml:space="preserve">14-14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</si>
  <si>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.208/486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.76/</t>
    </r>
  </si>
  <si>
    <r>
      <rPr>
        <sz val="12"/>
        <color rgb="FF000000"/>
        <rFont val="Calibri"/>
        <family val="2"/>
        <charset val="1"/>
      </rPr>
      <t xml:space="preserve">/19-20/2-21/1-22/1</t>
    </r>
    <r>
      <rPr>
        <sz val="12"/>
        <color rgb="FF000000"/>
        <rFont val="FreeSans"/>
        <family val="2"/>
      </rPr>
      <t xml:space="preserve">रक</t>
    </r>
  </si>
  <si>
    <r>
      <rPr>
        <sz val="12"/>
        <color rgb="FF000000"/>
        <rFont val="FreeSans"/>
        <family val="2"/>
      </rPr>
      <t xml:space="preserve">्बा </t>
    </r>
    <r>
      <rPr>
        <sz val="12"/>
        <color rgb="FF000000"/>
        <rFont val="Calibri"/>
        <family val="2"/>
        <charset val="1"/>
      </rPr>
      <t xml:space="preserve">19-11</t>
    </r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1/5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</si>
  <si>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3-18</t>
    </r>
    <r>
      <rPr>
        <sz val="12"/>
        <color rgb="FF000000"/>
        <rFont val="FreeSans"/>
        <family val="2"/>
      </rPr>
      <t xml:space="preserve">वखेवट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</si>
  <si>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.265/594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</si>
  <si>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.106//5107//1/1</t>
    </r>
    <r>
      <rPr>
        <sz val="12"/>
        <color rgb="FF000000"/>
        <rFont val="FreeSans"/>
        <family val="2"/>
      </rPr>
      <t xml:space="preserve">रक</t>
    </r>
  </si>
  <si>
    <r>
      <rPr>
        <sz val="12"/>
        <color rgb="FF000000"/>
        <rFont val="FreeSans"/>
        <family val="2"/>
      </rPr>
      <t xml:space="preserve">्बा</t>
    </r>
    <r>
      <rPr>
        <sz val="12"/>
        <color rgb="FF000000"/>
        <rFont val="Calibri"/>
        <family val="2"/>
        <charset val="1"/>
      </rPr>
      <t xml:space="preserve">12-16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</si>
  <si>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.339/710</t>
    </r>
  </si>
  <si>
    <r>
      <rPr>
        <sz val="12"/>
        <color rgb="FF000000"/>
        <rFont val="FreeSans"/>
        <family val="2"/>
      </rPr>
      <t xml:space="preserve">कान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.129//17-18</t>
    </r>
    <r>
      <rPr>
        <sz val="12"/>
        <color rgb="FF000000"/>
        <rFont val="FreeSans"/>
        <family val="2"/>
      </rPr>
      <t xml:space="preserve">मिनर</t>
    </r>
  </si>
  <si>
    <r>
      <rPr>
        <sz val="12"/>
        <color rgb="FF000000"/>
        <rFont val="FreeSans"/>
        <family val="2"/>
      </rPr>
      <t xml:space="preserve">क्बा </t>
    </r>
    <r>
      <rPr>
        <sz val="12"/>
        <color rgb="FF000000"/>
        <rFont val="Calibri"/>
        <family val="2"/>
        <charset val="1"/>
      </rPr>
      <t xml:space="preserve">9-18 </t>
    </r>
    <r>
      <rPr>
        <sz val="12"/>
        <color rgb="FF000000"/>
        <rFont val="FreeSans"/>
        <family val="2"/>
      </rPr>
      <t xml:space="preserve">कुलरक्बा</t>
    </r>
  </si>
  <si>
    <r>
      <rPr>
        <sz val="12"/>
        <color rgb="FF000000"/>
        <rFont val="Calibri"/>
        <family val="2"/>
        <charset val="1"/>
      </rPr>
      <t xml:space="preserve">41-6</t>
    </r>
    <r>
      <rPr>
        <sz val="12"/>
        <color rgb="FF000000"/>
        <rFont val="FreeSans"/>
        <family val="2"/>
      </rPr>
      <t xml:space="preserve">बदलेमु</t>
    </r>
    <r>
      <rPr>
        <sz val="12"/>
        <color rgb="FF000000"/>
        <rFont val="Calibri"/>
        <family val="2"/>
        <charset val="1"/>
      </rPr>
      <t xml:space="preserve">.250000/-</t>
    </r>
    <r>
      <rPr>
        <sz val="12"/>
        <color rgb="FF000000"/>
        <rFont val="FreeSans"/>
        <family val="2"/>
      </rPr>
      <t xml:space="preserve">म</t>
    </r>
  </si>
  <si>
    <r>
      <rPr>
        <sz val="12"/>
        <color rgb="FF000000"/>
        <rFont val="FreeSans"/>
        <family val="2"/>
      </rPr>
      <t xml:space="preserve">ेबाहक </t>
    </r>
    <r>
      <rPr>
        <sz val="12"/>
        <color rgb="FF000000"/>
        <rFont val="Calibri"/>
        <family val="2"/>
        <charset val="1"/>
      </rPr>
      <t xml:space="preserve">P N B</t>
    </r>
  </si>
  <si>
    <t xml:space="preserve">कालावालीआङ रहन है</t>
  </si>
  <si>
    <t xml:space="preserve">दयाल सिंह</t>
  </si>
  <si>
    <r>
      <rPr>
        <sz val="12"/>
        <color rgb="FF000000"/>
        <rFont val="FreeSans"/>
        <family val="2"/>
      </rPr>
      <t xml:space="preserve">कटार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</si>
  <si>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बरूये रपट न</t>
    </r>
    <r>
      <rPr>
        <sz val="12"/>
        <color rgb="FF000000"/>
        <rFont val="Calibri"/>
        <family val="2"/>
        <charset val="1"/>
      </rPr>
      <t xml:space="preserve">. 244</t>
    </r>
  </si>
  <si>
    <t xml:space="preserve">लाभ सिहं पुत्रान</t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</si>
  <si>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10-1-06 </t>
    </r>
    <r>
      <rPr>
        <sz val="12"/>
        <color rgb="FF000000"/>
        <rFont val="FreeSans"/>
        <family val="2"/>
      </rPr>
      <t xml:space="preserve">मिन जानिब</t>
    </r>
  </si>
  <si>
    <t xml:space="preserve">चन्द सिंह पुत्र</t>
  </si>
  <si>
    <t xml:space="preserve">भजन सिंह सालम खाता</t>
  </si>
  <si>
    <t xml:space="preserve">रूलिया</t>
  </si>
  <si>
    <t xml:space="preserve">14/3</t>
  </si>
  <si>
    <r>
      <rPr>
        <sz val="12"/>
        <color rgb="FF000000"/>
        <rFont val="Calibri"/>
        <family val="2"/>
        <charset val="1"/>
      </rPr>
      <t xml:space="preserve">76-18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380/1538</t>
    </r>
  </si>
  <si>
    <t xml:space="preserve">भाग आड रहन है देखो</t>
  </si>
  <si>
    <r>
      <rPr>
        <sz val="12"/>
        <color rgb="FF000000"/>
        <rFont val="Calibri"/>
        <family val="2"/>
        <charset val="1"/>
      </rPr>
      <t xml:space="preserve">83/769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</si>
  <si>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हवाला खेवट न</t>
    </r>
    <r>
      <rPr>
        <sz val="12"/>
        <color rgb="FF000000"/>
        <rFont val="Calibri"/>
        <family val="2"/>
        <charset val="1"/>
      </rPr>
      <t xml:space="preserve">. 323</t>
    </r>
  </si>
  <si>
    <t xml:space="preserve">लाभ सिंह पुत्र</t>
  </si>
  <si>
    <t xml:space="preserve">17/1</t>
  </si>
  <si>
    <r>
      <rPr>
        <sz val="12"/>
        <color rgb="FF000000"/>
        <rFont val="Calibri"/>
        <family val="2"/>
        <charset val="1"/>
      </rPr>
      <t xml:space="preserve">3-4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</si>
  <si>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t.s.c.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900</t>
    </r>
  </si>
  <si>
    <t xml:space="preserve">ध्यान सिंह पुत्र</t>
  </si>
  <si>
    <t xml:space="preserve">&amp;Reg.no.2419</t>
  </si>
  <si>
    <t xml:space="preserve">निका सिहं</t>
  </si>
  <si>
    <r>
      <rPr>
        <sz val="12"/>
        <color rgb="FF000000"/>
        <rFont val="Calibri"/>
        <family val="2"/>
        <charset val="1"/>
      </rPr>
      <t xml:space="preserve">6-15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</si>
  <si>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तिथी</t>
    </r>
    <r>
      <rPr>
        <sz val="12"/>
        <color rgb="FF000000"/>
        <rFont val="Calibri"/>
        <family val="2"/>
        <charset val="1"/>
      </rPr>
      <t xml:space="preserve">22/02/2008 </t>
    </r>
    <r>
      <rPr>
        <sz val="12"/>
        <color rgb="FF000000"/>
        <rFont val="FreeSans"/>
        <family val="2"/>
      </rPr>
      <t xml:space="preserve">के</t>
    </r>
  </si>
  <si>
    <r>
      <rPr>
        <sz val="12"/>
        <color rgb="FF000000"/>
        <rFont val="Calibri"/>
        <family val="2"/>
        <charset val="1"/>
      </rPr>
      <t xml:space="preserve">603/3076 </t>
    </r>
    <r>
      <rPr>
        <sz val="12"/>
        <color rgb="FF000000"/>
        <rFont val="FreeSans"/>
        <family val="2"/>
      </rPr>
      <t xml:space="preserve">भाग</t>
    </r>
  </si>
  <si>
    <t xml:space="preserve">145//</t>
  </si>
  <si>
    <t xml:space="preserve">अनुसारमिन जानिम</t>
  </si>
  <si>
    <t xml:space="preserve">नछत्र सिहं दत्तक पुत्र</t>
  </si>
  <si>
    <r>
      <rPr>
        <sz val="12"/>
        <color rgb="FF000000"/>
        <rFont val="Calibri"/>
        <family val="2"/>
        <charset val="1"/>
      </rPr>
      <t xml:space="preserve">4-14 </t>
    </r>
    <r>
      <rPr>
        <sz val="12"/>
        <color rgb="FF000000"/>
        <rFont val="FreeSans"/>
        <family val="2"/>
      </rPr>
      <t xml:space="preserve">नहरी</t>
    </r>
  </si>
  <si>
    <t xml:space="preserve">वसाखासिंह पुत्र</t>
  </si>
  <si>
    <t xml:space="preserve">मुखत्यार सिंह पुत्र</t>
  </si>
  <si>
    <t xml:space="preserve">अजमेरसिंह ने खेवट</t>
  </si>
  <si>
    <t xml:space="preserve">निका सिंह</t>
  </si>
  <si>
    <r>
      <rPr>
        <sz val="12"/>
        <color rgb="FF000000"/>
        <rFont val="Calibri"/>
        <family val="2"/>
        <charset val="1"/>
      </rPr>
      <t xml:space="preserve">8-6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</si>
  <si>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.27/144</t>
    </r>
  </si>
  <si>
    <r>
      <rPr>
        <sz val="12"/>
        <color rgb="FF000000"/>
        <rFont val="Calibri"/>
        <family val="2"/>
        <charset val="1"/>
      </rPr>
      <t xml:space="preserve">3-17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</si>
  <si>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कान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.12//22-23,23//</t>
    </r>
  </si>
  <si>
    <r>
      <rPr>
        <sz val="12"/>
        <color rgb="FF000000"/>
        <rFont val="FreeSans"/>
        <family val="2"/>
      </rPr>
      <t xml:space="preserve">सतपालसिंह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</si>
  <si>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146//</t>
  </si>
  <si>
    <t xml:space="preserve">4to8-9/1-16to19</t>
  </si>
  <si>
    <r>
      <rPr>
        <sz val="12"/>
        <color rgb="FF000000"/>
        <rFont val="FreeSans"/>
        <family val="2"/>
      </rPr>
      <t xml:space="preserve">रकबा</t>
    </r>
    <r>
      <rPr>
        <sz val="12"/>
        <color rgb="FF000000"/>
        <rFont val="Calibri"/>
        <family val="2"/>
        <charset val="1"/>
      </rPr>
      <t xml:space="preserve">75-8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1/3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</si>
  <si>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बकदर</t>
    </r>
    <r>
      <rPr>
        <sz val="12"/>
        <color rgb="FF000000"/>
        <rFont val="Calibri"/>
        <family val="2"/>
        <charset val="1"/>
      </rPr>
      <t xml:space="preserve">25-2 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</si>
  <si>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Calibri"/>
        <family val="2"/>
        <charset val="1"/>
      </rPr>
      <t xml:space="preserve">0-16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</si>
  <si>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खे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.117/304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</si>
  <si>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.31//9-12to14</t>
    </r>
    <r>
      <rPr>
        <sz val="12"/>
        <color rgb="FF000000"/>
        <rFont val="FreeSans"/>
        <family val="2"/>
      </rPr>
      <t xml:space="preserve">रकबा</t>
    </r>
  </si>
  <si>
    <r>
      <rPr>
        <sz val="12"/>
        <color rgb="FF000000"/>
        <rFont val="Calibri"/>
        <family val="2"/>
        <charset val="1"/>
      </rPr>
      <t xml:space="preserve">4/769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</si>
  <si>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15</t>
    </r>
  </si>
  <si>
    <t xml:space="preserve">76-18</t>
  </si>
  <si>
    <r>
      <rPr>
        <sz val="12"/>
        <color rgb="FF000000"/>
        <rFont val="Calibri"/>
        <family val="2"/>
        <charset val="1"/>
      </rPr>
      <t xml:space="preserve">32-0 </t>
    </r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24/480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</si>
  <si>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वसाखा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</si>
  <si>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बकदर </t>
    </r>
    <r>
      <rPr>
        <sz val="12"/>
        <color rgb="FF000000"/>
        <rFont val="Calibri"/>
        <family val="2"/>
        <charset val="1"/>
      </rPr>
      <t xml:space="preserve">1-12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</si>
  <si>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FreeSans"/>
        <family val="2"/>
      </rPr>
      <t xml:space="preserve">खे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.118/305</t>
    </r>
  </si>
  <si>
    <r>
      <rPr>
        <sz val="12"/>
        <color rgb="FF000000"/>
        <rFont val="FreeSans"/>
        <family val="2"/>
      </rPr>
      <t xml:space="preserve">कान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.31//7-8</t>
    </r>
  </si>
  <si>
    <r>
      <rPr>
        <sz val="12"/>
        <color rgb="FF000000"/>
        <rFont val="FreeSans"/>
        <family val="2"/>
      </rPr>
      <t xml:space="preserve">रकबा</t>
    </r>
    <r>
      <rPr>
        <sz val="12"/>
        <color rgb="FF000000"/>
        <rFont val="Calibri"/>
        <family val="2"/>
        <charset val="1"/>
      </rPr>
      <t xml:space="preserve">12-0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1/6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</si>
  <si>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59-14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</si>
  <si>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बकदर</t>
    </r>
    <r>
      <rPr>
        <sz val="12"/>
        <color rgb="FF000000"/>
        <rFont val="Calibri"/>
        <family val="2"/>
        <charset val="1"/>
      </rPr>
      <t xml:space="preserve">2-0 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</si>
  <si>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Calibri"/>
        <family val="2"/>
        <charset val="1"/>
      </rPr>
      <t xml:space="preserve">761/1538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</si>
  <si>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17-4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</si>
  <si>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खे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.315/1/664</t>
    </r>
    <r>
      <rPr>
        <sz val="12"/>
        <color rgb="FF000000"/>
        <rFont val="FreeSans"/>
        <family val="2"/>
      </rPr>
      <t xml:space="preserve">कान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</si>
  <si>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144//6-7/1-14/3-15-1</t>
  </si>
  <si>
    <t xml:space="preserve">6-17/1-24/2-25,145//</t>
  </si>
  <si>
    <t xml:space="preserve">9-10-11-20,146//4/2-</t>
  </si>
  <si>
    <r>
      <rPr>
        <sz val="12"/>
        <color rgb="FF000000"/>
        <rFont val="Calibri"/>
        <family val="2"/>
        <charset val="1"/>
      </rPr>
      <t xml:space="preserve">5-7/1 </t>
    </r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76-18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</si>
  <si>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380/1538</t>
    </r>
    <r>
      <rPr>
        <sz val="12"/>
        <color rgb="FF000000"/>
        <rFont val="FreeSans"/>
        <family val="2"/>
      </rPr>
      <t xml:space="preserve">भाग बकदर</t>
    </r>
    <r>
      <rPr>
        <sz val="12"/>
        <color rgb="FF000000"/>
        <rFont val="Calibri"/>
        <family val="2"/>
        <charset val="1"/>
      </rPr>
      <t xml:space="preserve">19-0</t>
    </r>
  </si>
  <si>
    <r>
      <rPr>
        <sz val="12"/>
        <color rgb="FF000000"/>
        <rFont val="FreeSans"/>
        <family val="2"/>
      </rPr>
      <t xml:space="preserve">खे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.323/680</t>
    </r>
    <r>
      <rPr>
        <sz val="12"/>
        <color rgb="FF000000"/>
        <rFont val="FreeSans"/>
        <family val="2"/>
      </rPr>
      <t xml:space="preserve">कान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.23</t>
    </r>
  </si>
  <si>
    <t xml:space="preserve">//21-22-23-24/1,30//</t>
  </si>
  <si>
    <t xml:space="preserve">7/1/2,115//18/2-22-2</t>
  </si>
  <si>
    <t xml:space="preserve">3/1,131//2-3-4-8-9/1</t>
  </si>
  <si>
    <r>
      <rPr>
        <sz val="12"/>
        <color rgb="FF000000"/>
        <rFont val="Calibri"/>
        <family val="2"/>
        <charset val="1"/>
      </rPr>
      <t xml:space="preserve">-9/2-12/1 </t>
    </r>
    <r>
      <rPr>
        <sz val="12"/>
        <color rgb="FF000000"/>
        <rFont val="FreeSans"/>
        <family val="2"/>
      </rPr>
      <t xml:space="preserve">रकबा</t>
    </r>
    <r>
      <rPr>
        <sz val="12"/>
        <color rgb="FF000000"/>
        <rFont val="Calibri"/>
        <family val="2"/>
        <charset val="1"/>
      </rPr>
      <t xml:space="preserve">76-8</t>
    </r>
  </si>
  <si>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1/3</t>
    </r>
    <r>
      <rPr>
        <sz val="12"/>
        <color rgb="FF000000"/>
        <rFont val="FreeSans"/>
        <family val="2"/>
      </rPr>
      <t xml:space="preserve">भाग बकदर</t>
    </r>
    <r>
      <rPr>
        <sz val="12"/>
        <color rgb="FF000000"/>
        <rFont val="Calibri"/>
        <family val="2"/>
        <charset val="1"/>
      </rPr>
      <t xml:space="preserve">25-9</t>
    </r>
  </si>
  <si>
    <r>
      <rPr>
        <sz val="12"/>
        <color rgb="FF000000"/>
        <rFont val="FreeSans"/>
        <family val="2"/>
      </rPr>
      <t xml:space="preserve">कुल रकबा </t>
    </r>
    <r>
      <rPr>
        <sz val="12"/>
        <color rgb="FF000000"/>
        <rFont val="Calibri"/>
        <family val="2"/>
        <charset val="1"/>
      </rPr>
      <t xml:space="preserve">73-3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</si>
  <si>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 500000 /-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मे</t>
    </r>
  </si>
  <si>
    <r>
      <rPr>
        <sz val="12"/>
        <color rgb="FF000000"/>
        <rFont val="Calibri"/>
        <family val="2"/>
        <charset val="1"/>
      </rPr>
      <t xml:space="preserve">SBIkalanwali </t>
    </r>
    <r>
      <rPr>
        <sz val="12"/>
        <color rgb="FF000000"/>
        <rFont val="FreeSans"/>
        <family val="2"/>
      </rPr>
      <t xml:space="preserve">के पास</t>
    </r>
  </si>
  <si>
    <t xml:space="preserve">ताअदायगी रकम रकबा</t>
  </si>
  <si>
    <t xml:space="preserve">आडरहन रहेगा ा</t>
  </si>
  <si>
    <r>
      <rPr>
        <sz val="12"/>
        <color rgb="FF000000"/>
        <rFont val="Calibri"/>
        <family val="2"/>
        <charset val="1"/>
      </rPr>
      <t xml:space="preserve">t.s.c.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.1476 &amp;</t>
    </r>
  </si>
  <si>
    <r>
      <rPr>
        <sz val="12"/>
        <color rgb="FF000000"/>
        <rFont val="FreeSans"/>
        <family val="2"/>
      </rPr>
      <t xml:space="preserve">रजि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.2135</t>
    </r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.20/01/09</t>
    </r>
  </si>
  <si>
    <t xml:space="preserve">लाभ सिह पुत्र चन्द सिंह</t>
  </si>
  <si>
    <r>
      <rPr>
        <sz val="12"/>
        <color rgb="FF000000"/>
        <rFont val="FreeSans"/>
        <family val="2"/>
      </rPr>
      <t xml:space="preserve">का रकबा </t>
    </r>
    <r>
      <rPr>
        <sz val="12"/>
        <color rgb="FF000000"/>
        <rFont val="Calibri"/>
        <family val="2"/>
        <charset val="1"/>
      </rPr>
      <t xml:space="preserve">76-18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</si>
  <si>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83/1538</t>
    </r>
    <r>
      <rPr>
        <sz val="12"/>
        <color rgb="FF000000"/>
        <rFont val="FreeSans"/>
        <family val="2"/>
      </rPr>
      <t xml:space="preserve">भाग बकदर </t>
    </r>
    <r>
      <rPr>
        <sz val="12"/>
        <color rgb="FF000000"/>
        <rFont val="Calibri"/>
        <family val="2"/>
        <charset val="1"/>
      </rPr>
      <t xml:space="preserve">4-3</t>
    </r>
  </si>
  <si>
    <r>
      <rPr>
        <sz val="12"/>
        <color rgb="FF000000"/>
        <rFont val="FreeSans"/>
        <family val="2"/>
      </rPr>
      <t xml:space="preserve">वखे</t>
    </r>
    <r>
      <rPr>
        <sz val="12"/>
        <color rgb="FF000000"/>
        <rFont val="Calibri"/>
        <family val="2"/>
        <charset val="1"/>
      </rPr>
      <t xml:space="preserve">.335 </t>
    </r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25-17</t>
    </r>
  </si>
  <si>
    <r>
      <rPr>
        <sz val="12"/>
        <color rgb="FF000000"/>
        <rFont val="FreeSans"/>
        <family val="2"/>
      </rPr>
      <t xml:space="preserve">कुल रकबा </t>
    </r>
    <r>
      <rPr>
        <sz val="12"/>
        <color rgb="FF000000"/>
        <rFont val="Calibri"/>
        <family val="2"/>
        <charset val="1"/>
      </rPr>
      <t xml:space="preserve">30-0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</si>
  <si>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 100000 /- 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मेम</t>
    </r>
  </si>
  <si>
    <r>
      <rPr>
        <sz val="12"/>
        <color rgb="FF000000"/>
        <rFont val="Calibri"/>
        <family val="2"/>
        <charset val="1"/>
      </rPr>
      <t xml:space="preserve">SBI kalanwali </t>
    </r>
    <r>
      <rPr>
        <sz val="12"/>
        <color rgb="FF000000"/>
        <rFont val="FreeSans"/>
        <family val="2"/>
      </rPr>
      <t xml:space="preserve">के पास ता</t>
    </r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</si>
  <si>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.832</t>
    </r>
  </si>
  <si>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18-8-2009 </t>
    </r>
    <r>
      <rPr>
        <sz val="12"/>
        <color rgb="FF000000"/>
        <rFont val="FreeSans"/>
        <family val="2"/>
      </rPr>
      <t xml:space="preserve">पर मिन</t>
    </r>
  </si>
  <si>
    <t xml:space="preserve">जानिबलाभ सिंह पुत्र</t>
  </si>
  <si>
    <r>
      <rPr>
        <sz val="12"/>
        <color rgb="FF000000"/>
        <rFont val="FreeSans"/>
        <family val="2"/>
      </rPr>
      <t xml:space="preserve">चन्द सिंह</t>
    </r>
    <r>
      <rPr>
        <sz val="12"/>
        <color rgb="FF000000"/>
        <rFont val="Calibri"/>
        <family val="2"/>
        <charset val="1"/>
      </rPr>
      <t xml:space="preserve">TSC</t>
    </r>
    <r>
      <rPr>
        <sz val="12"/>
        <color rgb="FF000000"/>
        <rFont val="FreeSans"/>
        <family val="2"/>
      </rPr>
      <t xml:space="preserve">रपट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</si>
  <si>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.1476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</si>
  <si>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20-1-2009</t>
    </r>
    <r>
      <rPr>
        <sz val="12"/>
        <color rgb="FF000000"/>
        <rFont val="FreeSans"/>
        <family val="2"/>
      </rPr>
      <t xml:space="preserve">रजि न</t>
    </r>
    <r>
      <rPr>
        <sz val="12"/>
        <color rgb="FF000000"/>
        <rFont val="Calibri"/>
        <family val="2"/>
        <charset val="1"/>
      </rPr>
      <t xml:space="preserve">.2135</t>
    </r>
  </si>
  <si>
    <t xml:space="preserve">पर जो रकबाआड रहन था</t>
  </si>
  <si>
    <t xml:space="preserve">अब फककिया जाता है</t>
  </si>
  <si>
    <r>
      <rPr>
        <sz val="12"/>
        <color rgb="FF000000"/>
        <rFont val="FreeSans"/>
        <family val="2"/>
      </rPr>
      <t xml:space="preserve">बरूए</t>
    </r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974</t>
    </r>
  </si>
  <si>
    <r>
      <rPr>
        <sz val="12"/>
        <color rgb="FF000000"/>
        <rFont val="FreeSans"/>
        <family val="2"/>
      </rPr>
      <t xml:space="preserve">तिथी</t>
    </r>
    <r>
      <rPr>
        <sz val="12"/>
        <color rgb="FF000000"/>
        <rFont val="Calibri"/>
        <family val="2"/>
        <charset val="1"/>
      </rPr>
      <t xml:space="preserve">08/09/2009 </t>
    </r>
    <r>
      <rPr>
        <sz val="12"/>
        <color rgb="FF000000"/>
        <rFont val="FreeSans"/>
        <family val="2"/>
      </rPr>
      <t xml:space="preserve">के</t>
    </r>
  </si>
  <si>
    <t xml:space="preserve">अनुसारमिन जानिम लाभ</t>
  </si>
  <si>
    <t xml:space="preserve">सिंहपुत्र चन्द सिंह</t>
  </si>
  <si>
    <r>
      <rPr>
        <sz val="12"/>
        <color rgb="FF000000"/>
        <rFont val="Calibri"/>
        <family val="2"/>
        <charset val="1"/>
      </rPr>
      <t xml:space="preserve">&amp;</t>
    </r>
    <r>
      <rPr>
        <sz val="12"/>
        <color rgb="FF000000"/>
        <rFont val="FreeSans"/>
        <family val="2"/>
      </rPr>
      <t xml:space="preserve">रजि न</t>
    </r>
    <r>
      <rPr>
        <sz val="12"/>
        <color rgb="FF000000"/>
        <rFont val="Calibri"/>
        <family val="2"/>
        <charset val="1"/>
      </rPr>
      <t xml:space="preserve">.1144</t>
    </r>
  </si>
  <si>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08-09-2009 </t>
    </r>
    <r>
      <rPr>
        <sz val="12"/>
        <color rgb="FF000000"/>
        <rFont val="FreeSans"/>
        <family val="2"/>
      </rPr>
      <t xml:space="preserve">ने</t>
    </r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</si>
  <si>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 335/700</t>
    </r>
  </si>
  <si>
    <r>
      <rPr>
        <sz val="12"/>
        <color rgb="FF000000"/>
        <rFont val="FreeSans"/>
        <family val="2"/>
      </rPr>
      <t xml:space="preserve">कान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.111//6-7,112//</t>
    </r>
  </si>
  <si>
    <r>
      <rPr>
        <sz val="12"/>
        <color rgb="FF000000"/>
        <rFont val="Calibri"/>
        <family val="2"/>
        <charset val="1"/>
      </rPr>
      <t xml:space="preserve">2/2-3/1-7/2-8-9-10</t>
    </r>
    <r>
      <rPr>
        <sz val="12"/>
        <color rgb="FF000000"/>
        <rFont val="FreeSans"/>
        <family val="2"/>
      </rPr>
      <t xml:space="preserve">रक</t>
    </r>
  </si>
  <si>
    <r>
      <rPr>
        <sz val="12"/>
        <color rgb="FF000000"/>
        <rFont val="FreeSans"/>
        <family val="2"/>
      </rPr>
      <t xml:space="preserve">बा </t>
    </r>
    <r>
      <rPr>
        <sz val="12"/>
        <color rgb="FF000000"/>
        <rFont val="Calibri"/>
        <family val="2"/>
        <charset val="1"/>
      </rPr>
      <t xml:space="preserve">52-0 </t>
    </r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517/1040</t>
    </r>
  </si>
  <si>
    <r>
      <rPr>
        <sz val="12"/>
        <color rgb="FF000000"/>
        <rFont val="FreeSans"/>
        <family val="2"/>
      </rPr>
      <t xml:space="preserve">भाग बकदर</t>
    </r>
    <r>
      <rPr>
        <sz val="12"/>
        <color rgb="FF000000"/>
        <rFont val="Calibri"/>
        <family val="2"/>
        <charset val="1"/>
      </rPr>
      <t xml:space="preserve">25-17 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</si>
  <si>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.336/706</t>
    </r>
  </si>
  <si>
    <r>
      <rPr>
        <sz val="12"/>
        <color rgb="FF000000"/>
        <rFont val="FreeSans"/>
        <family val="2"/>
      </rPr>
      <t xml:space="preserve">कान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.144//6-7/1-14/</t>
    </r>
  </si>
  <si>
    <t xml:space="preserve">3-15-16-17/1-24/2-25</t>
  </si>
  <si>
    <t xml:space="preserve">,145//9-10-11-20,146</t>
  </si>
  <si>
    <r>
      <rPr>
        <sz val="12"/>
        <color rgb="FF000000"/>
        <rFont val="Calibri"/>
        <family val="2"/>
        <charset val="1"/>
      </rPr>
      <t xml:space="preserve">//4/2-7/1-5 </t>
    </r>
    <r>
      <rPr>
        <sz val="12"/>
        <color rgb="FF000000"/>
        <rFont val="FreeSans"/>
        <family val="2"/>
      </rPr>
      <t xml:space="preserve">रकबा</t>
    </r>
  </si>
  <si>
    <r>
      <rPr>
        <sz val="12"/>
        <color rgb="FF000000"/>
        <rFont val="Calibri"/>
        <family val="2"/>
        <charset val="1"/>
      </rPr>
      <t xml:space="preserve">76-18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83/1538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</si>
  <si>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बकदर</t>
    </r>
    <r>
      <rPr>
        <sz val="12"/>
        <color rgb="FF000000"/>
        <rFont val="Calibri"/>
        <family val="2"/>
        <charset val="1"/>
      </rPr>
      <t xml:space="preserve">4-3 </t>
    </r>
    <r>
      <rPr>
        <sz val="12"/>
        <color rgb="FF000000"/>
        <rFont val="FreeSans"/>
        <family val="2"/>
      </rPr>
      <t xml:space="preserve">कुल रकबा</t>
    </r>
  </si>
  <si>
    <r>
      <rPr>
        <sz val="12"/>
        <color rgb="FF000000"/>
        <rFont val="Calibri"/>
        <family val="2"/>
        <charset val="1"/>
      </rPr>
      <t xml:space="preserve">30-0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 350000</t>
    </r>
  </si>
  <si>
    <r>
      <rPr>
        <sz val="12"/>
        <color rgb="FF000000"/>
        <rFont val="Calibri"/>
        <family val="2"/>
        <charset val="1"/>
      </rPr>
      <t xml:space="preserve">/-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मे बाहकहरियाणा</t>
    </r>
  </si>
  <si>
    <t xml:space="preserve">ग्रामीण बैककालावाली</t>
  </si>
  <si>
    <t xml:space="preserve">के पास ताअदायगी रकम</t>
  </si>
  <si>
    <t xml:space="preserve">रकबा आडरहन रहेगा ा</t>
  </si>
  <si>
    <r>
      <rPr>
        <sz val="12"/>
        <color rgb="FF000000"/>
        <rFont val="FreeSans"/>
        <family val="2"/>
      </rPr>
      <t xml:space="preserve">बरुये </t>
    </r>
    <r>
      <rPr>
        <sz val="12"/>
        <color rgb="FF000000"/>
        <rFont val="Calibri"/>
        <family val="2"/>
        <charset val="1"/>
      </rPr>
      <t xml:space="preserve">TSC</t>
    </r>
    <r>
      <rPr>
        <sz val="12"/>
        <color rgb="FF000000"/>
        <rFont val="FreeSans"/>
        <family val="2"/>
      </rPr>
      <t xml:space="preserve">रपट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</si>
  <si>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.31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7-4-2011</t>
    </r>
    <r>
      <rPr>
        <sz val="12"/>
        <color rgb="FF000000"/>
        <rFont val="FreeSans"/>
        <family val="2"/>
      </rPr>
      <t xml:space="preserve">केअन</t>
    </r>
  </si>
  <si>
    <t xml:space="preserve">ुसार मिनजानबलाभ सिह</t>
  </si>
  <si>
    <t xml:space="preserve">पुत्र चन्द सिहका</t>
  </si>
  <si>
    <t xml:space="preserve">रक्बा रपट</t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</si>
  <si>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.974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08-09-2009</t>
    </r>
    <r>
      <rPr>
        <sz val="12"/>
        <color rgb="FF000000"/>
        <rFont val="FreeSans"/>
        <family val="2"/>
      </rPr>
      <t xml:space="preserve">क</t>
    </r>
  </si>
  <si>
    <t xml:space="preserve">ेतहत बदले</t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</si>
  <si>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.350000/-</t>
    </r>
    <r>
      <rPr>
        <sz val="12"/>
        <color rgb="FF000000"/>
        <rFont val="FreeSans"/>
        <family val="2"/>
      </rPr>
      <t xml:space="preserve">मे </t>
    </r>
    <r>
      <rPr>
        <sz val="12"/>
        <color rgb="FF000000"/>
        <rFont val="Calibri"/>
        <family val="2"/>
        <charset val="1"/>
      </rPr>
      <t xml:space="preserve">H G</t>
    </r>
  </si>
  <si>
    <r>
      <rPr>
        <sz val="12"/>
        <color rgb="FF000000"/>
        <rFont val="Calibri"/>
        <family val="2"/>
        <charset val="1"/>
      </rPr>
      <t xml:space="preserve">B</t>
    </r>
    <r>
      <rPr>
        <sz val="12"/>
        <color rgb="FF000000"/>
        <rFont val="FreeSans"/>
        <family val="2"/>
      </rPr>
      <t xml:space="preserve">कालावाली के पासआङ</t>
    </r>
  </si>
  <si>
    <t xml:space="preserve">रहन था अब फकहो चुका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</si>
  <si>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67 </t>
    </r>
    <r>
      <rPr>
        <sz val="12"/>
        <color rgb="FF000000"/>
        <rFont val="FreeSans"/>
        <family val="2"/>
      </rPr>
      <t xml:space="preserve">तिथी</t>
    </r>
  </si>
  <si>
    <r>
      <rPr>
        <sz val="12"/>
        <color rgb="FF000000"/>
        <rFont val="Calibri"/>
        <family val="2"/>
        <charset val="1"/>
      </rPr>
      <t xml:space="preserve">15/04/2011 </t>
    </r>
    <r>
      <rPr>
        <sz val="12"/>
        <color rgb="FF000000"/>
        <rFont val="FreeSans"/>
        <family val="2"/>
      </rPr>
      <t xml:space="preserve">के अनुसार</t>
    </r>
  </si>
  <si>
    <t xml:space="preserve">मिन जानिम लाभ सिंह</t>
  </si>
  <si>
    <t xml:space="preserve">पुत्र चन्द सिंह ने</t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</si>
  <si>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 335 </t>
    </r>
    <r>
      <rPr>
        <sz val="12"/>
        <color rgb="FF000000"/>
        <rFont val="FreeSans"/>
        <family val="2"/>
      </rPr>
      <t xml:space="preserve">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</si>
  <si>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111//6-7,112//2/2-3/</t>
  </si>
  <si>
    <r>
      <rPr>
        <sz val="12"/>
        <color rgb="FF000000"/>
        <rFont val="Calibri"/>
        <family val="2"/>
        <charset val="1"/>
      </rPr>
      <t xml:space="preserve">1-7/2-8-9-10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</si>
  <si>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FreeSans"/>
        <family val="2"/>
      </rPr>
      <t xml:space="preserve">तादादी </t>
    </r>
    <r>
      <rPr>
        <sz val="12"/>
        <color rgb="FF000000"/>
        <rFont val="Calibri"/>
        <family val="2"/>
        <charset val="1"/>
      </rPr>
      <t xml:space="preserve">52-0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</si>
  <si>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517/1040 </t>
    </r>
    <r>
      <rPr>
        <sz val="12"/>
        <color rgb="FF000000"/>
        <rFont val="FreeSans"/>
        <family val="2"/>
      </rPr>
      <t xml:space="preserve">भाग बकदर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</si>
  <si>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25-17 </t>
    </r>
    <r>
      <rPr>
        <sz val="12"/>
        <color rgb="FF000000"/>
        <rFont val="FreeSans"/>
        <family val="2"/>
      </rPr>
      <t xml:space="preserve">वा 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</si>
  <si>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 336 </t>
    </r>
    <r>
      <rPr>
        <sz val="12"/>
        <color rgb="FF000000"/>
        <rFont val="FreeSans"/>
        <family val="2"/>
      </rPr>
      <t xml:space="preserve">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</si>
  <si>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144//6-7/1-14/3-15,1</t>
  </si>
  <si>
    <t xml:space="preserve">44//16-17/1-24/2-25,</t>
  </si>
  <si>
    <t xml:space="preserve">145//9-10-11-20,</t>
  </si>
  <si>
    <t xml:space="preserve">146//4/2-5-7/1</t>
  </si>
  <si>
    <r>
      <rPr>
        <sz val="12"/>
        <color rgb="FF000000"/>
        <rFont val="FreeSans"/>
        <family val="2"/>
      </rPr>
      <t xml:space="preserve">तादादी </t>
    </r>
    <r>
      <rPr>
        <sz val="12"/>
        <color rgb="FF000000"/>
        <rFont val="Calibri"/>
        <family val="2"/>
        <charset val="1"/>
      </rPr>
      <t xml:space="preserve">76-18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</si>
  <si>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83/1538 </t>
    </r>
    <r>
      <rPr>
        <sz val="12"/>
        <color rgb="FF000000"/>
        <rFont val="FreeSans"/>
        <family val="2"/>
      </rPr>
      <t xml:space="preserve">भाग बकदर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</si>
  <si>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4-3 </t>
    </r>
    <r>
      <rPr>
        <sz val="12"/>
        <color rgb="FF000000"/>
        <rFont val="FreeSans"/>
        <family val="2"/>
      </rPr>
      <t xml:space="preserve">कुल बकदर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</si>
  <si>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30-0 </t>
    </r>
    <r>
      <rPr>
        <sz val="12"/>
        <color rgb="FF000000"/>
        <rFont val="FreeSans"/>
        <family val="2"/>
      </rPr>
      <t xml:space="preserve">बाबत</t>
    </r>
  </si>
  <si>
    <t xml:space="preserve">खरीदने ट्रेक्टर नया</t>
  </si>
  <si>
    <r>
      <rPr>
        <sz val="12"/>
        <color rgb="FF000000"/>
        <rFont val="Calibri"/>
        <family val="2"/>
        <charset val="1"/>
      </rPr>
      <t xml:space="preserve">Agri.purposes 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</si>
  <si>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 375000 /- 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मे</t>
    </r>
  </si>
  <si>
    <t xml:space="preserve">हरियाणा ग्रामिण</t>
  </si>
  <si>
    <r>
      <rPr>
        <sz val="12"/>
        <color rgb="FF000000"/>
        <rFont val="FreeSans"/>
        <family val="2"/>
      </rPr>
      <t xml:space="preserve">बैक </t>
    </r>
    <r>
      <rPr>
        <sz val="12"/>
        <color rgb="FF000000"/>
        <rFont val="Calibri"/>
        <family val="2"/>
        <charset val="1"/>
      </rPr>
      <t xml:space="preserve">,</t>
    </r>
    <r>
      <rPr>
        <sz val="12"/>
        <color rgb="FF000000"/>
        <rFont val="FreeSans"/>
        <family val="2"/>
      </rPr>
      <t xml:space="preserve">कांलावाली के</t>
    </r>
  </si>
  <si>
    <t xml:space="preserve">पास ता अदायगी रकम</t>
  </si>
  <si>
    <t xml:space="preserve">रकबा आड रहन रहेगा ा</t>
  </si>
  <si>
    <t xml:space="preserve">गुरचरण सिह पुत्र</t>
  </si>
  <si>
    <t xml:space="preserve">गुरमीत सिह</t>
  </si>
  <si>
    <t xml:space="preserve">77//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</si>
  <si>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437 </t>
    </r>
    <r>
      <rPr>
        <sz val="12"/>
        <color rgb="FF000000"/>
        <rFont val="FreeSans"/>
        <family val="2"/>
      </rPr>
      <t xml:space="preserve">तिथि</t>
    </r>
  </si>
  <si>
    <t xml:space="preserve">बिशन सिह पुत्र</t>
  </si>
  <si>
    <r>
      <rPr>
        <sz val="12"/>
        <color rgb="FF000000"/>
        <rFont val="Calibri"/>
        <family val="2"/>
        <charset val="1"/>
      </rPr>
      <t xml:space="preserve">2 </t>
    </r>
    <r>
      <rPr>
        <sz val="12"/>
        <color rgb="FF000000"/>
        <rFont val="FreeSans"/>
        <family val="2"/>
      </rPr>
      <t xml:space="preserve">मिन</t>
    </r>
  </si>
  <si>
    <r>
      <rPr>
        <sz val="12"/>
        <color rgb="FF000000"/>
        <rFont val="Calibri"/>
        <family val="2"/>
        <charset val="1"/>
      </rPr>
      <t xml:space="preserve">5-0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</si>
  <si>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30-7-2003 </t>
    </r>
    <r>
      <rPr>
        <sz val="12"/>
        <color rgb="FF000000"/>
        <rFont val="FreeSans"/>
        <family val="2"/>
      </rPr>
      <t xml:space="preserve">मिनजानब शमशेर</t>
    </r>
  </si>
  <si>
    <t xml:space="preserve">बुध सिह</t>
  </si>
  <si>
    <r>
      <rPr>
        <sz val="12"/>
        <color rgb="FF000000"/>
        <rFont val="FreeSans"/>
        <family val="2"/>
      </rPr>
      <t xml:space="preserve">सिंह 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FreeSans"/>
        <family val="2"/>
      </rPr>
      <t xml:space="preserve">केहर सिहं</t>
    </r>
  </si>
  <si>
    <r>
      <rPr>
        <sz val="12"/>
        <color rgb="FF000000"/>
        <rFont val="Calibri"/>
        <family val="2"/>
        <charset val="1"/>
      </rPr>
      <t xml:space="preserve">96/973 </t>
    </r>
    <r>
      <rPr>
        <sz val="12"/>
        <color rgb="FF000000"/>
        <rFont val="FreeSans"/>
        <family val="2"/>
      </rPr>
      <t xml:space="preserve">भाग</t>
    </r>
  </si>
  <si>
    <t xml:space="preserve">पुत्रान सुखदेव सिंह</t>
  </si>
  <si>
    <t xml:space="preserve">सुरजीत सीह पुत्र</t>
  </si>
  <si>
    <r>
      <rPr>
        <sz val="12"/>
        <color rgb="FF000000"/>
        <rFont val="FreeSans"/>
        <family val="2"/>
      </rPr>
      <t xml:space="preserve">का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 78//15(7-7)</t>
    </r>
  </si>
  <si>
    <t xml:space="preserve">बिसन सिह पुत्र</t>
  </si>
  <si>
    <r>
      <rPr>
        <sz val="12"/>
        <color rgb="FF000000"/>
        <rFont val="FreeSans"/>
        <family val="2"/>
      </rPr>
      <t xml:space="preserve">मय रकबा खाता न</t>
    </r>
    <r>
      <rPr>
        <sz val="12"/>
        <color rgb="FF000000"/>
        <rFont val="Calibri"/>
        <family val="2"/>
        <charset val="1"/>
      </rPr>
      <t xml:space="preserve">.,</t>
    </r>
  </si>
  <si>
    <r>
      <rPr>
        <sz val="12"/>
        <color rgb="FF000000"/>
        <rFont val="Calibri"/>
        <family val="2"/>
        <charset val="1"/>
      </rPr>
      <t xml:space="preserve">319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 90000/- </t>
    </r>
    <r>
      <rPr>
        <sz val="12"/>
        <color rgb="FF000000"/>
        <rFont val="FreeSans"/>
        <family val="2"/>
      </rPr>
      <t xml:space="preserve">मे</t>
    </r>
  </si>
  <si>
    <r>
      <rPr>
        <sz val="12"/>
        <color rgb="FF000000"/>
        <rFont val="Calibri"/>
        <family val="2"/>
        <charset val="1"/>
      </rPr>
      <t xml:space="preserve">405/7784 </t>
    </r>
    <r>
      <rPr>
        <sz val="12"/>
        <color rgb="FF000000"/>
        <rFont val="FreeSans"/>
        <family val="2"/>
      </rPr>
      <t xml:space="preserve">भाग</t>
    </r>
  </si>
  <si>
    <t xml:space="preserve">गुरमीत सिह पुत्र</t>
  </si>
  <si>
    <r>
      <rPr>
        <sz val="12"/>
        <color rgb="FF000000"/>
        <rFont val="FreeSans"/>
        <family val="2"/>
      </rPr>
      <t xml:space="preserve">वाहक </t>
    </r>
    <r>
      <rPr>
        <sz val="12"/>
        <color rgb="FF000000"/>
        <rFont val="Calibri"/>
        <family val="2"/>
        <charset val="1"/>
      </rPr>
      <t xml:space="preserve">P.L.D.B. </t>
    </r>
    <r>
      <rPr>
        <sz val="12"/>
        <color rgb="FF000000"/>
        <rFont val="FreeSans"/>
        <family val="2"/>
      </rPr>
      <t xml:space="preserve">कालांवाली</t>
    </r>
  </si>
  <si>
    <t xml:space="preserve">जगदेव सिह पुत्र</t>
  </si>
  <si>
    <t xml:space="preserve">आड़ रहन है</t>
  </si>
  <si>
    <t xml:space="preserve">गुरतेज सिह</t>
  </si>
  <si>
    <r>
      <rPr>
        <sz val="12"/>
        <color rgb="FF000000"/>
        <rFont val="Calibri"/>
        <family val="2"/>
        <charset val="1"/>
      </rPr>
      <t xml:space="preserve">689/7784 </t>
    </r>
    <r>
      <rPr>
        <sz val="12"/>
        <color rgb="FF000000"/>
        <rFont val="FreeSans"/>
        <family val="2"/>
      </rPr>
      <t xml:space="preserve">भाग</t>
    </r>
  </si>
  <si>
    <t xml:space="preserve">सतपाल सिह पुत्र</t>
  </si>
  <si>
    <t xml:space="preserve">बिशन सिह</t>
  </si>
  <si>
    <r>
      <rPr>
        <sz val="12"/>
        <color rgb="FF000000"/>
        <rFont val="Calibri"/>
        <family val="2"/>
        <charset val="1"/>
      </rPr>
      <t xml:space="preserve">281/3892 </t>
    </r>
    <r>
      <rPr>
        <sz val="12"/>
        <color rgb="FF000000"/>
        <rFont val="FreeSans"/>
        <family val="2"/>
      </rPr>
      <t xml:space="preserve">भाग</t>
    </r>
  </si>
  <si>
    <t xml:space="preserve">सुरजीत कोर पत्नी व</t>
  </si>
  <si>
    <r>
      <rPr>
        <sz val="12"/>
        <color rgb="FF000000"/>
        <rFont val="FreeSans"/>
        <family val="2"/>
      </rPr>
      <t xml:space="preserve">अवतार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</si>
  <si>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राम सिह पुत्रान</t>
  </si>
  <si>
    <t xml:space="preserve">किशन सिह</t>
  </si>
  <si>
    <r>
      <rPr>
        <sz val="12"/>
        <color rgb="FF000000"/>
        <rFont val="Calibri"/>
        <family val="2"/>
        <charset val="1"/>
      </rPr>
      <t xml:space="preserve">365/3892 </t>
    </r>
    <r>
      <rPr>
        <sz val="12"/>
        <color rgb="FF000000"/>
        <rFont val="FreeSans"/>
        <family val="2"/>
      </rPr>
      <t xml:space="preserve">भाग</t>
    </r>
  </si>
  <si>
    <t xml:space="preserve">करतार कोर पत्नी व</t>
  </si>
  <si>
    <r>
      <rPr>
        <sz val="12"/>
        <color rgb="FF000000"/>
        <rFont val="FreeSans"/>
        <family val="2"/>
      </rPr>
      <t xml:space="preserve">शमशेर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</si>
  <si>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केहर सिह पुत्रान</t>
  </si>
  <si>
    <t xml:space="preserve">बिसन सिह</t>
  </si>
  <si>
    <r>
      <rPr>
        <sz val="12"/>
        <color rgb="FF000000"/>
        <rFont val="Calibri"/>
        <family val="2"/>
        <charset val="1"/>
      </rPr>
      <t xml:space="preserve">95/556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</si>
  <si>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वसावा सिह</t>
    </r>
    <r>
      <rPr>
        <sz val="12"/>
        <color rgb="FF000000"/>
        <rFont val="Calibri"/>
        <family val="2"/>
        <charset val="1"/>
      </rPr>
      <t xml:space="preserve">,</t>
    </r>
  </si>
  <si>
    <t xml:space="preserve">भजन सिह पुत्रान</t>
  </si>
  <si>
    <t xml:space="preserve">अजमेर सिह पुत्र</t>
  </si>
  <si>
    <r>
      <rPr>
        <sz val="12"/>
        <color rgb="FF000000"/>
        <rFont val="Calibri"/>
        <family val="2"/>
        <charset val="1"/>
      </rPr>
      <t xml:space="preserve">36/973 </t>
    </r>
    <r>
      <rPr>
        <sz val="12"/>
        <color rgb="FF000000"/>
        <rFont val="FreeSans"/>
        <family val="2"/>
      </rPr>
      <t xml:space="preserve">भाग</t>
    </r>
  </si>
  <si>
    <t xml:space="preserve">TSC Rapat N.</t>
  </si>
  <si>
    <t xml:space="preserve">छिन्द्र कोर विधवा व</t>
  </si>
  <si>
    <r>
      <rPr>
        <sz val="12"/>
        <color rgb="FF000000"/>
        <rFont val="Calibri"/>
        <family val="2"/>
        <charset val="1"/>
      </rPr>
      <t xml:space="preserve">1817</t>
    </r>
    <r>
      <rPr>
        <sz val="12"/>
        <color rgb="FF000000"/>
        <rFont val="FreeSans"/>
        <family val="2"/>
      </rPr>
      <t xml:space="preserve">तिथि</t>
    </r>
  </si>
  <si>
    <t xml:space="preserve">वीरपाल कोर पुत्री व</t>
  </si>
  <si>
    <r>
      <rPr>
        <sz val="12"/>
        <color rgb="FF000000"/>
        <rFont val="Calibri"/>
        <family val="2"/>
        <charset val="1"/>
      </rPr>
      <t xml:space="preserve">28-12-2010</t>
    </r>
    <r>
      <rPr>
        <sz val="12"/>
        <color rgb="FF000000"/>
        <rFont val="FreeSans"/>
        <family val="2"/>
      </rPr>
      <t xml:space="preserve">के अनुसार</t>
    </r>
  </si>
  <si>
    <r>
      <rPr>
        <sz val="12"/>
        <color rgb="FF000000"/>
        <rFont val="FreeSans"/>
        <family val="2"/>
      </rPr>
      <t xml:space="preserve">हरपाल सिह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</si>
  <si>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मिनजानिबशमशेर सिह </t>
    </r>
    <r>
      <rPr>
        <sz val="12"/>
        <color rgb="FF000000"/>
        <rFont val="Calibri"/>
        <family val="2"/>
        <charset val="1"/>
      </rPr>
      <t xml:space="preserve">-</t>
    </r>
  </si>
  <si>
    <t xml:space="preserve">लखवीर सिह पुत्रान</t>
  </si>
  <si>
    <t xml:space="preserve">केहर सिहंका जो रकबा</t>
  </si>
  <si>
    <t xml:space="preserve">जगसीर सिह पुत्र</t>
  </si>
  <si>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.437 </t>
    </r>
    <r>
      <rPr>
        <sz val="12"/>
        <color rgb="FF000000"/>
        <rFont val="FreeSans"/>
        <family val="2"/>
      </rPr>
      <t xml:space="preserve">तिथि</t>
    </r>
  </si>
  <si>
    <t xml:space="preserve">अजमेर सिह</t>
  </si>
  <si>
    <r>
      <rPr>
        <sz val="12"/>
        <color rgb="FF000000"/>
        <rFont val="Calibri"/>
        <family val="2"/>
        <charset val="1"/>
      </rPr>
      <t xml:space="preserve">30-07-2003</t>
    </r>
    <r>
      <rPr>
        <sz val="12"/>
        <color rgb="FF000000"/>
        <rFont val="FreeSans"/>
        <family val="2"/>
      </rPr>
      <t xml:space="preserve">पर</t>
    </r>
  </si>
  <si>
    <r>
      <rPr>
        <sz val="12"/>
        <color rgb="FF000000"/>
        <rFont val="FreeSans"/>
        <family val="2"/>
      </rPr>
      <t xml:space="preserve">बाहक</t>
    </r>
    <r>
      <rPr>
        <sz val="12"/>
        <color rgb="FF000000"/>
        <rFont val="Calibri"/>
        <family val="2"/>
        <charset val="1"/>
      </rPr>
      <t xml:space="preserve">PARDB</t>
    </r>
  </si>
  <si>
    <r>
      <rPr>
        <sz val="12"/>
        <color rgb="FF000000"/>
        <rFont val="Calibri"/>
        <family val="2"/>
        <charset val="1"/>
      </rPr>
      <t xml:space="preserve">18/973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</si>
  <si>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Kalanwali</t>
    </r>
    <r>
      <rPr>
        <sz val="12"/>
        <color rgb="FF000000"/>
        <rFont val="FreeSans"/>
        <family val="2"/>
      </rPr>
      <t xml:space="preserve">में आड रहन</t>
    </r>
  </si>
  <si>
    <t xml:space="preserve">थाअब फक होचुका है ।</t>
  </si>
  <si>
    <r>
      <rPr>
        <sz val="12"/>
        <color rgb="FF000000"/>
        <rFont val="Calibri"/>
        <family val="2"/>
        <charset val="1"/>
      </rPr>
      <t xml:space="preserve">557/3892 </t>
    </r>
    <r>
      <rPr>
        <sz val="12"/>
        <color rgb="FF000000"/>
        <rFont val="FreeSans"/>
        <family val="2"/>
      </rPr>
      <t xml:space="preserve">भाग</t>
    </r>
  </si>
  <si>
    <t xml:space="preserve">औम प्रकाश पुत्र</t>
  </si>
  <si>
    <t xml:space="preserve">हनुमान दास पुत्र</t>
  </si>
  <si>
    <t xml:space="preserve">जगन नाथ</t>
  </si>
  <si>
    <r>
      <rPr>
        <sz val="12"/>
        <color rgb="FF000000"/>
        <rFont val="Calibri"/>
        <family val="2"/>
        <charset val="1"/>
      </rPr>
      <t xml:space="preserve">877/3892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</si>
  <si>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 </t>
    </r>
    <r>
      <rPr>
        <sz val="12"/>
        <color rgb="FF000000"/>
        <rFont val="FreeSans"/>
        <family val="2"/>
      </rPr>
      <t xml:space="preserve">मिन</t>
    </r>
  </si>
  <si>
    <r>
      <rPr>
        <sz val="12"/>
        <color rgb="FF000000"/>
        <rFont val="Calibri"/>
        <family val="2"/>
        <charset val="1"/>
      </rPr>
      <t xml:space="preserve">4-12 </t>
    </r>
    <r>
      <rPr>
        <sz val="12"/>
        <color rgb="FF000000"/>
        <rFont val="FreeSans"/>
        <family val="2"/>
      </rPr>
      <t xml:space="preserve">बारानी</t>
    </r>
  </si>
  <si>
    <t xml:space="preserve">129//</t>
  </si>
  <si>
    <t xml:space="preserve">36-12</t>
  </si>
  <si>
    <r>
      <rPr>
        <sz val="12"/>
        <color rgb="FF000000"/>
        <rFont val="FreeSans"/>
        <family val="2"/>
      </rPr>
      <t xml:space="preserve">सालम </t>
    </r>
    <r>
      <rPr>
        <sz val="12"/>
        <color rgb="FF000000"/>
        <rFont val="Calibri"/>
        <family val="2"/>
        <charset val="1"/>
      </rPr>
      <t xml:space="preserve">4</t>
    </r>
  </si>
  <si>
    <r>
      <rPr>
        <sz val="12"/>
        <color rgb="FF000000"/>
        <rFont val="Calibri"/>
        <family val="2"/>
        <charset val="1"/>
      </rPr>
      <t xml:space="preserve">32-0 </t>
    </r>
    <r>
      <rPr>
        <sz val="12"/>
        <color rgb="FF000000"/>
        <rFont val="FreeSans"/>
        <family val="2"/>
      </rPr>
      <t xml:space="preserve">चाही</t>
    </r>
  </si>
  <si>
    <t xml:space="preserve">सरजीत सिंह</t>
  </si>
  <si>
    <r>
      <rPr>
        <sz val="12"/>
        <color rgb="FF000000"/>
        <rFont val="Calibri"/>
        <family val="2"/>
        <charset val="1"/>
      </rPr>
      <t xml:space="preserve">2-7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</si>
  <si>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1-19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</si>
  <si>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मिन </t>
    </r>
    <r>
      <rPr>
        <sz val="12"/>
        <color rgb="FF000000"/>
        <rFont val="Calibri"/>
        <family val="2"/>
        <charset val="1"/>
      </rPr>
      <t xml:space="preserve">2</t>
    </r>
  </si>
  <si>
    <r>
      <rPr>
        <sz val="12"/>
        <color rgb="FF000000"/>
        <rFont val="Calibri"/>
        <family val="2"/>
        <charset val="1"/>
      </rPr>
      <t xml:space="preserve">4-6 </t>
    </r>
    <r>
      <rPr>
        <sz val="12"/>
        <color rgb="FF000000"/>
        <rFont val="FreeSans"/>
        <family val="2"/>
      </rPr>
      <t xml:space="preserve">बारानी</t>
    </r>
  </si>
  <si>
    <t xml:space="preserve">औम प्रकाश</t>
  </si>
  <si>
    <t xml:space="preserve">78//</t>
  </si>
  <si>
    <r>
      <rPr>
        <sz val="12"/>
        <color rgb="FF000000"/>
        <rFont val="Calibri"/>
        <family val="2"/>
        <charset val="1"/>
      </rPr>
      <t xml:space="preserve">15 </t>
    </r>
    <r>
      <rPr>
        <sz val="12"/>
        <color rgb="FF000000"/>
        <rFont val="FreeSans"/>
        <family val="2"/>
      </rPr>
      <t xml:space="preserve">मिन</t>
    </r>
  </si>
  <si>
    <r>
      <rPr>
        <sz val="12"/>
        <color rgb="FF000000"/>
        <rFont val="Calibri"/>
        <family val="2"/>
        <charset val="1"/>
      </rPr>
      <t xml:space="preserve">0-5 </t>
    </r>
    <r>
      <rPr>
        <sz val="12"/>
        <color rgb="FF000000"/>
        <rFont val="FreeSans"/>
        <family val="2"/>
      </rPr>
      <t xml:space="preserve">बारानी</t>
    </r>
  </si>
  <si>
    <t xml:space="preserve">15-12</t>
  </si>
  <si>
    <r>
      <rPr>
        <sz val="12"/>
        <color rgb="FF000000"/>
        <rFont val="FreeSans"/>
        <family val="2"/>
      </rPr>
      <t xml:space="preserve">सालम </t>
    </r>
    <r>
      <rPr>
        <sz val="12"/>
        <color rgb="FF000000"/>
        <rFont val="Calibri"/>
        <family val="2"/>
        <charset val="1"/>
      </rPr>
      <t xml:space="preserve">2</t>
    </r>
  </si>
  <si>
    <r>
      <rPr>
        <sz val="12"/>
        <color rgb="FF000000"/>
        <rFont val="Calibri"/>
        <family val="2"/>
        <charset val="1"/>
      </rPr>
      <t xml:space="preserve">8-5 </t>
    </r>
    <r>
      <rPr>
        <sz val="12"/>
        <color rgb="FF000000"/>
        <rFont val="FreeSans"/>
        <family val="2"/>
      </rPr>
      <t xml:space="preserve">बारानी</t>
    </r>
  </si>
  <si>
    <t xml:space="preserve">केहर सिह</t>
  </si>
  <si>
    <r>
      <rPr>
        <sz val="12"/>
        <color rgb="FF000000"/>
        <rFont val="Calibri"/>
        <family val="2"/>
        <charset val="1"/>
      </rPr>
      <t xml:space="preserve">7-15 </t>
    </r>
    <r>
      <rPr>
        <sz val="12"/>
        <color rgb="FF000000"/>
        <rFont val="FreeSans"/>
        <family val="2"/>
      </rPr>
      <t xml:space="preserve">बारानी</t>
    </r>
  </si>
  <si>
    <t xml:space="preserve">69-5</t>
  </si>
  <si>
    <r>
      <rPr>
        <sz val="12"/>
        <color rgb="FF000000"/>
        <rFont val="FreeSans"/>
        <family val="2"/>
      </rPr>
      <t xml:space="preserve">सालम </t>
    </r>
    <r>
      <rPr>
        <sz val="12"/>
        <color rgb="FF000000"/>
        <rFont val="Calibri"/>
        <family val="2"/>
        <charset val="1"/>
      </rPr>
      <t xml:space="preserve">6</t>
    </r>
  </si>
  <si>
    <r>
      <rPr>
        <sz val="12"/>
        <color rgb="FF000000"/>
        <rFont val="FreeSans"/>
        <family val="2"/>
      </rPr>
      <t xml:space="preserve">मिन </t>
    </r>
    <r>
      <rPr>
        <sz val="12"/>
        <color rgb="FF000000"/>
        <rFont val="Calibri"/>
        <family val="2"/>
        <charset val="1"/>
      </rPr>
      <t xml:space="preserve">6</t>
    </r>
  </si>
  <si>
    <r>
      <rPr>
        <sz val="12"/>
        <color rgb="FF000000"/>
        <rFont val="Calibri"/>
        <family val="2"/>
        <charset val="1"/>
      </rPr>
      <t xml:space="preserve">29-18 </t>
    </r>
    <r>
      <rPr>
        <sz val="12"/>
        <color rgb="FF000000"/>
        <rFont val="FreeSans"/>
        <family val="2"/>
      </rPr>
      <t xml:space="preserve">बारानी</t>
    </r>
  </si>
  <si>
    <t xml:space="preserve">करतार कौर पत्नी</t>
  </si>
  <si>
    <r>
      <rPr>
        <sz val="12"/>
        <color rgb="FF000000"/>
        <rFont val="Calibri"/>
        <family val="2"/>
        <charset val="1"/>
      </rPr>
      <t xml:space="preserve">0-18 </t>
    </r>
    <r>
      <rPr>
        <sz val="12"/>
        <color rgb="FF000000"/>
        <rFont val="FreeSans"/>
        <family val="2"/>
      </rPr>
      <t xml:space="preserve">बारानी</t>
    </r>
  </si>
  <si>
    <t xml:space="preserve">79//</t>
  </si>
  <si>
    <r>
      <rPr>
        <sz val="12"/>
        <color rgb="FF000000"/>
        <rFont val="FreeSans"/>
        <family val="2"/>
      </rPr>
      <t xml:space="preserve">सिंह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FreeSans"/>
        <family val="2"/>
      </rPr>
      <t xml:space="preserve">केहर सिहं पुत्रान</t>
    </r>
  </si>
  <si>
    <r>
      <rPr>
        <sz val="12"/>
        <color rgb="FF000000"/>
        <rFont val="Calibri"/>
        <family val="2"/>
        <charset val="1"/>
      </rPr>
      <t xml:space="preserve">95/283 </t>
    </r>
    <r>
      <rPr>
        <sz val="12"/>
        <color rgb="FF000000"/>
        <rFont val="FreeSans"/>
        <family val="2"/>
      </rPr>
      <t xml:space="preserve">भाग</t>
    </r>
  </si>
  <si>
    <t xml:space="preserve">सुखदेव सिंह समभाग</t>
  </si>
  <si>
    <r>
      <rPr>
        <sz val="12"/>
        <color rgb="FF000000"/>
        <rFont val="FreeSans"/>
        <family val="2"/>
      </rPr>
      <t xml:space="preserve">शमशेर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</si>
  <si>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Calibri"/>
        <family val="2"/>
        <charset val="1"/>
      </rPr>
      <t xml:space="preserve">5-14 </t>
    </r>
    <r>
      <rPr>
        <sz val="12"/>
        <color rgb="FF000000"/>
        <rFont val="FreeSans"/>
        <family val="2"/>
      </rPr>
      <t xml:space="preserve">बारानी</t>
    </r>
  </si>
  <si>
    <t xml:space="preserve">78//24/2/1</t>
  </si>
  <si>
    <t xml:space="preserve">केहर सिंह पुत्रान</t>
  </si>
  <si>
    <r>
      <rPr>
        <sz val="12"/>
        <color rgb="FF000000"/>
        <rFont val="Calibri"/>
        <family val="2"/>
        <charset val="1"/>
      </rPr>
      <t xml:space="preserve">79//4-7/1 </t>
    </r>
    <r>
      <rPr>
        <sz val="12"/>
        <color rgb="FF000000"/>
        <rFont val="FreeSans"/>
        <family val="2"/>
      </rPr>
      <t xml:space="preserve">कुल </t>
    </r>
    <r>
      <rPr>
        <sz val="12"/>
        <color rgb="FF000000"/>
        <rFont val="Calibri"/>
        <family val="2"/>
        <charset val="1"/>
      </rPr>
      <t xml:space="preserve">14-3 </t>
    </r>
    <r>
      <rPr>
        <sz val="12"/>
        <color rgb="FF000000"/>
        <rFont val="FreeSans"/>
        <family val="2"/>
      </rPr>
      <t xml:space="preserve">का</t>
    </r>
  </si>
  <si>
    <t xml:space="preserve">14-3</t>
  </si>
  <si>
    <r>
      <rPr>
        <sz val="12"/>
        <color rgb="FF000000"/>
        <rFont val="Calibri"/>
        <family val="2"/>
        <charset val="1"/>
      </rPr>
      <t xml:space="preserve">28/283 </t>
    </r>
    <r>
      <rPr>
        <sz val="12"/>
        <color rgb="FF000000"/>
        <rFont val="FreeSans"/>
        <family val="2"/>
      </rPr>
      <t xml:space="preserve">भाग बकदर </t>
    </r>
    <r>
      <rPr>
        <sz val="12"/>
        <color rgb="FF000000"/>
        <rFont val="Calibri"/>
        <family val="2"/>
        <charset val="1"/>
      </rPr>
      <t xml:space="preserve">1-8</t>
    </r>
  </si>
  <si>
    <r>
      <rPr>
        <sz val="12"/>
        <color rgb="FF000000"/>
        <rFont val="FreeSans"/>
        <family val="2"/>
      </rPr>
      <t xml:space="preserve">मय रकबा </t>
    </r>
    <r>
      <rPr>
        <sz val="12"/>
        <color rgb="FF000000"/>
        <rFont val="Calibri"/>
        <family val="2"/>
        <charset val="1"/>
      </rPr>
      <t xml:space="preserve">78//15(7-7)</t>
    </r>
  </si>
  <si>
    <r>
      <rPr>
        <sz val="12"/>
        <color rgb="FF000000"/>
        <rFont val="Calibri"/>
        <family val="2"/>
        <charset val="1"/>
      </rPr>
      <t xml:space="preserve">28/283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</si>
  <si>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कुल </t>
    </r>
    <r>
      <rPr>
        <sz val="12"/>
        <color rgb="FF000000"/>
        <rFont val="Calibri"/>
        <family val="2"/>
        <charset val="1"/>
      </rPr>
      <t xml:space="preserve">8-15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</si>
  <si>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90000/- </t>
    </r>
    <r>
      <rPr>
        <sz val="12"/>
        <color rgb="FF000000"/>
        <rFont val="FreeSans"/>
        <family val="2"/>
      </rPr>
      <t xml:space="preserve">वाहक </t>
    </r>
    <r>
      <rPr>
        <sz val="12"/>
        <color rgb="FF000000"/>
        <rFont val="Calibri"/>
        <family val="2"/>
        <charset val="1"/>
      </rPr>
      <t xml:space="preserve">P.L.D.B.</t>
    </r>
  </si>
  <si>
    <t xml:space="preserve">कालांवाली आड़ रहन है</t>
  </si>
  <si>
    <r>
      <rPr>
        <sz val="12"/>
        <color rgb="FF000000"/>
        <rFont val="Calibri"/>
        <family val="2"/>
        <charset val="1"/>
      </rPr>
      <t xml:space="preserve">14-3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</si>
  <si>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2.</t>
    </r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288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</si>
  <si>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23-3-2004 </t>
    </r>
    <r>
      <rPr>
        <sz val="12"/>
        <color rgb="FF000000"/>
        <rFont val="FreeSans"/>
        <family val="2"/>
      </rPr>
      <t xml:space="preserve">मिनजानब</t>
    </r>
  </si>
  <si>
    <t xml:space="preserve">करतार कौर पत्नी सुखदेव</t>
  </si>
  <si>
    <r>
      <rPr>
        <sz val="12"/>
        <color rgb="FF000000"/>
        <rFont val="Calibri"/>
        <family val="2"/>
        <charset val="1"/>
      </rPr>
      <t xml:space="preserve">160/283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</si>
  <si>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सिंह सालम खेवट </t>
    </r>
    <r>
      <rPr>
        <sz val="12"/>
        <color rgb="FF000000"/>
        <rFont val="Calibri"/>
        <family val="2"/>
        <charset val="1"/>
      </rPr>
      <t xml:space="preserve">14-3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</si>
  <si>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95/283</t>
    </r>
    <r>
      <rPr>
        <sz val="12"/>
        <color rgb="FF000000"/>
        <rFont val="FreeSans"/>
        <family val="2"/>
      </rPr>
      <t xml:space="preserve">भाग बकदर </t>
    </r>
    <r>
      <rPr>
        <sz val="12"/>
        <color rgb="FF000000"/>
        <rFont val="Calibri"/>
        <family val="2"/>
        <charset val="1"/>
      </rPr>
      <t xml:space="preserve">4-15</t>
    </r>
  </si>
  <si>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 26000/-</t>
    </r>
  </si>
  <si>
    <r>
      <rPr>
        <sz val="12"/>
        <color rgb="FF000000"/>
        <rFont val="FreeSans"/>
        <family val="2"/>
      </rPr>
      <t xml:space="preserve">मे वाहक </t>
    </r>
    <r>
      <rPr>
        <sz val="12"/>
        <color rgb="FF000000"/>
        <rFont val="Calibri"/>
        <family val="2"/>
        <charset val="1"/>
      </rPr>
      <t xml:space="preserve">P.L.D.B.</t>
    </r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</si>
  <si>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1837 </t>
    </r>
    <r>
      <rPr>
        <sz val="12"/>
        <color rgb="FF000000"/>
        <rFont val="FreeSans"/>
        <family val="2"/>
      </rPr>
      <t xml:space="preserve">ति</t>
    </r>
  </si>
  <si>
    <r>
      <rPr>
        <sz val="12"/>
        <color rgb="FF000000"/>
        <rFont val="Calibri"/>
        <family val="2"/>
        <charset val="1"/>
      </rPr>
      <t xml:space="preserve">29-1-2010 </t>
    </r>
    <r>
      <rPr>
        <sz val="12"/>
        <color rgb="FF000000"/>
        <rFont val="FreeSans"/>
        <family val="2"/>
      </rPr>
      <t xml:space="preserve">जो रकबा रपट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</si>
  <si>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 288 </t>
    </r>
    <r>
      <rPr>
        <sz val="12"/>
        <color rgb="FF000000"/>
        <rFont val="FreeSans"/>
        <family val="2"/>
      </rPr>
      <t xml:space="preserve">ति </t>
    </r>
    <r>
      <rPr>
        <sz val="12"/>
        <color rgb="FF000000"/>
        <rFont val="Calibri"/>
        <family val="2"/>
        <charset val="1"/>
      </rPr>
      <t xml:space="preserve">23-3-04</t>
    </r>
  </si>
  <si>
    <t xml:space="preserve">पर जो रकबा आड़</t>
  </si>
  <si>
    <t xml:space="preserve">रहन था अब फक किया</t>
  </si>
  <si>
    <t xml:space="preserve">जाता है।</t>
  </si>
  <si>
    <t xml:space="preserve">TSC Rapat N. 1817</t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</si>
  <si>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28-12-2010</t>
    </r>
  </si>
  <si>
    <r>
      <rPr>
        <sz val="12"/>
        <color rgb="FF000000"/>
        <rFont val="FreeSans"/>
        <family val="2"/>
      </rPr>
      <t xml:space="preserve">शमशेर सिह </t>
    </r>
    <r>
      <rPr>
        <sz val="12"/>
        <color rgb="FF000000"/>
        <rFont val="Calibri"/>
        <family val="2"/>
        <charset val="1"/>
      </rPr>
      <t xml:space="preserve">- </t>
    </r>
    <r>
      <rPr>
        <sz val="12"/>
        <color rgb="FF000000"/>
        <rFont val="FreeSans"/>
        <family val="2"/>
      </rPr>
      <t xml:space="preserve">केहर सिहं</t>
    </r>
  </si>
  <si>
    <r>
      <rPr>
        <sz val="12"/>
        <color rgb="FF000000"/>
        <rFont val="FreeSans"/>
        <family val="2"/>
      </rPr>
      <t xml:space="preserve">का जो रकबा रपट 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</si>
  <si>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437 </t>
    </r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30-07-2003</t>
    </r>
  </si>
  <si>
    <t xml:space="preserve">पर बाहक</t>
  </si>
  <si>
    <t xml:space="preserve">PARDB Kalanwali</t>
  </si>
  <si>
    <t xml:space="preserve">में आड रहन था</t>
  </si>
  <si>
    <t xml:space="preserve">अब फक हो</t>
  </si>
  <si>
    <t xml:space="preserve">चुका है ।</t>
  </si>
  <si>
    <t xml:space="preserve">सरजीत सिंह पुत्र</t>
  </si>
  <si>
    <r>
      <rPr>
        <sz val="12"/>
        <color rgb="FF000000"/>
        <rFont val="Calibri"/>
        <family val="2"/>
        <charset val="1"/>
      </rPr>
      <t xml:space="preserve">2-9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</si>
  <si>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321 </t>
    </r>
    <r>
      <rPr>
        <sz val="12"/>
        <color rgb="FF000000"/>
        <rFont val="FreeSans"/>
        <family val="2"/>
      </rPr>
      <t xml:space="preserve">मिन</t>
    </r>
  </si>
  <si>
    <t xml:space="preserve">141//</t>
  </si>
  <si>
    <r>
      <rPr>
        <sz val="12"/>
        <color rgb="FF000000"/>
        <rFont val="Calibri"/>
        <family val="2"/>
        <charset val="1"/>
      </rPr>
      <t xml:space="preserve">1/4 </t>
    </r>
    <r>
      <rPr>
        <sz val="12"/>
        <color rgb="FF000000"/>
        <rFont val="FreeSans"/>
        <family val="2"/>
      </rPr>
      <t xml:space="preserve">भाग</t>
    </r>
  </si>
  <si>
    <t xml:space="preserve">सरजीत कौर पत्नी व</t>
  </si>
  <si>
    <t xml:space="preserve">अवतार सिंह पुत्र</t>
  </si>
  <si>
    <t xml:space="preserve">142//</t>
  </si>
  <si>
    <t xml:space="preserve">30-14</t>
  </si>
  <si>
    <t xml:space="preserve">दर्शना देवी ऊर्फ</t>
  </si>
  <si>
    <t xml:space="preserve">दर्शना कौर पत्नी</t>
  </si>
  <si>
    <r>
      <rPr>
        <sz val="12"/>
        <color rgb="FF000000"/>
        <rFont val="Calibri"/>
        <family val="2"/>
        <charset val="1"/>
      </rPr>
      <t xml:space="preserve">28-5 </t>
    </r>
    <r>
      <rPr>
        <sz val="12"/>
        <color rgb="FF000000"/>
        <rFont val="FreeSans"/>
        <family val="2"/>
      </rPr>
      <t xml:space="preserve">नहरी</t>
    </r>
  </si>
  <si>
    <t xml:space="preserve">114//</t>
  </si>
  <si>
    <r>
      <rPr>
        <sz val="12"/>
        <color rgb="FF000000"/>
        <rFont val="Calibri"/>
        <family val="2"/>
        <charset val="1"/>
      </rPr>
      <t xml:space="preserve">3-0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</si>
  <si>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बरूए</t>
    </r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1556</t>
    </r>
  </si>
  <si>
    <t xml:space="preserve">मनोज कुमार पुत्र</t>
  </si>
  <si>
    <t xml:space="preserve">सँजय कुमार पुत्र</t>
  </si>
  <si>
    <t xml:space="preserve">18-7</t>
  </si>
  <si>
    <t xml:space="preserve">संसार चन्द ने खेवट</t>
  </si>
  <si>
    <t xml:space="preserve">सँसार चन्द पुत्र</t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</si>
  <si>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 353</t>
    </r>
    <r>
      <rPr>
        <sz val="12"/>
        <color rgb="FF000000"/>
        <rFont val="FreeSans"/>
        <family val="2"/>
      </rPr>
      <t xml:space="preserve">वखे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.357 </t>
    </r>
    <r>
      <rPr>
        <sz val="12"/>
        <color rgb="FF000000"/>
        <rFont val="FreeSans"/>
        <family val="2"/>
      </rPr>
      <t xml:space="preserve">का</t>
    </r>
  </si>
  <si>
    <t xml:space="preserve">किशोरी लाल</t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</si>
  <si>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</si>
  <si>
    <t xml:space="preserve">78//13/2/1,78//2-3-8</t>
  </si>
  <si>
    <t xml:space="preserve">वासी कालाँवाली</t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</si>
  <si>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5-13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</si>
  <si>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18-7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</si>
  <si>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69/367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</si>
  <si>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160/1101 </t>
    </r>
    <r>
      <rPr>
        <sz val="12"/>
        <color rgb="FF000000"/>
        <rFont val="FreeSans"/>
        <family val="2"/>
      </rPr>
      <t xml:space="preserve">भाग</t>
    </r>
  </si>
  <si>
    <t xml:space="preserve">वासी कालावाली</t>
  </si>
  <si>
    <t xml:space="preserve">जसबीर सिंह पुत्र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</si>
  <si>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.17</t>
    </r>
  </si>
  <si>
    <r>
      <rPr>
        <sz val="12"/>
        <color rgb="FF000000"/>
        <rFont val="Calibri"/>
        <family val="2"/>
        <charset val="1"/>
      </rPr>
      <t xml:space="preserve">1-9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</si>
  <si>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7-8-07 </t>
    </r>
    <r>
      <rPr>
        <sz val="12"/>
        <color rgb="FF000000"/>
        <rFont val="FreeSans"/>
        <family val="2"/>
      </rPr>
      <t xml:space="preserve">के अनुसार</t>
    </r>
  </si>
  <si>
    <r>
      <rPr>
        <sz val="12"/>
        <color rgb="FF000000"/>
        <rFont val="Calibri"/>
        <family val="2"/>
        <charset val="1"/>
      </rPr>
      <t xml:space="preserve">331 </t>
    </r>
    <r>
      <rPr>
        <sz val="12"/>
        <color rgb="FF000000"/>
        <rFont val="FreeSans"/>
        <family val="2"/>
      </rPr>
      <t xml:space="preserve">मिन</t>
    </r>
  </si>
  <si>
    <t xml:space="preserve">मिनजानिबबलविन्दर सिह</t>
  </si>
  <si>
    <r>
      <rPr>
        <sz val="12"/>
        <color rgb="FF000000"/>
        <rFont val="Calibri"/>
        <family val="2"/>
        <charset val="1"/>
      </rPr>
      <t xml:space="preserve">2-18 </t>
    </r>
    <r>
      <rPr>
        <sz val="12"/>
        <color rgb="FF000000"/>
        <rFont val="FreeSans"/>
        <family val="2"/>
      </rPr>
      <t xml:space="preserve">चाही</t>
    </r>
  </si>
  <si>
    <t xml:space="preserve">उर्फबलजिन्दर सिह</t>
  </si>
  <si>
    <r>
      <rPr>
        <sz val="12"/>
        <color rgb="FF000000"/>
        <rFont val="Calibri"/>
        <family val="2"/>
        <charset val="1"/>
      </rPr>
      <t xml:space="preserve">2-1 </t>
    </r>
    <r>
      <rPr>
        <sz val="12"/>
        <color rgb="FF000000"/>
        <rFont val="FreeSans"/>
        <family val="2"/>
      </rPr>
      <t xml:space="preserve">नहरी</t>
    </r>
  </si>
  <si>
    <t xml:space="preserve">पुत्र सतपालसिह पुत्र</t>
  </si>
  <si>
    <r>
      <rPr>
        <sz val="12"/>
        <color rgb="FF000000"/>
        <rFont val="Calibri"/>
        <family val="2"/>
        <charset val="1"/>
      </rPr>
      <t xml:space="preserve">6-18 </t>
    </r>
    <r>
      <rPr>
        <sz val="12"/>
        <color rgb="FF000000"/>
        <rFont val="FreeSans"/>
        <family val="2"/>
      </rPr>
      <t xml:space="preserve">नहरी</t>
    </r>
  </si>
  <si>
    <t xml:space="preserve">गुरबचन सिहहिस्सेदार</t>
  </si>
  <si>
    <t xml:space="preserve">115//</t>
  </si>
  <si>
    <r>
      <rPr>
        <sz val="12"/>
        <color rgb="FF000000"/>
        <rFont val="FreeSans"/>
        <family val="2"/>
      </rPr>
      <t xml:space="preserve">का रकवाखे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 201</t>
    </r>
  </si>
  <si>
    <r>
      <rPr>
        <sz val="12"/>
        <color rgb="FF000000"/>
        <rFont val="Calibri"/>
        <family val="2"/>
        <charset val="1"/>
      </rPr>
      <t xml:space="preserve">7-2 </t>
    </r>
    <r>
      <rPr>
        <sz val="12"/>
        <color rgb="FF000000"/>
        <rFont val="FreeSans"/>
        <family val="2"/>
      </rPr>
      <t xml:space="preserve">नहरी</t>
    </r>
  </si>
  <si>
    <t xml:space="preserve">97//21/1-21/2-22,107</t>
  </si>
  <si>
    <r>
      <rPr>
        <sz val="12"/>
        <color rgb="FF000000"/>
        <rFont val="Calibri"/>
        <family val="2"/>
        <charset val="1"/>
      </rPr>
      <t xml:space="preserve">7-19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</si>
  <si>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//1/2-2, </t>
    </r>
    <r>
      <rPr>
        <sz val="12"/>
        <color rgb="FF000000"/>
        <rFont val="FreeSans"/>
        <family val="2"/>
      </rPr>
      <t xml:space="preserve">कुल </t>
    </r>
    <r>
      <rPr>
        <sz val="12"/>
        <color rgb="FF000000"/>
        <rFont val="Calibri"/>
        <family val="2"/>
        <charset val="1"/>
      </rPr>
      <t xml:space="preserve">25-9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</si>
  <si>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4-11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</si>
  <si>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2/3 </t>
    </r>
    <r>
      <rPr>
        <sz val="12"/>
        <color rgb="FF000000"/>
        <rFont val="FreeSans"/>
        <family val="2"/>
      </rPr>
      <t xml:space="preserve">भाग </t>
    </r>
    <r>
      <rPr>
        <sz val="12"/>
        <color rgb="FF000000"/>
        <rFont val="Calibri"/>
        <family val="2"/>
        <charset val="1"/>
      </rPr>
      <t xml:space="preserve">16-19 </t>
    </r>
    <r>
      <rPr>
        <sz val="12"/>
        <color rgb="FF000000"/>
        <rFont val="FreeSans"/>
        <family val="2"/>
      </rPr>
      <t xml:space="preserve">वखेवट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</si>
  <si>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 331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</si>
  <si>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7-14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</si>
  <si>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.114//11-12-13/1-</t>
    </r>
  </si>
  <si>
    <t xml:space="preserve">19-20,115//16-17-18/</t>
  </si>
  <si>
    <r>
      <rPr>
        <sz val="12"/>
        <color rgb="FF000000"/>
        <rFont val="Calibri"/>
        <family val="2"/>
        <charset val="1"/>
      </rPr>
      <t xml:space="preserve">3-5 </t>
    </r>
    <r>
      <rPr>
        <sz val="12"/>
        <color rgb="FF000000"/>
        <rFont val="FreeSans"/>
        <family val="2"/>
      </rPr>
      <t xml:space="preserve">चाही</t>
    </r>
  </si>
  <si>
    <t xml:space="preserve">1-23/2-24-25,</t>
  </si>
  <si>
    <r>
      <rPr>
        <sz val="12"/>
        <color rgb="FF000000"/>
        <rFont val="Calibri"/>
        <family val="2"/>
        <charset val="1"/>
      </rPr>
      <t xml:space="preserve">4-0 </t>
    </r>
    <r>
      <rPr>
        <sz val="12"/>
        <color rgb="FF000000"/>
        <rFont val="FreeSans"/>
        <family val="2"/>
      </rPr>
      <t xml:space="preserve">चाही</t>
    </r>
  </si>
  <si>
    <t xml:space="preserve">129//6-7/1-7/2-8-9-2</t>
  </si>
  <si>
    <r>
      <rPr>
        <sz val="12"/>
        <color rgb="FF000000"/>
        <rFont val="Calibri"/>
        <family val="2"/>
        <charset val="1"/>
      </rPr>
      <t xml:space="preserve">1-16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</si>
  <si>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Calibri"/>
        <family val="2"/>
        <charset val="1"/>
      </rPr>
      <t xml:space="preserve">5</t>
    </r>
    <r>
      <rPr>
        <sz val="12"/>
        <color rgb="FF000000"/>
        <rFont val="FreeSans"/>
        <family val="2"/>
      </rPr>
      <t xml:space="preserve">कुल रकवा </t>
    </r>
    <r>
      <rPr>
        <sz val="12"/>
        <color rgb="FF000000"/>
        <rFont val="Calibri"/>
        <family val="2"/>
        <charset val="1"/>
      </rPr>
      <t xml:space="preserve">72-9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</si>
  <si>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7-8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</si>
  <si>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Calibri"/>
        <family val="2"/>
        <charset val="1"/>
      </rPr>
      <t xml:space="preserve">1/3 </t>
    </r>
    <r>
      <rPr>
        <sz val="12"/>
        <color rgb="FF000000"/>
        <rFont val="FreeSans"/>
        <family val="2"/>
      </rPr>
      <t xml:space="preserve">भाग</t>
    </r>
    <r>
      <rPr>
        <sz val="12"/>
        <color rgb="FF000000"/>
        <rFont val="Calibri"/>
        <family val="2"/>
        <charset val="1"/>
      </rPr>
      <t xml:space="preserve">24-3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</si>
  <si>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200000/-</t>
    </r>
    <r>
      <rPr>
        <sz val="12"/>
        <color rgb="FF000000"/>
        <rFont val="FreeSans"/>
        <family val="2"/>
      </rPr>
      <t xml:space="preserve">बाहक </t>
    </r>
    <r>
      <rPr>
        <sz val="12"/>
        <color rgb="FF000000"/>
        <rFont val="Calibri"/>
        <family val="2"/>
        <charset val="1"/>
      </rPr>
      <t xml:space="preserve">PNB</t>
    </r>
  </si>
  <si>
    <r>
      <rPr>
        <sz val="12"/>
        <color rgb="FF000000"/>
        <rFont val="Calibri"/>
        <family val="2"/>
        <charset val="1"/>
      </rPr>
      <t xml:space="preserve">0-19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</si>
  <si>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कालावाली आड़रहन है।</t>
  </si>
  <si>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40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</si>
  <si>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2-10-2003 </t>
    </r>
    <r>
      <rPr>
        <sz val="12"/>
        <color rgb="FF000000"/>
        <rFont val="FreeSans"/>
        <family val="2"/>
      </rPr>
      <t xml:space="preserve">मिन जानिब</t>
    </r>
  </si>
  <si>
    <t xml:space="preserve">संजय कुमार पुत्र संसार</t>
  </si>
  <si>
    <r>
      <rPr>
        <sz val="12"/>
        <color rgb="FF000000"/>
        <rFont val="FreeSans"/>
        <family val="2"/>
      </rPr>
      <t xml:space="preserve">चन्द </t>
    </r>
    <r>
      <rPr>
        <sz val="12"/>
        <color rgb="FF000000"/>
        <rFont val="Calibri"/>
        <family val="2"/>
        <charset val="1"/>
      </rPr>
      <t xml:space="preserve">RO </t>
    </r>
    <r>
      <rPr>
        <sz val="12"/>
        <color rgb="FF000000"/>
        <rFont val="FreeSans"/>
        <family val="2"/>
      </rPr>
      <t xml:space="preserve">कालावाली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</si>
  <si>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17</t>
    </r>
  </si>
  <si>
    <t xml:space="preserve">69-19</t>
  </si>
  <si>
    <r>
      <rPr>
        <sz val="12"/>
        <color rgb="FF000000"/>
        <rFont val="Calibri"/>
        <family val="2"/>
        <charset val="1"/>
      </rPr>
      <t xml:space="preserve">78//2-3-8, 18-7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</si>
  <si>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1/3 </t>
    </r>
    <r>
      <rPr>
        <sz val="12"/>
        <color rgb="FF000000"/>
        <rFont val="FreeSans"/>
        <family val="2"/>
      </rPr>
      <t xml:space="preserve">भाग बकदर</t>
    </r>
  </si>
  <si>
    <r>
      <rPr>
        <sz val="12"/>
        <color rgb="FF000000"/>
        <rFont val="Calibri"/>
        <family val="2"/>
        <charset val="1"/>
      </rPr>
      <t xml:space="preserve">6-2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</si>
  <si>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68-17</t>
  </si>
  <si>
    <r>
      <rPr>
        <sz val="12"/>
        <color rgb="FF000000"/>
        <rFont val="Calibri"/>
        <family val="2"/>
        <charset val="1"/>
      </rPr>
      <t xml:space="preserve">200000/- 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बाहक</t>
    </r>
  </si>
  <si>
    <r>
      <rPr>
        <sz val="12"/>
        <color rgb="FF000000"/>
        <rFont val="Calibri"/>
        <family val="2"/>
        <charset val="1"/>
      </rPr>
      <t xml:space="preserve">OBC </t>
    </r>
    <r>
      <rPr>
        <sz val="12"/>
        <color rgb="FF000000"/>
        <rFont val="FreeSans"/>
        <family val="2"/>
      </rPr>
      <t xml:space="preserve">कालावाली आड रहन है</t>
    </r>
  </si>
  <si>
    <r>
      <rPr>
        <sz val="12"/>
        <color rgb="FF000000"/>
        <rFont val="Calibri"/>
        <family val="2"/>
        <charset val="1"/>
      </rPr>
      <t xml:space="preserve">29-19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</si>
  <si>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Calibri"/>
        <family val="2"/>
        <charset val="1"/>
      </rPr>
      <t xml:space="preserve">1-2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</si>
  <si>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38-18 </t>
    </r>
    <r>
      <rPr>
        <sz val="12"/>
        <color rgb="FF000000"/>
        <rFont val="FreeSans"/>
        <family val="2"/>
      </rPr>
      <t xml:space="preserve">नहरी</t>
    </r>
  </si>
  <si>
    <t xml:space="preserve">जसवीर सिहं</t>
  </si>
  <si>
    <r>
      <rPr>
        <sz val="12"/>
        <color rgb="FF000000"/>
        <rFont val="Calibri"/>
        <family val="2"/>
        <charset val="1"/>
      </rPr>
      <t xml:space="preserve">7-8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</si>
  <si>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Calibri"/>
        <family val="2"/>
        <charset val="1"/>
      </rPr>
      <t xml:space="preserve">6-0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</si>
  <si>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Calibri"/>
        <family val="2"/>
        <charset val="1"/>
      </rPr>
      <t xml:space="preserve">1-8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</si>
  <si>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मकान</t>
  </si>
  <si>
    <t xml:space="preserve">38-16</t>
  </si>
  <si>
    <t xml:space="preserve">37-8</t>
  </si>
  <si>
    <r>
      <rPr>
        <sz val="12"/>
        <color rgb="FF000000"/>
        <rFont val="Calibri"/>
        <family val="2"/>
        <charset val="1"/>
      </rPr>
      <t xml:space="preserve">21-8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</si>
  <si>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Calibri"/>
        <family val="2"/>
        <charset val="1"/>
      </rPr>
      <t xml:space="preserve">1-8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</si>
  <si>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23</t>
    </r>
  </si>
  <si>
    <t xml:space="preserve">108-15</t>
  </si>
  <si>
    <t xml:space="preserve">106-5</t>
  </si>
  <si>
    <r>
      <rPr>
        <sz val="12"/>
        <color rgb="FF000000"/>
        <rFont val="Calibri"/>
        <family val="2"/>
        <charset val="1"/>
      </rPr>
      <t xml:space="preserve">51-7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</si>
  <si>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Calibri"/>
        <family val="2"/>
        <charset val="1"/>
      </rPr>
      <t xml:space="preserve">2-10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</si>
  <si>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54-18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</si>
  <si>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बरूए रजि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</si>
  <si>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1030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7-8-07 </t>
    </r>
    <r>
      <rPr>
        <sz val="12"/>
        <color rgb="FF000000"/>
        <rFont val="FreeSans"/>
        <family val="2"/>
      </rPr>
      <t xml:space="preserve">के</t>
    </r>
  </si>
  <si>
    <r>
      <rPr>
        <sz val="12"/>
        <color rgb="FF000000"/>
        <rFont val="Calibri"/>
        <family val="2"/>
        <charset val="1"/>
      </rPr>
      <t xml:space="preserve">2-8 </t>
    </r>
    <r>
      <rPr>
        <sz val="12"/>
        <color rgb="FF000000"/>
        <rFont val="FreeSans"/>
        <family val="2"/>
      </rPr>
      <t xml:space="preserve">नहरी</t>
    </r>
  </si>
  <si>
    <t xml:space="preserve">अनुसारमिनजानिबबलविन्</t>
  </si>
  <si>
    <t xml:space="preserve">दर सिहउर्फबलजिन्दर</t>
  </si>
  <si>
    <t xml:space="preserve">3-12</t>
  </si>
  <si>
    <t xml:space="preserve">सिहपुत्र सतपालसिह</t>
  </si>
  <si>
    <t xml:space="preserve">पुत्रगुरबचन</t>
  </si>
  <si>
    <t xml:space="preserve">सिहहिस्सेदारका</t>
  </si>
  <si>
    <r>
      <rPr>
        <sz val="12"/>
        <color rgb="FF000000"/>
        <rFont val="FreeSans"/>
        <family val="2"/>
      </rPr>
      <t xml:space="preserve">रकवाखे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</si>
  <si>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201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.97//21/1-21/2</t>
    </r>
  </si>
  <si>
    <r>
      <rPr>
        <sz val="12"/>
        <color rgb="FF000000"/>
        <rFont val="Calibri"/>
        <family val="2"/>
        <charset val="1"/>
      </rPr>
      <t xml:space="preserve">-22,107//1/2-2,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</si>
  <si>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Calibri"/>
        <family val="2"/>
        <charset val="1"/>
      </rPr>
      <t xml:space="preserve">25-9</t>
    </r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2/3 </t>
    </r>
    <r>
      <rPr>
        <sz val="12"/>
        <color rgb="FF000000"/>
        <rFont val="FreeSans"/>
        <family val="2"/>
      </rPr>
      <t xml:space="preserve">भाग </t>
    </r>
    <r>
      <rPr>
        <sz val="12"/>
        <color rgb="FF000000"/>
        <rFont val="Calibri"/>
        <family val="2"/>
        <charset val="1"/>
      </rPr>
      <t xml:space="preserve">16-19</t>
    </r>
  </si>
  <si>
    <r>
      <rPr>
        <sz val="12"/>
        <color rgb="FF000000"/>
        <rFont val="Calibri"/>
        <family val="2"/>
        <charset val="1"/>
      </rPr>
      <t xml:space="preserve">1/18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</si>
  <si>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वखेवटन</t>
    </r>
    <r>
      <rPr>
        <sz val="12"/>
        <color rgb="FF000000"/>
        <rFont val="Calibri"/>
        <family val="2"/>
        <charset val="1"/>
      </rPr>
      <t xml:space="preserve">. 331</t>
    </r>
  </si>
  <si>
    <r>
      <rPr>
        <sz val="12"/>
        <color rgb="FF000000"/>
        <rFont val="FreeSans"/>
        <family val="2"/>
      </rPr>
      <t xml:space="preserve">काख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.114//11-12-13/</t>
    </r>
  </si>
  <si>
    <t xml:space="preserve">प्रेम सिंह पुत्र</t>
  </si>
  <si>
    <t xml:space="preserve">1-19-20,115//16-17-1</t>
  </si>
  <si>
    <t xml:space="preserve">जोधा सिंह</t>
  </si>
  <si>
    <t xml:space="preserve">8/1-23/2-24-25,129//</t>
  </si>
  <si>
    <r>
      <rPr>
        <sz val="12"/>
        <color rgb="FF000000"/>
        <rFont val="Calibri"/>
        <family val="2"/>
        <charset val="1"/>
      </rPr>
      <t xml:space="preserve">5/72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</si>
  <si>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6-7/1-7/2-8-9-25</t>
    </r>
    <r>
      <rPr>
        <sz val="12"/>
        <color rgb="FF000000"/>
        <rFont val="FreeSans"/>
        <family val="2"/>
      </rPr>
      <t xml:space="preserve">कुल</t>
    </r>
  </si>
  <si>
    <t xml:space="preserve">रोशन चन्द पुत्र</t>
  </si>
  <si>
    <r>
      <rPr>
        <sz val="12"/>
        <color rgb="FF000000"/>
        <rFont val="FreeSans"/>
        <family val="2"/>
      </rPr>
      <t xml:space="preserve">रकवा </t>
    </r>
    <r>
      <rPr>
        <sz val="12"/>
        <color rgb="FF000000"/>
        <rFont val="Calibri"/>
        <family val="2"/>
        <charset val="1"/>
      </rPr>
      <t xml:space="preserve">72-9 </t>
    </r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1/3</t>
    </r>
  </si>
  <si>
    <t xml:space="preserve">हरचन्द सिंह पुत्र</t>
  </si>
  <si>
    <r>
      <rPr>
        <sz val="12"/>
        <color rgb="FF000000"/>
        <rFont val="FreeSans"/>
        <family val="2"/>
      </rPr>
      <t xml:space="preserve">भाग</t>
    </r>
    <r>
      <rPr>
        <sz val="12"/>
        <color rgb="FF000000"/>
        <rFont val="Calibri"/>
        <family val="2"/>
        <charset val="1"/>
      </rPr>
      <t xml:space="preserve">24-3 </t>
    </r>
    <r>
      <rPr>
        <sz val="12"/>
        <color rgb="FF000000"/>
        <rFont val="FreeSans"/>
        <family val="2"/>
      </rPr>
      <t xml:space="preserve">बदले</t>
    </r>
  </si>
  <si>
    <t xml:space="preserve">चनन सिंह</t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</si>
  <si>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.200000/-</t>
    </r>
    <r>
      <rPr>
        <sz val="12"/>
        <color rgb="FF000000"/>
        <rFont val="FreeSans"/>
        <family val="2"/>
      </rPr>
      <t xml:space="preserve">बाहक</t>
    </r>
  </si>
  <si>
    <r>
      <rPr>
        <sz val="12"/>
        <color rgb="FF000000"/>
        <rFont val="Calibri"/>
        <family val="2"/>
        <charset val="1"/>
      </rPr>
      <t xml:space="preserve">PNB</t>
    </r>
    <r>
      <rPr>
        <sz val="12"/>
        <color rgb="FF000000"/>
        <rFont val="FreeSans"/>
        <family val="2"/>
      </rPr>
      <t xml:space="preserve">कालावाली आड़रहन</t>
    </r>
  </si>
  <si>
    <t xml:space="preserve">गुरदीप सिंह पुत्र</t>
  </si>
  <si>
    <t xml:space="preserve">है।</t>
  </si>
  <si>
    <t xml:space="preserve">चनन सिंह पुत्र</t>
  </si>
  <si>
    <t xml:space="preserve">हरनाम सिंह</t>
  </si>
  <si>
    <t xml:space="preserve">देवेन्द्र सिंह पुत्र</t>
  </si>
  <si>
    <t xml:space="preserve">गुरदियाल सिंह पुत्र</t>
  </si>
  <si>
    <t xml:space="preserve">प्रताप सिंह</t>
  </si>
  <si>
    <t xml:space="preserve">वासी सुखचैन</t>
  </si>
  <si>
    <t xml:space="preserve">जसवीर सिहं पुत्र</t>
  </si>
  <si>
    <r>
      <rPr>
        <sz val="12"/>
        <color rgb="FF000000"/>
        <rFont val="Calibri"/>
        <family val="2"/>
        <charset val="1"/>
      </rPr>
      <t xml:space="preserve">2-11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</si>
  <si>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Calibri"/>
        <family val="2"/>
        <charset val="1"/>
      </rPr>
      <t xml:space="preserve">332 </t>
    </r>
    <r>
      <rPr>
        <sz val="12"/>
        <color rgb="FF000000"/>
        <rFont val="FreeSans"/>
        <family val="2"/>
      </rPr>
      <t xml:space="preserve">मिन</t>
    </r>
  </si>
  <si>
    <r>
      <rPr>
        <sz val="12"/>
        <color rgb="FF000000"/>
        <rFont val="Calibri"/>
        <family val="2"/>
        <charset val="1"/>
      </rPr>
      <t xml:space="preserve">8-14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</si>
  <si>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5-8 </t>
    </r>
    <r>
      <rPr>
        <sz val="12"/>
        <color rgb="FF000000"/>
        <rFont val="FreeSans"/>
        <family val="2"/>
      </rPr>
      <t xml:space="preserve">बारानी</t>
    </r>
  </si>
  <si>
    <t xml:space="preserve">16-13</t>
  </si>
  <si>
    <t xml:space="preserve">16-11</t>
  </si>
  <si>
    <r>
      <rPr>
        <sz val="12"/>
        <color rgb="FF000000"/>
        <rFont val="Calibri"/>
        <family val="2"/>
        <charset val="1"/>
      </rPr>
      <t xml:space="preserve">7-17 </t>
    </r>
    <r>
      <rPr>
        <sz val="12"/>
        <color rgb="FF000000"/>
        <rFont val="FreeSans"/>
        <family val="2"/>
      </rPr>
      <t xml:space="preserve">बारानी</t>
    </r>
  </si>
  <si>
    <t xml:space="preserve">44//</t>
  </si>
  <si>
    <r>
      <rPr>
        <sz val="12"/>
        <color rgb="FF000000"/>
        <rFont val="FreeSans"/>
        <family val="2"/>
      </rPr>
      <t xml:space="preserve">बरूए</t>
    </r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 1510</t>
    </r>
  </si>
  <si>
    <r>
      <rPr>
        <sz val="12"/>
        <color rgb="FF000000"/>
        <rFont val="FreeSans"/>
        <family val="2"/>
      </rPr>
      <t xml:space="preserve">तिथी </t>
    </r>
    <r>
      <rPr>
        <sz val="12"/>
        <color rgb="FF000000"/>
        <rFont val="Calibri"/>
        <family val="2"/>
        <charset val="1"/>
      </rPr>
      <t xml:space="preserve">29/10/2010 </t>
    </r>
    <r>
      <rPr>
        <sz val="12"/>
        <color rgb="FF000000"/>
        <rFont val="FreeSans"/>
        <family val="2"/>
      </rPr>
      <t xml:space="preserve">के</t>
    </r>
  </si>
  <si>
    <r>
      <rPr>
        <sz val="12"/>
        <color rgb="FF000000"/>
        <rFont val="FreeSans"/>
        <family val="2"/>
      </rPr>
      <t xml:space="preserve">अवतार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</si>
  <si>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राम सिह पुत्र सुरजीत</t>
  </si>
  <si>
    <t xml:space="preserve">राम सिंह पुत्रान</t>
  </si>
  <si>
    <t xml:space="preserve">14-0</t>
  </si>
  <si>
    <t xml:space="preserve">सिह का रक्बा खेवट</t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</si>
  <si>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.358/745</t>
    </r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</si>
  <si>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.44//4/1-7/2-9</t>
    </r>
    <r>
      <rPr>
        <sz val="12"/>
        <color rgb="FF000000"/>
        <rFont val="FreeSans"/>
        <family val="2"/>
      </rPr>
      <t xml:space="preserve">रक्बा</t>
    </r>
  </si>
  <si>
    <r>
      <rPr>
        <sz val="12"/>
        <color rgb="FF000000"/>
        <rFont val="Calibri"/>
        <family val="2"/>
        <charset val="1"/>
      </rPr>
      <t xml:space="preserve">14-0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1/4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</si>
  <si>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बकदर </t>
    </r>
    <r>
      <rPr>
        <sz val="12"/>
        <color rgb="FF000000"/>
        <rFont val="Calibri"/>
        <family val="2"/>
        <charset val="1"/>
      </rPr>
      <t xml:space="preserve">3-10 </t>
    </r>
    <r>
      <rPr>
        <sz val="12"/>
        <color rgb="FF000000"/>
        <rFont val="FreeSans"/>
        <family val="2"/>
      </rPr>
      <t xml:space="preserve">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</si>
  <si>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.359/748</t>
    </r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</si>
  <si>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.44//10</t>
    </r>
    <r>
      <rPr>
        <sz val="12"/>
        <color rgb="FF000000"/>
        <rFont val="FreeSans"/>
        <family val="2"/>
      </rPr>
      <t xml:space="preserve">रक्बा</t>
    </r>
  </si>
  <si>
    <r>
      <rPr>
        <sz val="12"/>
        <color rgb="FF000000"/>
        <rFont val="Calibri"/>
        <family val="2"/>
        <charset val="1"/>
      </rPr>
      <t xml:space="preserve">7-0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1/4</t>
    </r>
    <r>
      <rPr>
        <sz val="12"/>
        <color rgb="FF000000"/>
        <rFont val="FreeSans"/>
        <family val="2"/>
      </rPr>
      <t xml:space="preserve">भाग बकदर</t>
    </r>
  </si>
  <si>
    <r>
      <rPr>
        <sz val="12"/>
        <color rgb="FF000000"/>
        <rFont val="Calibri"/>
        <family val="2"/>
        <charset val="1"/>
      </rPr>
      <t xml:space="preserve">1-15 </t>
    </r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.361/750</t>
    </r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</si>
  <si>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.29//21,44//1</t>
    </r>
    <r>
      <rPr>
        <sz val="12"/>
        <color rgb="FF000000"/>
        <rFont val="FreeSans"/>
        <family val="2"/>
      </rPr>
      <t xml:space="preserve">रक्ब</t>
    </r>
  </si>
  <si>
    <r>
      <rPr>
        <sz val="12"/>
        <color rgb="FF000000"/>
        <rFont val="FreeSans"/>
        <family val="2"/>
      </rPr>
      <t xml:space="preserve">ा </t>
    </r>
    <r>
      <rPr>
        <sz val="12"/>
        <color rgb="FF000000"/>
        <rFont val="Calibri"/>
        <family val="2"/>
        <charset val="1"/>
      </rPr>
      <t xml:space="preserve">14-0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1/4</t>
    </r>
    <r>
      <rPr>
        <sz val="12"/>
        <color rgb="FF000000"/>
        <rFont val="FreeSans"/>
        <family val="2"/>
      </rPr>
      <t xml:space="preserve">भाग बकदर</t>
    </r>
  </si>
  <si>
    <r>
      <rPr>
        <sz val="12"/>
        <color rgb="FF000000"/>
        <rFont val="Calibri"/>
        <family val="2"/>
        <charset val="1"/>
      </rPr>
      <t xml:space="preserve">3-10 </t>
    </r>
    <r>
      <rPr>
        <sz val="12"/>
        <color rgb="FF000000"/>
        <rFont val="FreeSans"/>
        <family val="2"/>
      </rPr>
      <t xml:space="preserve">ने खेवट 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</si>
  <si>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.362/751</t>
    </r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</si>
  <si>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.29//12-19/2-20/2</t>
    </r>
  </si>
  <si>
    <t xml:space="preserve">-22,44//2/1,78//24/2</t>
  </si>
  <si>
    <r>
      <rPr>
        <sz val="12"/>
        <color rgb="FF000000"/>
        <rFont val="Calibri"/>
        <family val="2"/>
        <charset val="1"/>
      </rPr>
      <t xml:space="preserve">/2,79//3-7/2-8</t>
    </r>
    <r>
      <rPr>
        <sz val="12"/>
        <color rgb="FF000000"/>
        <rFont val="FreeSans"/>
        <family val="2"/>
      </rPr>
      <t xml:space="preserve">रक्बा</t>
    </r>
  </si>
  <si>
    <r>
      <rPr>
        <sz val="12"/>
        <color rgb="FF000000"/>
        <rFont val="Calibri"/>
        <family val="2"/>
        <charset val="1"/>
      </rPr>
      <t xml:space="preserve">49-1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239/981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</si>
  <si>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बकदर </t>
    </r>
    <r>
      <rPr>
        <sz val="12"/>
        <color rgb="FF000000"/>
        <rFont val="Calibri"/>
        <family val="2"/>
        <charset val="1"/>
      </rPr>
      <t xml:space="preserve">11-19 </t>
    </r>
    <r>
      <rPr>
        <sz val="12"/>
        <color rgb="FF000000"/>
        <rFont val="FreeSans"/>
        <family val="2"/>
      </rPr>
      <t xml:space="preserve">कुल बक्दर</t>
    </r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</si>
  <si>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20-14 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</si>
  <si>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110000/- /- 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मे</t>
    </r>
  </si>
  <si>
    <r>
      <rPr>
        <sz val="12"/>
        <color rgb="FF000000"/>
        <rFont val="Calibri"/>
        <family val="2"/>
        <charset val="1"/>
      </rPr>
      <t xml:space="preserve">H G B </t>
    </r>
    <r>
      <rPr>
        <sz val="12"/>
        <color rgb="FF000000"/>
        <rFont val="FreeSans"/>
        <family val="2"/>
      </rPr>
      <t xml:space="preserve">कालावाली के</t>
    </r>
  </si>
  <si>
    <r>
      <rPr>
        <sz val="12"/>
        <color rgb="FF000000"/>
        <rFont val="FreeSans"/>
        <family val="2"/>
      </rPr>
      <t xml:space="preserve">बरूये रपट न</t>
    </r>
    <r>
      <rPr>
        <sz val="12"/>
        <color rgb="FF000000"/>
        <rFont val="Calibri"/>
        <family val="2"/>
        <charset val="1"/>
      </rPr>
      <t xml:space="preserve">.406 </t>
    </r>
    <r>
      <rPr>
        <sz val="12"/>
        <color rgb="FF000000"/>
        <rFont val="FreeSans"/>
        <family val="2"/>
      </rPr>
      <t xml:space="preserve">दिनांक</t>
    </r>
  </si>
  <si>
    <r>
      <rPr>
        <sz val="12"/>
        <color rgb="FF000000"/>
        <rFont val="Calibri"/>
        <family val="2"/>
        <charset val="1"/>
      </rPr>
      <t xml:space="preserve">17.8.98 </t>
    </r>
    <r>
      <rPr>
        <sz val="12"/>
        <color rgb="FF000000"/>
        <rFont val="FreeSans"/>
        <family val="2"/>
      </rPr>
      <t xml:space="preserve">को उपरोक्त रकबा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</si>
  <si>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का सालम रकबा </t>
    </r>
    <r>
      <rPr>
        <sz val="12"/>
        <color rgb="FF000000"/>
        <rFont val="Calibri"/>
        <family val="2"/>
        <charset val="1"/>
      </rPr>
      <t xml:space="preserve">80-12</t>
    </r>
  </si>
  <si>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.2,16,435/65 </t>
    </r>
    <r>
      <rPr>
        <sz val="12"/>
        <color rgb="FF000000"/>
        <rFont val="FreeSans"/>
        <family val="2"/>
      </rPr>
      <t xml:space="preserve">मय</t>
    </r>
  </si>
  <si>
    <r>
      <rPr>
        <sz val="12"/>
        <color rgb="FF000000"/>
        <rFont val="FreeSans"/>
        <family val="2"/>
      </rPr>
      <t xml:space="preserve">ब्याज ता अदायगी </t>
    </r>
    <r>
      <rPr>
        <sz val="12"/>
        <color rgb="FF000000"/>
        <rFont val="Calibri"/>
        <family val="2"/>
        <charset val="1"/>
      </rPr>
      <t xml:space="preserve">S.B.I.</t>
    </r>
  </si>
  <si>
    <t xml:space="preserve">मिनजानिब सतपाल सिंह</t>
  </si>
  <si>
    <t xml:space="preserve">पुत्र गुरबचन सिंह आदि</t>
  </si>
  <si>
    <t xml:space="preserve">उपरोक्त</t>
  </si>
  <si>
    <r>
      <rPr>
        <sz val="12"/>
        <color rgb="FF000000"/>
        <rFont val="Calibri"/>
        <family val="2"/>
        <charset val="1"/>
      </rPr>
      <t xml:space="preserve">3391</t>
    </r>
    <r>
      <rPr>
        <sz val="12"/>
        <color rgb="FF000000"/>
        <rFont val="FreeSans"/>
        <family val="2"/>
      </rPr>
      <t xml:space="preserve">तबादला नजरसानी</t>
    </r>
  </si>
  <si>
    <t xml:space="preserve">साबका</t>
  </si>
  <si>
    <r>
      <rPr>
        <sz val="12"/>
        <color rgb="FF000000"/>
        <rFont val="FreeSans"/>
        <family val="2"/>
      </rPr>
      <t xml:space="preserve">िबला</t>
    </r>
    <r>
      <rPr>
        <sz val="12"/>
        <color rgb="FF000000"/>
        <rFont val="Calibri"/>
        <family val="2"/>
        <charset val="1"/>
      </rPr>
      <t xml:space="preserve">1/2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</si>
  <si>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0-12 </t>
    </r>
    <r>
      <rPr>
        <sz val="12"/>
        <color rgb="FF000000"/>
        <rFont val="FreeSans"/>
        <family val="2"/>
      </rPr>
      <t xml:space="preserve">बारानी</t>
    </r>
  </si>
  <si>
    <t xml:space="preserve">छिन्द्र कौर विधवा व</t>
  </si>
  <si>
    <t xml:space="preserve">वीरपाल कौर पुत्री व</t>
  </si>
  <si>
    <r>
      <rPr>
        <sz val="12"/>
        <color rgb="FF000000"/>
        <rFont val="FreeSans"/>
        <family val="2"/>
      </rPr>
      <t xml:space="preserve">हरपाल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</si>
  <si>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लखवीर सिंह पुत्रान</t>
  </si>
  <si>
    <t xml:space="preserve">अजमेर सिंह</t>
  </si>
  <si>
    <t xml:space="preserve">30-12</t>
  </si>
  <si>
    <r>
      <rPr>
        <sz val="12"/>
        <color rgb="FF000000"/>
        <rFont val="Calibri"/>
        <family val="2"/>
        <charset val="1"/>
      </rPr>
      <t xml:space="preserve">16-0 </t>
    </r>
    <r>
      <rPr>
        <sz val="12"/>
        <color rgb="FF000000"/>
        <rFont val="FreeSans"/>
        <family val="2"/>
      </rPr>
      <t xml:space="preserve">चाही</t>
    </r>
  </si>
  <si>
    <r>
      <rPr>
        <sz val="12"/>
        <color rgb="FF000000"/>
        <rFont val="Calibri"/>
        <family val="2"/>
        <charset val="1"/>
      </rPr>
      <t xml:space="preserve">14-12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</si>
  <si>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3391 </t>
    </r>
    <r>
      <rPr>
        <sz val="12"/>
        <color rgb="FF000000"/>
        <rFont val="FreeSans"/>
        <family val="2"/>
      </rPr>
      <t xml:space="preserve">तबादला नजरसानी</t>
    </r>
  </si>
  <si>
    <r>
      <rPr>
        <sz val="12"/>
        <color rgb="FF000000"/>
        <rFont val="Calibri"/>
        <family val="2"/>
        <charset val="1"/>
      </rPr>
      <t xml:space="preserve">7-0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</si>
  <si>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5/14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</si>
  <si>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बरूए</t>
    </r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</t>
    </r>
  </si>
  <si>
    <t xml:space="preserve">जगदेव सिंह पुत्र</t>
  </si>
  <si>
    <r>
      <rPr>
        <sz val="12"/>
        <color rgb="FF000000"/>
        <rFont val="Calibri"/>
        <family val="2"/>
        <charset val="1"/>
      </rPr>
      <t xml:space="preserve">1510</t>
    </r>
    <r>
      <rPr>
        <sz val="12"/>
        <color rgb="FF000000"/>
        <rFont val="FreeSans"/>
        <family val="2"/>
      </rPr>
      <t xml:space="preserve">तिथी </t>
    </r>
    <r>
      <rPr>
        <sz val="12"/>
        <color rgb="FF000000"/>
        <rFont val="Calibri"/>
        <family val="2"/>
        <charset val="1"/>
      </rPr>
      <t xml:space="preserve">29/10/2010</t>
    </r>
  </si>
  <si>
    <t xml:space="preserve">गुरतेज सिंह पुत्र</t>
  </si>
  <si>
    <t xml:space="preserve">केअनुसार मिन</t>
  </si>
  <si>
    <t xml:space="preserve">जानिमराम सिह पुत्र</t>
  </si>
  <si>
    <r>
      <rPr>
        <sz val="12"/>
        <color rgb="FF000000"/>
        <rFont val="Calibri"/>
        <family val="2"/>
        <charset val="1"/>
      </rPr>
      <t xml:space="preserve">1/7 </t>
    </r>
    <r>
      <rPr>
        <sz val="12"/>
        <color rgb="FF000000"/>
        <rFont val="FreeSans"/>
        <family val="2"/>
      </rPr>
      <t xml:space="preserve">भाग</t>
    </r>
  </si>
  <si>
    <t xml:space="preserve">सुरजीतसिह का रक्बा</t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</si>
  <si>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.358/745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.44/</t>
    </r>
  </si>
  <si>
    <r>
      <rPr>
        <sz val="12"/>
        <color rgb="FF000000"/>
        <rFont val="Calibri"/>
        <family val="2"/>
        <charset val="1"/>
      </rPr>
      <t xml:space="preserve">/4/1-7/2-9</t>
    </r>
    <r>
      <rPr>
        <sz val="12"/>
        <color rgb="FF000000"/>
        <rFont val="FreeSans"/>
        <family val="2"/>
      </rPr>
      <t xml:space="preserve">रक्बा</t>
    </r>
    <r>
      <rPr>
        <sz val="12"/>
        <color rgb="FF000000"/>
        <rFont val="Calibri"/>
        <family val="2"/>
        <charset val="1"/>
      </rPr>
      <t xml:space="preserve">14-0</t>
    </r>
  </si>
  <si>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1/4</t>
    </r>
    <r>
      <rPr>
        <sz val="12"/>
        <color rgb="FF000000"/>
        <rFont val="FreeSans"/>
        <family val="2"/>
      </rPr>
      <t xml:space="preserve">भागबकदर </t>
    </r>
    <r>
      <rPr>
        <sz val="12"/>
        <color rgb="FF000000"/>
        <rFont val="Calibri"/>
        <family val="2"/>
        <charset val="1"/>
      </rPr>
      <t xml:space="preserve">3-10</t>
    </r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</si>
  <si>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.359/748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.44/</t>
    </r>
  </si>
  <si>
    <r>
      <rPr>
        <sz val="12"/>
        <color rgb="FF000000"/>
        <rFont val="Calibri"/>
        <family val="2"/>
        <charset val="1"/>
      </rPr>
      <t xml:space="preserve">/10</t>
    </r>
    <r>
      <rPr>
        <sz val="12"/>
        <color rgb="FF000000"/>
        <rFont val="FreeSans"/>
        <family val="2"/>
      </rPr>
      <t xml:space="preserve">रक्बा</t>
    </r>
    <r>
      <rPr>
        <sz val="12"/>
        <color rgb="FF000000"/>
        <rFont val="Calibri"/>
        <family val="2"/>
        <charset val="1"/>
      </rPr>
      <t xml:space="preserve">7-0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1/4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</si>
  <si>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बकदर</t>
    </r>
    <r>
      <rPr>
        <sz val="12"/>
        <color rgb="FF000000"/>
        <rFont val="Calibri"/>
        <family val="2"/>
        <charset val="1"/>
      </rPr>
      <t xml:space="preserve">1-15 </t>
    </r>
    <r>
      <rPr>
        <sz val="12"/>
        <color rgb="FF000000"/>
        <rFont val="FreeSans"/>
        <family val="2"/>
      </rPr>
      <t xml:space="preserve">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</si>
  <si>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.361/750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.29//21,</t>
    </r>
  </si>
  <si>
    <r>
      <rPr>
        <sz val="12"/>
        <color rgb="FF000000"/>
        <rFont val="Calibri"/>
        <family val="2"/>
        <charset val="1"/>
      </rPr>
      <t xml:space="preserve">44//1</t>
    </r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14-0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</si>
  <si>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1/4</t>
    </r>
    <r>
      <rPr>
        <sz val="12"/>
        <color rgb="FF000000"/>
        <rFont val="FreeSans"/>
        <family val="2"/>
      </rPr>
      <t xml:space="preserve">भाग बकदर</t>
    </r>
    <r>
      <rPr>
        <sz val="12"/>
        <color rgb="FF000000"/>
        <rFont val="Calibri"/>
        <family val="2"/>
        <charset val="1"/>
      </rPr>
      <t xml:space="preserve">3-10 </t>
    </r>
    <r>
      <rPr>
        <sz val="12"/>
        <color rgb="FF000000"/>
        <rFont val="FreeSans"/>
        <family val="2"/>
      </rPr>
      <t xml:space="preserve">ने</t>
    </r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</si>
  <si>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</si>
  <si>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.362/751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.29//12-</t>
    </r>
  </si>
  <si>
    <t xml:space="preserve">19/2-20/2-22,44//2/1</t>
  </si>
  <si>
    <t xml:space="preserve">,78//24/2/2,79//3-7/</t>
  </si>
  <si>
    <r>
      <rPr>
        <sz val="12"/>
        <color rgb="FF000000"/>
        <rFont val="Calibri"/>
        <family val="2"/>
        <charset val="1"/>
      </rPr>
      <t xml:space="preserve">2-8</t>
    </r>
    <r>
      <rPr>
        <sz val="12"/>
        <color rgb="FF000000"/>
        <rFont val="FreeSans"/>
        <family val="2"/>
      </rPr>
      <t xml:space="preserve">रक्बा</t>
    </r>
    <r>
      <rPr>
        <sz val="12"/>
        <color rgb="FF000000"/>
        <rFont val="Calibri"/>
        <family val="2"/>
        <charset val="1"/>
      </rPr>
      <t xml:space="preserve">49-1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</si>
  <si>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239/981</t>
    </r>
    <r>
      <rPr>
        <sz val="12"/>
        <color rgb="FF000000"/>
        <rFont val="FreeSans"/>
        <family val="2"/>
      </rPr>
      <t xml:space="preserve">भागबकदर </t>
    </r>
    <r>
      <rPr>
        <sz val="12"/>
        <color rgb="FF000000"/>
        <rFont val="Calibri"/>
        <family val="2"/>
        <charset val="1"/>
      </rPr>
      <t xml:space="preserve">11-19</t>
    </r>
  </si>
  <si>
    <r>
      <rPr>
        <sz val="12"/>
        <color rgb="FF000000"/>
        <rFont val="FreeSans"/>
        <family val="2"/>
      </rPr>
      <t xml:space="preserve">कुल बक्दररक्बा </t>
    </r>
    <r>
      <rPr>
        <sz val="12"/>
        <color rgb="FF000000"/>
        <rFont val="Calibri"/>
        <family val="2"/>
        <charset val="1"/>
      </rPr>
      <t xml:space="preserve">20-14</t>
    </r>
  </si>
  <si>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.110000/- /-</t>
    </r>
  </si>
  <si>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मे</t>
    </r>
    <r>
      <rPr>
        <sz val="12"/>
        <color rgb="FF000000"/>
        <rFont val="Calibri"/>
        <family val="2"/>
        <charset val="1"/>
      </rPr>
      <t xml:space="preserve">H G B </t>
    </r>
    <r>
      <rPr>
        <sz val="12"/>
        <color rgb="FF000000"/>
        <rFont val="FreeSans"/>
        <family val="2"/>
      </rPr>
      <t xml:space="preserve">कालावाली</t>
    </r>
  </si>
  <si>
    <t xml:space="preserve">केपास ता अदायगी</t>
  </si>
  <si>
    <t xml:space="preserve">रकमरकबा आड रहन रहेगा</t>
  </si>
  <si>
    <t xml:space="preserve">ा</t>
  </si>
  <si>
    <t xml:space="preserve">29//</t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</si>
  <si>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269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</si>
  <si>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24-1-2006 </t>
    </r>
    <r>
      <rPr>
        <sz val="12"/>
        <color rgb="FF000000"/>
        <rFont val="FreeSans"/>
        <family val="2"/>
      </rPr>
      <t xml:space="preserve">मिन जानिब</t>
    </r>
  </si>
  <si>
    <t xml:space="preserve">अवतार सिह पुत्र सुरजीत</t>
  </si>
  <si>
    <r>
      <rPr>
        <sz val="12"/>
        <color rgb="FF000000"/>
        <rFont val="Calibri"/>
        <family val="2"/>
        <charset val="1"/>
      </rPr>
      <t xml:space="preserve">46/981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</si>
  <si>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सिह किला न</t>
    </r>
    <r>
      <rPr>
        <sz val="12"/>
        <color rgb="FF000000"/>
        <rFont val="Calibri"/>
        <family val="2"/>
        <charset val="1"/>
      </rPr>
      <t xml:space="preserve">.</t>
    </r>
  </si>
  <si>
    <t xml:space="preserve">29//12-19/2-</t>
  </si>
  <si>
    <t xml:space="preserve">20/2-22,44//2/1,</t>
  </si>
  <si>
    <r>
      <rPr>
        <sz val="12"/>
        <color rgb="FF000000"/>
        <rFont val="Calibri"/>
        <family val="2"/>
        <charset val="1"/>
      </rPr>
      <t xml:space="preserve">1-4 </t>
    </r>
    <r>
      <rPr>
        <sz val="12"/>
        <color rgb="FF000000"/>
        <rFont val="FreeSans"/>
        <family val="2"/>
      </rPr>
      <t xml:space="preserve">बारानी</t>
    </r>
  </si>
  <si>
    <t xml:space="preserve">78//24/2/2,79//3-7/2-8-</t>
  </si>
  <si>
    <r>
      <rPr>
        <sz val="12"/>
        <color rgb="FF000000"/>
        <rFont val="Calibri"/>
        <family val="2"/>
        <charset val="1"/>
      </rPr>
      <t xml:space="preserve">47/981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</si>
  <si>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49-1 </t>
    </r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160//980</t>
    </r>
  </si>
  <si>
    <t xml:space="preserve">गुरचरण सिंह पुत्र</t>
  </si>
  <si>
    <r>
      <rPr>
        <sz val="12"/>
        <color rgb="FF000000"/>
        <rFont val="FreeSans"/>
        <family val="2"/>
      </rPr>
      <t xml:space="preserve">भाग बकदर </t>
    </r>
    <r>
      <rPr>
        <sz val="12"/>
        <color rgb="FF000000"/>
        <rFont val="Calibri"/>
        <family val="2"/>
        <charset val="1"/>
      </rPr>
      <t xml:space="preserve">8-0 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</si>
  <si>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 50,000/- </t>
    </r>
    <r>
      <rPr>
        <sz val="12"/>
        <color rgb="FF000000"/>
        <rFont val="FreeSans"/>
        <family val="2"/>
      </rPr>
      <t xml:space="preserve">रू 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</si>
  <si>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बाहक </t>
    </r>
    <r>
      <rPr>
        <sz val="12"/>
        <color rgb="FF000000"/>
        <rFont val="Calibri"/>
        <family val="2"/>
        <charset val="1"/>
      </rPr>
      <t xml:space="preserve">PLDB</t>
    </r>
  </si>
  <si>
    <r>
      <rPr>
        <sz val="12"/>
        <color rgb="FF000000"/>
        <rFont val="Calibri"/>
        <family val="2"/>
        <charset val="1"/>
      </rPr>
      <t xml:space="preserve">220/981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</si>
  <si>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2-6 </t>
    </r>
    <r>
      <rPr>
        <sz val="12"/>
        <color rgb="FF000000"/>
        <rFont val="FreeSans"/>
        <family val="2"/>
      </rPr>
      <t xml:space="preserve">बारानी</t>
    </r>
  </si>
  <si>
    <t xml:space="preserve">कालावाली आड रहन है।</t>
  </si>
  <si>
    <r>
      <rPr>
        <sz val="12"/>
        <color rgb="FF000000"/>
        <rFont val="Calibri"/>
        <family val="2"/>
        <charset val="1"/>
      </rPr>
      <t xml:space="preserve">7-14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</si>
  <si>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9</t>
    </r>
  </si>
  <si>
    <t xml:space="preserve">49-1</t>
  </si>
  <si>
    <r>
      <rPr>
        <sz val="12"/>
        <color rgb="FF000000"/>
        <rFont val="Calibri"/>
        <family val="2"/>
        <charset val="1"/>
      </rPr>
      <t xml:space="preserve">479/981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</si>
  <si>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12-15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</si>
  <si>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36-6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</si>
  <si>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8/109 </t>
    </r>
    <r>
      <rPr>
        <sz val="12"/>
        <color rgb="FF000000"/>
        <rFont val="FreeSans"/>
        <family val="2"/>
      </rPr>
      <t xml:space="preserve">भाग</t>
    </r>
  </si>
  <si>
    <t xml:space="preserve">व करतार कौर विधवा</t>
  </si>
  <si>
    <t xml:space="preserve">विशन</t>
  </si>
  <si>
    <r>
      <rPr>
        <sz val="12"/>
        <color rgb="FF000000"/>
        <rFont val="Calibri"/>
        <family val="2"/>
        <charset val="1"/>
      </rPr>
      <t xml:space="preserve">13/109 </t>
    </r>
    <r>
      <rPr>
        <sz val="12"/>
        <color rgb="FF000000"/>
        <rFont val="FreeSans"/>
        <family val="2"/>
      </rPr>
      <t xml:space="preserve">भाग</t>
    </r>
  </si>
  <si>
    <t xml:space="preserve">भरभूर कौर पत्नी</t>
  </si>
  <si>
    <t xml:space="preserve">17//</t>
  </si>
  <si>
    <t xml:space="preserve">कौल सिंह पुत्र</t>
  </si>
  <si>
    <t xml:space="preserve">अवतार सिंह</t>
  </si>
  <si>
    <t xml:space="preserve">वेला सिंह</t>
  </si>
  <si>
    <t xml:space="preserve">गुरचरण सिंह</t>
  </si>
  <si>
    <t xml:space="preserve">35//</t>
  </si>
  <si>
    <r>
      <rPr>
        <sz val="12"/>
        <color rgb="FF000000"/>
        <rFont val="FreeSans"/>
        <family val="2"/>
      </rPr>
      <t xml:space="preserve">वशरह खाता 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</si>
  <si>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बरुये रपट 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.430</t>
    </r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</si>
  <si>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23-8-2005</t>
    </r>
  </si>
  <si>
    <t xml:space="preserve">नंद सिंह</t>
  </si>
  <si>
    <t xml:space="preserve">बराए हुक्म अदालत</t>
  </si>
  <si>
    <r>
      <rPr>
        <sz val="12"/>
        <color rgb="FF000000"/>
        <rFont val="Calibri"/>
        <family val="2"/>
        <charset val="1"/>
      </rPr>
      <t xml:space="preserve">317/1937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</si>
  <si>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7-8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</si>
  <si>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.55//4-6/2-7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</si>
  <si>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Calibri"/>
        <family val="2"/>
        <charset val="1"/>
      </rPr>
      <t xml:space="preserve">19-8 </t>
    </r>
    <r>
      <rPr>
        <sz val="12"/>
        <color rgb="FF000000"/>
        <rFont val="FreeSans"/>
        <family val="2"/>
      </rPr>
      <t xml:space="preserve">पर गुरनाम सिह</t>
    </r>
  </si>
  <si>
    <t xml:space="preserve">22-4</t>
  </si>
  <si>
    <t xml:space="preserve">गुरजन्ट सिह हरचरण सिह</t>
  </si>
  <si>
    <t xml:space="preserve">तेज सिह पुत्रान जगर सिह</t>
  </si>
  <si>
    <r>
      <rPr>
        <sz val="12"/>
        <color rgb="FF000000"/>
        <rFont val="Calibri"/>
        <family val="2"/>
        <charset val="1"/>
      </rPr>
      <t xml:space="preserve">211/1937 </t>
    </r>
    <r>
      <rPr>
        <sz val="12"/>
        <color rgb="FF000000"/>
        <rFont val="FreeSans"/>
        <family val="2"/>
      </rPr>
      <t xml:space="preserve">भाग</t>
    </r>
  </si>
  <si>
    <t xml:space="preserve">बतोर मुजारा काब्ज है</t>
  </si>
  <si>
    <r>
      <rPr>
        <sz val="12"/>
        <color rgb="FF000000"/>
        <rFont val="FreeSans"/>
        <family val="2"/>
      </rPr>
      <t xml:space="preserve">मनजीत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</si>
  <si>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इस पर </t>
    </r>
    <r>
      <rPr>
        <sz val="12"/>
        <color rgb="FF000000"/>
        <rFont val="Calibri"/>
        <family val="2"/>
        <charset val="1"/>
      </rPr>
      <t xml:space="preserve">Stay Order</t>
    </r>
  </si>
  <si>
    <r>
      <rPr>
        <sz val="12"/>
        <color rgb="FF000000"/>
        <rFont val="FreeSans"/>
        <family val="2"/>
      </rPr>
      <t xml:space="preserve">सरजीत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</si>
  <si>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भी दर्ज है तकसील</t>
  </si>
  <si>
    <t xml:space="preserve">कुलदीप सिंह पुत्रान</t>
  </si>
  <si>
    <r>
      <rPr>
        <sz val="12"/>
        <color rgb="FF000000"/>
        <rFont val="Calibri"/>
        <family val="2"/>
        <charset val="1"/>
      </rPr>
      <t xml:space="preserve">14-16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</si>
  <si>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फर्द बदर न</t>
    </r>
    <r>
      <rPr>
        <sz val="12"/>
        <color rgb="FF000000"/>
        <rFont val="Calibri"/>
        <family val="2"/>
        <charset val="1"/>
      </rPr>
      <t xml:space="preserve">.11</t>
    </r>
  </si>
  <si>
    <t xml:space="preserve">ध्यान सिंह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</si>
  <si>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नं</t>
    </r>
    <r>
      <rPr>
        <sz val="12"/>
        <color rgb="FF000000"/>
        <rFont val="Calibri"/>
        <family val="2"/>
        <charset val="1"/>
      </rPr>
      <t xml:space="preserve">. 157</t>
    </r>
    <r>
      <rPr>
        <sz val="12"/>
        <color rgb="FF000000"/>
        <rFont val="FreeSans"/>
        <family val="2"/>
      </rPr>
      <t xml:space="preserve">ति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</si>
  <si>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15-5-09 </t>
    </r>
    <r>
      <rPr>
        <sz val="12"/>
        <color rgb="FF000000"/>
        <rFont val="FreeSans"/>
        <family val="2"/>
      </rPr>
      <t xml:space="preserve">केअनुसार मिन</t>
    </r>
  </si>
  <si>
    <r>
      <rPr>
        <sz val="12"/>
        <color rgb="FF000000"/>
        <rFont val="Calibri"/>
        <family val="2"/>
        <charset val="1"/>
      </rPr>
      <t xml:space="preserve">633/1937 </t>
    </r>
    <r>
      <rPr>
        <sz val="12"/>
        <color rgb="FF000000"/>
        <rFont val="FreeSans"/>
        <family val="2"/>
      </rPr>
      <t xml:space="preserve">भाग</t>
    </r>
  </si>
  <si>
    <t xml:space="preserve">जानबकुलदीप सिंह</t>
  </si>
  <si>
    <t xml:space="preserve">हरदम सिंह पुत्र</t>
  </si>
  <si>
    <t xml:space="preserve">पुत्र जग्गासिंह का</t>
  </si>
  <si>
    <r>
      <rPr>
        <sz val="12"/>
        <color rgb="FF000000"/>
        <rFont val="FreeSans"/>
        <family val="2"/>
      </rPr>
      <t xml:space="preserve">रकबाखेबट नं</t>
    </r>
    <r>
      <rPr>
        <sz val="12"/>
        <color rgb="FF000000"/>
        <rFont val="Calibri"/>
        <family val="2"/>
        <charset val="1"/>
      </rPr>
      <t xml:space="preserve">. 9/96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</si>
  <si>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FreeSans"/>
        <family val="2"/>
      </rPr>
      <t xml:space="preserve">नं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.52//21m-22-23/1</t>
    </r>
  </si>
  <si>
    <r>
      <rPr>
        <sz val="12"/>
        <color rgb="FF000000"/>
        <rFont val="Calibri"/>
        <family val="2"/>
        <charset val="1"/>
      </rPr>
      <t xml:space="preserve">106/1937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</si>
  <si>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व खेबट नं</t>
    </r>
    <r>
      <rPr>
        <sz val="12"/>
        <color rgb="FF000000"/>
        <rFont val="Calibri"/>
        <family val="2"/>
        <charset val="1"/>
      </rPr>
      <t xml:space="preserve">. 406/813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</si>
  <si>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FreeSans"/>
        <family val="2"/>
      </rPr>
      <t xml:space="preserve">लाभ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</si>
  <si>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नं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</si>
  <si>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मुखत्यार सिंह पुत्रान</t>
  </si>
  <si>
    <t xml:space="preserve">35//6/2-7/2-14/1-15-</t>
  </si>
  <si>
    <t xml:space="preserve">16-17/2-23,38//15/1</t>
  </si>
  <si>
    <t xml:space="preserve">दित्तू</t>
  </si>
  <si>
    <r>
      <rPr>
        <sz val="12"/>
        <color rgb="FF000000"/>
        <rFont val="FreeSans"/>
        <family val="2"/>
      </rPr>
      <t xml:space="preserve">वखेबट नं</t>
    </r>
    <r>
      <rPr>
        <sz val="12"/>
        <color rgb="FF000000"/>
        <rFont val="Calibri"/>
        <family val="2"/>
        <charset val="1"/>
      </rPr>
      <t xml:space="preserve">. 412/829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</si>
  <si>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FreeSans"/>
        <family val="2"/>
      </rPr>
      <t xml:space="preserve">नं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</si>
  <si>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19/149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</si>
  <si>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.43//16-17/2-23-24-</t>
    </r>
  </si>
  <si>
    <t xml:space="preserve">2544//11-12-13-14/1-</t>
  </si>
  <si>
    <t xml:space="preserve">जोगिन्द्रपाल पुत्र</t>
  </si>
  <si>
    <t xml:space="preserve">14/2-15-20/2-21-22-2</t>
  </si>
  <si>
    <t xml:space="preserve">शिवलाल</t>
  </si>
  <si>
    <t xml:space="preserve">3/145//11-12-19-20-2</t>
  </si>
  <si>
    <r>
      <rPr>
        <sz val="12"/>
        <color rgb="FF000000"/>
        <rFont val="Calibri"/>
        <family val="2"/>
        <charset val="1"/>
      </rPr>
      <t xml:space="preserve">423/1937 </t>
    </r>
    <r>
      <rPr>
        <sz val="12"/>
        <color rgb="FF000000"/>
        <rFont val="FreeSans"/>
        <family val="2"/>
      </rPr>
      <t xml:space="preserve">भाग</t>
    </r>
  </si>
  <si>
    <t xml:space="preserve">1,49//1-2-9/1-10/1,5</t>
  </si>
  <si>
    <t xml:space="preserve">0//3/1-3/2-4-5-6-7-8</t>
  </si>
  <si>
    <r>
      <rPr>
        <sz val="12"/>
        <color rgb="FF000000"/>
        <rFont val="FreeSans"/>
        <family val="2"/>
      </rPr>
      <t xml:space="preserve">व खेबट नं</t>
    </r>
    <r>
      <rPr>
        <sz val="12"/>
        <color rgb="FF000000"/>
        <rFont val="Calibri"/>
        <family val="2"/>
        <charset val="1"/>
      </rPr>
      <t xml:space="preserve">.412/831</t>
    </r>
    <r>
      <rPr>
        <sz val="12"/>
        <color rgb="FF000000"/>
        <rFont val="FreeSans"/>
        <family val="2"/>
      </rPr>
      <t xml:space="preserve">का</t>
    </r>
  </si>
  <si>
    <t xml:space="preserve">44//17/1/2-18/1/2-19</t>
  </si>
  <si>
    <t xml:space="preserve">/1/2-201/2-23/2-24/1</t>
  </si>
  <si>
    <r>
      <rPr>
        <sz val="12"/>
        <color rgb="FF000000"/>
        <rFont val="FreeSans"/>
        <family val="2"/>
      </rPr>
      <t xml:space="preserve">व खेबट नं</t>
    </r>
    <r>
      <rPr>
        <sz val="12"/>
        <color rgb="FF000000"/>
        <rFont val="Calibri"/>
        <family val="2"/>
        <charset val="1"/>
      </rPr>
      <t xml:space="preserve">.412/832</t>
    </r>
    <r>
      <rPr>
        <sz val="12"/>
        <color rgb="FF000000"/>
        <rFont val="FreeSans"/>
        <family val="2"/>
      </rPr>
      <t xml:space="preserve">का</t>
    </r>
  </si>
  <si>
    <t xml:space="preserve">44//16/2-17/2-18/2-1</t>
  </si>
  <si>
    <r>
      <rPr>
        <sz val="12"/>
        <color rgb="FF000000"/>
        <rFont val="Calibri"/>
        <family val="2"/>
        <charset val="1"/>
      </rPr>
      <t xml:space="preserve">9/2 </t>
    </r>
    <r>
      <rPr>
        <sz val="12"/>
        <color rgb="FF000000"/>
        <rFont val="FreeSans"/>
        <family val="2"/>
      </rPr>
      <t xml:space="preserve">व खेबटनं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</si>
  <si>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413/834</t>
    </r>
    <r>
      <rPr>
        <sz val="12"/>
        <color rgb="FF000000"/>
        <rFont val="FreeSans"/>
        <family val="2"/>
      </rPr>
      <t xml:space="preserve">का नं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</si>
  <si>
    <t xml:space="preserve">29//16/2-2544//4/2-5</t>
  </si>
  <si>
    <r>
      <rPr>
        <sz val="12"/>
        <color rgb="FF000000"/>
        <rFont val="Calibri"/>
        <family val="2"/>
        <charset val="1"/>
      </rPr>
      <t xml:space="preserve">-6-7/145//1-2m-9-10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</si>
  <si>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FreeSans"/>
        <family val="2"/>
      </rPr>
      <t xml:space="preserve">खेबट नं</t>
    </r>
    <r>
      <rPr>
        <sz val="12"/>
        <color rgb="FF000000"/>
        <rFont val="Calibri"/>
        <family val="2"/>
        <charset val="1"/>
      </rPr>
      <t xml:space="preserve">. 414/836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</si>
  <si>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FreeSans"/>
        <family val="2"/>
      </rPr>
      <t xml:space="preserve">नं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 35//6/1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</si>
  <si>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50-13</t>
    </r>
    <r>
      <rPr>
        <sz val="12"/>
        <color rgb="FF000000"/>
        <rFont val="FreeSans"/>
        <family val="2"/>
      </rPr>
      <t xml:space="preserve">बदले मू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</si>
  <si>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200000/-</t>
    </r>
    <r>
      <rPr>
        <sz val="12"/>
        <color rgb="FF000000"/>
        <rFont val="FreeSans"/>
        <family val="2"/>
      </rPr>
      <t xml:space="preserve">में वाहक </t>
    </r>
    <r>
      <rPr>
        <sz val="12"/>
        <color rgb="FF000000"/>
        <rFont val="Calibri"/>
        <family val="2"/>
        <charset val="1"/>
      </rPr>
      <t xml:space="preserve">PNB</t>
    </r>
  </si>
  <si>
    <r>
      <rPr>
        <sz val="12"/>
        <color rgb="FF000000"/>
        <rFont val="Calibri"/>
        <family val="2"/>
        <charset val="1"/>
      </rPr>
      <t xml:space="preserve">Klw</t>
    </r>
    <r>
      <rPr>
        <sz val="12"/>
        <color rgb="FF000000"/>
        <rFont val="FreeSans"/>
        <family val="2"/>
      </rPr>
      <t xml:space="preserve">के पास आड़ रहन</t>
    </r>
  </si>
  <si>
    <t xml:space="preserve">हैं।</t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</si>
  <si>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.2333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22-3-10</t>
    </r>
  </si>
  <si>
    <t xml:space="preserve">के अनुसारमिनजाब</t>
  </si>
  <si>
    <t xml:space="preserve">मनजीत सिह पुत्र</t>
  </si>
  <si>
    <t xml:space="preserve">जग्गा सिह का</t>
  </si>
  <si>
    <t xml:space="preserve">रक्बा आङरहन</t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</si>
  <si>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.9/96</t>
    </r>
    <r>
      <rPr>
        <sz val="12"/>
        <color rgb="FF000000"/>
        <rFont val="FreeSans"/>
        <family val="2"/>
      </rPr>
      <t xml:space="preserve">पर</t>
    </r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</si>
  <si>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1552</t>
    </r>
    <r>
      <rPr>
        <sz val="12"/>
        <color rgb="FF000000"/>
        <rFont val="FreeSans"/>
        <family val="2"/>
      </rPr>
      <t xml:space="preserve">तिथी</t>
    </r>
  </si>
  <si>
    <r>
      <rPr>
        <sz val="12"/>
        <color rgb="FF000000"/>
        <rFont val="Calibri"/>
        <family val="2"/>
        <charset val="1"/>
      </rPr>
      <t xml:space="preserve">11/11/2010 </t>
    </r>
    <r>
      <rPr>
        <sz val="12"/>
        <color rgb="FF000000"/>
        <rFont val="FreeSans"/>
        <family val="2"/>
      </rPr>
      <t xml:space="preserve">केअनुसार</t>
    </r>
  </si>
  <si>
    <t xml:space="preserve">मिन जानिमसरजीत सिह</t>
  </si>
  <si>
    <t xml:space="preserve">उर्फसुरजीत सिह</t>
  </si>
  <si>
    <t xml:space="preserve">पुत्रजग्गा सिह का</t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</si>
  <si>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.9/96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.52//21</t>
    </r>
    <r>
      <rPr>
        <sz val="12"/>
        <color rgb="FF000000"/>
        <rFont val="FreeSans"/>
        <family val="2"/>
      </rPr>
      <t xml:space="preserve">मिन</t>
    </r>
    <r>
      <rPr>
        <sz val="12"/>
        <color rgb="FF000000"/>
        <rFont val="Calibri"/>
        <family val="2"/>
        <charset val="1"/>
      </rPr>
      <t xml:space="preserve">-</t>
    </r>
  </si>
  <si>
    <r>
      <rPr>
        <sz val="12"/>
        <color rgb="FF000000"/>
        <rFont val="Calibri"/>
        <family val="2"/>
        <charset val="1"/>
      </rPr>
      <t xml:space="preserve">22-23/1</t>
    </r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16-0</t>
    </r>
  </si>
  <si>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1/3</t>
    </r>
    <r>
      <rPr>
        <sz val="12"/>
        <color rgb="FF000000"/>
        <rFont val="FreeSans"/>
        <family val="2"/>
      </rPr>
      <t xml:space="preserve">भाग बक्दर</t>
    </r>
  </si>
  <si>
    <r>
      <rPr>
        <sz val="12"/>
        <color rgb="FF000000"/>
        <rFont val="Calibri"/>
        <family val="2"/>
        <charset val="1"/>
      </rPr>
      <t xml:space="preserve">5-6</t>
    </r>
    <r>
      <rPr>
        <sz val="12"/>
        <color rgb="FF000000"/>
        <rFont val="FreeSans"/>
        <family val="2"/>
      </rPr>
      <t xml:space="preserve">वखेवट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</si>
  <si>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.406/813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.35//6/2</t>
    </r>
  </si>
  <si>
    <r>
      <rPr>
        <sz val="12"/>
        <color rgb="FF000000"/>
        <rFont val="Calibri"/>
        <family val="2"/>
        <charset val="1"/>
      </rPr>
      <t xml:space="preserve">-23,38//15/1</t>
    </r>
    <r>
      <rPr>
        <sz val="12"/>
        <color rgb="FF000000"/>
        <rFont val="FreeSans"/>
        <family val="2"/>
      </rPr>
      <t xml:space="preserve">रक्बा</t>
    </r>
  </si>
  <si>
    <r>
      <rPr>
        <sz val="12"/>
        <color rgb="FF000000"/>
        <rFont val="Calibri"/>
        <family val="2"/>
        <charset val="1"/>
      </rPr>
      <t xml:space="preserve">44-13 </t>
    </r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211/893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</si>
  <si>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बक्दर</t>
    </r>
    <r>
      <rPr>
        <sz val="12"/>
        <color rgb="FF000000"/>
        <rFont val="Calibri"/>
        <family val="2"/>
        <charset val="1"/>
      </rPr>
      <t xml:space="preserve">10-11 </t>
    </r>
    <r>
      <rPr>
        <sz val="12"/>
        <color rgb="FF000000"/>
        <rFont val="FreeSans"/>
        <family val="2"/>
      </rPr>
      <t xml:space="preserve">व</t>
    </r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</si>
  <si>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.406/814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.35/</t>
    </r>
  </si>
  <si>
    <r>
      <rPr>
        <sz val="12"/>
        <color rgb="FF000000"/>
        <rFont val="Calibri"/>
        <family val="2"/>
        <charset val="1"/>
      </rPr>
      <t xml:space="preserve">/7/1-14/2-17/1</t>
    </r>
    <r>
      <rPr>
        <sz val="12"/>
        <color rgb="FF000000"/>
        <rFont val="FreeSans"/>
        <family val="2"/>
      </rPr>
      <t xml:space="preserve">रक्बा</t>
    </r>
  </si>
  <si>
    <r>
      <rPr>
        <sz val="12"/>
        <color rgb="FF000000"/>
        <rFont val="Calibri"/>
        <family val="2"/>
        <charset val="1"/>
      </rPr>
      <t xml:space="preserve">10-12 </t>
    </r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1/3</t>
    </r>
    <r>
      <rPr>
        <sz val="12"/>
        <color rgb="FF000000"/>
        <rFont val="FreeSans"/>
        <family val="2"/>
      </rPr>
      <t xml:space="preserve">भाग बकदर</t>
    </r>
  </si>
  <si>
    <r>
      <rPr>
        <sz val="12"/>
        <color rgb="FF000000"/>
        <rFont val="Calibri"/>
        <family val="2"/>
        <charset val="1"/>
      </rPr>
      <t xml:space="preserve">3-10</t>
    </r>
    <r>
      <rPr>
        <sz val="12"/>
        <color rgb="FF000000"/>
        <rFont val="FreeSans"/>
        <family val="2"/>
      </rPr>
      <t xml:space="preserve">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</si>
  <si>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.412/829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.43//16-</t>
    </r>
  </si>
  <si>
    <t xml:space="preserve">17/2-23-24-25,44//11</t>
  </si>
  <si>
    <t xml:space="preserve">-12-13-14/1-14/2-15-</t>
  </si>
  <si>
    <t xml:space="preserve">20/2-21-22-23/1,45//</t>
  </si>
  <si>
    <t xml:space="preserve">11-12/1-19/2-20-21,4</t>
  </si>
  <si>
    <t xml:space="preserve">9//1-2-9/1-10/1,50//</t>
  </si>
  <si>
    <r>
      <rPr>
        <sz val="12"/>
        <color rgb="FF000000"/>
        <rFont val="Calibri"/>
        <family val="2"/>
        <charset val="1"/>
      </rPr>
      <t xml:space="preserve">3/1-3/2-4-5-6-7-8</t>
    </r>
    <r>
      <rPr>
        <sz val="12"/>
        <color rgb="FF000000"/>
        <rFont val="FreeSans"/>
        <family val="2"/>
      </rPr>
      <t xml:space="preserve">रक्</t>
    </r>
  </si>
  <si>
    <r>
      <rPr>
        <sz val="12"/>
        <color rgb="FF000000"/>
        <rFont val="FreeSans"/>
        <family val="2"/>
      </rPr>
      <t xml:space="preserve">बा </t>
    </r>
    <r>
      <rPr>
        <sz val="12"/>
        <color rgb="FF000000"/>
        <rFont val="Calibri"/>
        <family val="2"/>
        <charset val="1"/>
      </rPr>
      <t xml:space="preserve">173-14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</si>
  <si>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154/3474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</si>
  <si>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बक्दर</t>
    </r>
    <r>
      <rPr>
        <sz val="12"/>
        <color rgb="FF000000"/>
        <rFont val="Calibri"/>
        <family val="2"/>
        <charset val="1"/>
      </rPr>
      <t xml:space="preserve">7-14 </t>
    </r>
    <r>
      <rPr>
        <sz val="12"/>
        <color rgb="FF000000"/>
        <rFont val="FreeSans"/>
        <family val="2"/>
      </rPr>
      <t xml:space="preserve">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</si>
  <si>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.41/831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.44//17/1</t>
    </r>
  </si>
  <si>
    <t xml:space="preserve">/2-18/1/2-19/1/2-20/</t>
  </si>
  <si>
    <r>
      <rPr>
        <sz val="12"/>
        <color rgb="FF000000"/>
        <rFont val="Calibri"/>
        <family val="2"/>
        <charset val="1"/>
      </rPr>
      <t xml:space="preserve">1/2-23/2,44//24/1</t>
    </r>
    <r>
      <rPr>
        <sz val="12"/>
        <color rgb="FF000000"/>
        <rFont val="FreeSans"/>
        <family val="2"/>
      </rPr>
      <t xml:space="preserve">रक्</t>
    </r>
  </si>
  <si>
    <r>
      <rPr>
        <sz val="12"/>
        <color rgb="FF000000"/>
        <rFont val="FreeSans"/>
        <family val="2"/>
      </rPr>
      <t xml:space="preserve">बा </t>
    </r>
    <r>
      <rPr>
        <sz val="12"/>
        <color rgb="FF000000"/>
        <rFont val="Calibri"/>
        <family val="2"/>
        <charset val="1"/>
      </rPr>
      <t xml:space="preserve">15-2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1/3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</si>
  <si>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बक्दर </t>
    </r>
    <r>
      <rPr>
        <sz val="12"/>
        <color rgb="FF000000"/>
        <rFont val="Calibri"/>
        <family val="2"/>
        <charset val="1"/>
      </rPr>
      <t xml:space="preserve">5-0</t>
    </r>
    <r>
      <rPr>
        <sz val="12"/>
        <color rgb="FF000000"/>
        <rFont val="FreeSans"/>
        <family val="2"/>
      </rPr>
      <t xml:space="preserve">ने खेवट 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</si>
  <si>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412/832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.44//16/2-</t>
    </r>
  </si>
  <si>
    <r>
      <rPr>
        <sz val="12"/>
        <color rgb="FF000000"/>
        <rFont val="Calibri"/>
        <family val="2"/>
        <charset val="1"/>
      </rPr>
      <t xml:space="preserve">17/2-18/2-19/2</t>
    </r>
    <r>
      <rPr>
        <sz val="12"/>
        <color rgb="FF000000"/>
        <rFont val="FreeSans"/>
        <family val="2"/>
      </rPr>
      <t xml:space="preserve">रक्बा</t>
    </r>
  </si>
  <si>
    <r>
      <rPr>
        <sz val="12"/>
        <color rgb="FF000000"/>
        <rFont val="Calibri"/>
        <family val="2"/>
        <charset val="1"/>
      </rPr>
      <t xml:space="preserve">11-12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1/3</t>
    </r>
    <r>
      <rPr>
        <sz val="12"/>
        <color rgb="FF000000"/>
        <rFont val="FreeSans"/>
        <family val="2"/>
      </rPr>
      <t xml:space="preserve">भाग बक्दर</t>
    </r>
  </si>
  <si>
    <r>
      <rPr>
        <sz val="12"/>
        <color rgb="FF000000"/>
        <rFont val="Calibri"/>
        <family val="2"/>
        <charset val="1"/>
      </rPr>
      <t xml:space="preserve">3-17</t>
    </r>
    <r>
      <rPr>
        <sz val="12"/>
        <color rgb="FF000000"/>
        <rFont val="FreeSans"/>
        <family val="2"/>
      </rPr>
      <t xml:space="preserve">खेवट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</si>
  <si>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.412/833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.43//17/</t>
    </r>
  </si>
  <si>
    <t xml:space="preserve">1/2,44//16/1-17/1/1-</t>
  </si>
  <si>
    <t xml:space="preserve">18/1/1-19/1/1-20/1/1</t>
  </si>
  <si>
    <r>
      <rPr>
        <sz val="12"/>
        <color rgb="FF000000"/>
        <rFont val="FreeSans"/>
        <family val="2"/>
      </rPr>
      <t xml:space="preserve">रक्बा</t>
    </r>
    <r>
      <rPr>
        <sz val="12"/>
        <color rgb="FF000000"/>
        <rFont val="Calibri"/>
        <family val="2"/>
        <charset val="1"/>
      </rPr>
      <t xml:space="preserve">23-4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1/2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</si>
  <si>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बक्दर</t>
    </r>
    <r>
      <rPr>
        <sz val="12"/>
        <color rgb="FF000000"/>
        <rFont val="Calibri"/>
        <family val="2"/>
        <charset val="1"/>
      </rPr>
      <t xml:space="preserve">11-12 </t>
    </r>
    <r>
      <rPr>
        <sz val="12"/>
        <color rgb="FF000000"/>
        <rFont val="FreeSans"/>
        <family val="2"/>
      </rPr>
      <t xml:space="preserve">खेवटन</t>
    </r>
  </si>
  <si>
    <r>
      <rPr>
        <sz val="12"/>
        <color rgb="FF000000"/>
        <rFont val="Calibri"/>
        <family val="2"/>
        <charset val="1"/>
      </rPr>
      <t xml:space="preserve">.413/834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.29//16/2</t>
    </r>
  </si>
  <si>
    <t xml:space="preserve">-25,38//16-25,39//21</t>
  </si>
  <si>
    <t xml:space="preserve">/1,44//4/2-5-6-7/1,4</t>
  </si>
  <si>
    <t xml:space="preserve">5//1-2-9-10,53//1/2-</t>
  </si>
  <si>
    <t xml:space="preserve">2-6to20-21/1,54//1-2</t>
  </si>
  <si>
    <r>
      <rPr>
        <sz val="12"/>
        <color rgb="FF000000"/>
        <rFont val="Calibri"/>
        <family val="2"/>
        <charset val="1"/>
      </rPr>
      <t xml:space="preserve">,55//5</t>
    </r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292-18</t>
    </r>
  </si>
  <si>
    <r>
      <rPr>
        <sz val="12"/>
        <color rgb="FF000000"/>
        <rFont val="FreeSans"/>
        <family val="2"/>
      </rPr>
      <t xml:space="preserve">का</t>
    </r>
    <r>
      <rPr>
        <sz val="12"/>
        <color rgb="FF000000"/>
        <rFont val="Calibri"/>
        <family val="2"/>
        <charset val="1"/>
      </rPr>
      <t xml:space="preserve">509/5858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</si>
  <si>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बक्दर</t>
    </r>
    <r>
      <rPr>
        <sz val="12"/>
        <color rgb="FF000000"/>
        <rFont val="Calibri"/>
        <family val="2"/>
        <charset val="1"/>
      </rPr>
      <t xml:space="preserve">25-9</t>
    </r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</si>
  <si>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.413/835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.53/</t>
    </r>
  </si>
  <si>
    <t xml:space="preserve">/1/1,54//3-7-8-12/2-</t>
  </si>
  <si>
    <r>
      <rPr>
        <sz val="12"/>
        <color rgb="FF000000"/>
        <rFont val="Calibri"/>
        <family val="2"/>
        <charset val="1"/>
      </rPr>
      <t xml:space="preserve">13-14</t>
    </r>
    <r>
      <rPr>
        <sz val="12"/>
        <color rgb="FF000000"/>
        <rFont val="FreeSans"/>
        <family val="2"/>
      </rPr>
      <t xml:space="preserve">रक्बा</t>
    </r>
    <r>
      <rPr>
        <sz val="12"/>
        <color rgb="FF000000"/>
        <rFont val="Calibri"/>
        <family val="2"/>
        <charset val="1"/>
      </rPr>
      <t xml:space="preserve">47-6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</si>
  <si>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1/4</t>
    </r>
    <r>
      <rPr>
        <sz val="12"/>
        <color rgb="FF000000"/>
        <rFont val="FreeSans"/>
        <family val="2"/>
      </rPr>
      <t xml:space="preserve">भाग बक्दर</t>
    </r>
    <r>
      <rPr>
        <sz val="12"/>
        <color rgb="FF000000"/>
        <rFont val="Calibri"/>
        <family val="2"/>
        <charset val="1"/>
      </rPr>
      <t xml:space="preserve">11-16</t>
    </r>
  </si>
  <si>
    <r>
      <rPr>
        <sz val="12"/>
        <color rgb="FF000000"/>
        <rFont val="FreeSans"/>
        <family val="2"/>
      </rPr>
      <t xml:space="preserve">खेवटन</t>
    </r>
    <r>
      <rPr>
        <sz val="12"/>
        <color rgb="FF000000"/>
        <rFont val="Calibri"/>
        <family val="2"/>
        <charset val="1"/>
      </rPr>
      <t xml:space="preserve">.414/836</t>
    </r>
    <r>
      <rPr>
        <sz val="12"/>
        <color rgb="FF000000"/>
        <rFont val="FreeSans"/>
        <family val="2"/>
      </rPr>
      <t xml:space="preserve">ख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.35/</t>
    </r>
  </si>
  <si>
    <r>
      <rPr>
        <sz val="12"/>
        <color rgb="FF000000"/>
        <rFont val="Calibri"/>
        <family val="2"/>
        <charset val="1"/>
      </rPr>
      <t xml:space="preserve">/6/1</t>
    </r>
    <r>
      <rPr>
        <sz val="12"/>
        <color rgb="FF000000"/>
        <rFont val="FreeSans"/>
        <family val="2"/>
      </rPr>
      <t xml:space="preserve">रक्बा</t>
    </r>
    <r>
      <rPr>
        <sz val="12"/>
        <color rgb="FF000000"/>
        <rFont val="Calibri"/>
        <family val="2"/>
        <charset val="1"/>
      </rPr>
      <t xml:space="preserve">3-11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</si>
  <si>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1/3</t>
    </r>
    <r>
      <rPr>
        <sz val="12"/>
        <color rgb="FF000000"/>
        <rFont val="FreeSans"/>
        <family val="2"/>
      </rPr>
      <t xml:space="preserve">भाग </t>
    </r>
    <r>
      <rPr>
        <sz val="12"/>
        <color rgb="FF000000"/>
        <rFont val="Calibri"/>
        <family val="2"/>
        <charset val="1"/>
      </rPr>
      <t xml:space="preserve">1-3</t>
    </r>
    <r>
      <rPr>
        <sz val="12"/>
        <color rgb="FF000000"/>
        <rFont val="FreeSans"/>
        <family val="2"/>
      </rPr>
      <t xml:space="preserve">कुल बक्दर</t>
    </r>
  </si>
  <si>
    <r>
      <rPr>
        <sz val="12"/>
        <color rgb="FF000000"/>
        <rFont val="FreeSans"/>
        <family val="2"/>
      </rPr>
      <t xml:space="preserve">रक्बा</t>
    </r>
    <r>
      <rPr>
        <sz val="12"/>
        <color rgb="FF000000"/>
        <rFont val="Calibri"/>
        <family val="2"/>
        <charset val="1"/>
      </rPr>
      <t xml:space="preserve">85-18 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</si>
  <si>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.300000 /- </t>
    </r>
    <r>
      <rPr>
        <sz val="12"/>
        <color rgb="FF000000"/>
        <rFont val="FreeSans"/>
        <family val="2"/>
      </rPr>
      <t xml:space="preserve">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मे</t>
    </r>
  </si>
  <si>
    <r>
      <rPr>
        <sz val="12"/>
        <color rgb="FF000000"/>
        <rFont val="Calibri"/>
        <family val="2"/>
        <charset val="1"/>
      </rPr>
      <t xml:space="preserve">SB I </t>
    </r>
    <r>
      <rPr>
        <sz val="12"/>
        <color rgb="FF000000"/>
        <rFont val="FreeSans"/>
        <family val="2"/>
      </rPr>
      <t xml:space="preserve">कालावाली के</t>
    </r>
  </si>
  <si>
    <t xml:space="preserve">पासता अदायगी रकम</t>
  </si>
  <si>
    <t xml:space="preserve">रकबाआड रहन रहेगा ा</t>
  </si>
  <si>
    <r>
      <rPr>
        <sz val="12"/>
        <color rgb="FF000000"/>
        <rFont val="FreeSans"/>
        <family val="2"/>
      </rPr>
      <t xml:space="preserve">मनजीत सिहं</t>
    </r>
    <r>
      <rPr>
        <sz val="12"/>
        <color rgb="FF000000"/>
        <rFont val="Calibri"/>
        <family val="2"/>
        <charset val="1"/>
      </rPr>
      <t xml:space="preserve">,</t>
    </r>
  </si>
  <si>
    <t xml:space="preserve">कुलदीप सिहं</t>
  </si>
  <si>
    <r>
      <rPr>
        <sz val="12"/>
        <color rgb="FF000000"/>
        <rFont val="Calibri"/>
        <family val="2"/>
        <charset val="1"/>
      </rPr>
      <t xml:space="preserve">3-10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</si>
  <si>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3-10 </t>
    </r>
    <r>
      <rPr>
        <sz val="12"/>
        <color rgb="FF000000"/>
        <rFont val="FreeSans"/>
        <family val="2"/>
      </rPr>
      <t xml:space="preserve">बारानी</t>
    </r>
  </si>
  <si>
    <t xml:space="preserve">38//</t>
  </si>
  <si>
    <t xml:space="preserve">15/1</t>
  </si>
  <si>
    <r>
      <rPr>
        <sz val="12"/>
        <color rgb="FF000000"/>
        <rFont val="FreeSans"/>
        <family val="2"/>
      </rPr>
      <t xml:space="preserve">किते </t>
    </r>
    <r>
      <rPr>
        <sz val="12"/>
        <color rgb="FF000000"/>
        <rFont val="Calibri"/>
        <family val="2"/>
        <charset val="1"/>
      </rPr>
      <t xml:space="preserve">8</t>
    </r>
  </si>
  <si>
    <t xml:space="preserve">44-13</t>
  </si>
  <si>
    <r>
      <rPr>
        <sz val="12"/>
        <color rgb="FF000000"/>
        <rFont val="Calibri"/>
        <family val="2"/>
        <charset val="1"/>
      </rPr>
      <t xml:space="preserve">29-3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</si>
  <si>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1-12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</si>
  <si>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4-10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</si>
  <si>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FreeSans"/>
        <family val="2"/>
      </rPr>
      <t xml:space="preserve">सुरजीत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</si>
  <si>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जग्गा सिंह पुत्र</t>
  </si>
  <si>
    <t xml:space="preserve">सुरेश कुमार</t>
  </si>
  <si>
    <t xml:space="preserve">55//</t>
  </si>
  <si>
    <t xml:space="preserve">बटाई तिहाई</t>
  </si>
  <si>
    <r>
      <rPr>
        <sz val="12"/>
        <color rgb="FF000000"/>
        <rFont val="Calibri"/>
        <family val="2"/>
        <charset val="1"/>
      </rPr>
      <t xml:space="preserve">3-8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</si>
  <si>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गुरजन्ट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</si>
  <si>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तेज सिंह पुत्रान</t>
  </si>
  <si>
    <t xml:space="preserve">जगर सिंह पुत्र</t>
  </si>
  <si>
    <t xml:space="preserve">19-8</t>
  </si>
  <si>
    <t xml:space="preserve">........</t>
  </si>
  <si>
    <t xml:space="preserve">96-17</t>
  </si>
  <si>
    <r>
      <rPr>
        <sz val="12"/>
        <color rgb="FF000000"/>
        <rFont val="Calibri"/>
        <family val="2"/>
        <charset val="1"/>
      </rPr>
      <t xml:space="preserve">52-19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</si>
  <si>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43-18 </t>
    </r>
    <r>
      <rPr>
        <sz val="12"/>
        <color rgb="FF000000"/>
        <rFont val="FreeSans"/>
        <family val="2"/>
      </rPr>
      <t xml:space="preserve">बारानी</t>
    </r>
  </si>
  <si>
    <t xml:space="preserve">Pakhar Iqbal</t>
  </si>
  <si>
    <t xml:space="preserve">पाखर ईकबाल</t>
  </si>
  <si>
    <t xml:space="preserve">224//</t>
  </si>
  <si>
    <r>
      <rPr>
        <sz val="12"/>
        <color rgb="FF000000"/>
        <rFont val="Calibri"/>
        <family val="2"/>
        <charset val="1"/>
      </rPr>
      <t xml:space="preserve">19250 </t>
    </r>
    <r>
      <rPr>
        <sz val="12"/>
        <color rgb="FF000000"/>
        <rFont val="FreeSans"/>
        <family val="2"/>
      </rPr>
      <t xml:space="preserve">बैय</t>
    </r>
  </si>
  <si>
    <t xml:space="preserve">नम्बरदार</t>
  </si>
  <si>
    <r>
      <rPr>
        <sz val="12"/>
        <color rgb="FF000000"/>
        <rFont val="Calibri"/>
        <family val="2"/>
        <charset val="1"/>
      </rPr>
      <t xml:space="preserve">19251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</si>
  <si>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18919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</si>
  <si>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.1907</t>
    </r>
  </si>
  <si>
    <r>
      <rPr>
        <sz val="12"/>
        <color rgb="FF000000"/>
        <rFont val="FreeSans"/>
        <family val="2"/>
      </rPr>
      <t xml:space="preserve">बाई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</si>
  <si>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12-3-2009</t>
    </r>
  </si>
  <si>
    <t xml:space="preserve">पाना पुत्रियां</t>
  </si>
  <si>
    <t xml:space="preserve">पर सोहन सिहं के रकबे</t>
  </si>
  <si>
    <t xml:space="preserve">नत्थु सिंह पुत्र</t>
  </si>
  <si>
    <t xml:space="preserve">पर स्टे दर्ज है तफसील</t>
  </si>
  <si>
    <r>
      <rPr>
        <sz val="12"/>
        <color rgb="FF000000"/>
        <rFont val="FreeSans"/>
        <family val="2"/>
      </rPr>
      <t xml:space="preserve">देखो खेवटन </t>
    </r>
    <r>
      <rPr>
        <sz val="12"/>
        <color rgb="FF000000"/>
        <rFont val="Calibri"/>
        <family val="2"/>
        <charset val="1"/>
      </rPr>
      <t xml:space="preserve">.529</t>
    </r>
  </si>
  <si>
    <r>
      <rPr>
        <sz val="12"/>
        <color rgb="FF000000"/>
        <rFont val="Calibri"/>
        <family val="2"/>
        <charset val="1"/>
      </rPr>
      <t xml:space="preserve">18982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</si>
  <si>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1/8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</si>
  <si>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15-12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</si>
  <si>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19257 </t>
    </r>
    <r>
      <rPr>
        <sz val="12"/>
        <color rgb="FF000000"/>
        <rFont val="FreeSans"/>
        <family val="2"/>
      </rPr>
      <t xml:space="preserve">बैय</t>
    </r>
  </si>
  <si>
    <t xml:space="preserve">गुरदेव कौर विधवा व</t>
  </si>
  <si>
    <r>
      <rPr>
        <sz val="12"/>
        <color rgb="FF000000"/>
        <rFont val="FreeSans"/>
        <family val="2"/>
      </rPr>
      <t xml:space="preserve">बदर न</t>
    </r>
    <r>
      <rPr>
        <sz val="12"/>
        <color rgb="FF000000"/>
        <rFont val="Calibri"/>
        <family val="2"/>
        <charset val="1"/>
      </rPr>
      <t xml:space="preserve">.128</t>
    </r>
  </si>
  <si>
    <r>
      <rPr>
        <sz val="12"/>
        <color rgb="FF000000"/>
        <rFont val="FreeSans"/>
        <family val="2"/>
      </rPr>
      <t xml:space="preserve">करणी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</si>
  <si>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राजेन्द्र सिंह पुत्रान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</si>
  <si>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</si>
  <si>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150 </t>
    </r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27-04-2011 </t>
    </r>
    <r>
      <rPr>
        <sz val="12"/>
        <color rgb="FF000000"/>
        <rFont val="FreeSans"/>
        <family val="2"/>
      </rPr>
      <t xml:space="preserve">के</t>
    </r>
  </si>
  <si>
    <t xml:space="preserve">रानी पुत्री</t>
  </si>
  <si>
    <t xml:space="preserve">अनुसार आमदा आदेश</t>
  </si>
  <si>
    <t xml:space="preserve">हरी सिंह पुत्र</t>
  </si>
  <si>
    <r>
      <rPr>
        <sz val="12"/>
        <color rgb="FF000000"/>
        <rFont val="FreeSans"/>
        <family val="2"/>
      </rPr>
      <t xml:space="preserve">श्री अतुल मङिया </t>
    </r>
    <r>
      <rPr>
        <sz val="12"/>
        <color rgb="FF000000"/>
        <rFont val="Calibri"/>
        <family val="2"/>
        <charset val="1"/>
      </rPr>
      <t xml:space="preserve">Add.</t>
    </r>
  </si>
  <si>
    <t xml:space="preserve">नत्थु सिंह</t>
  </si>
  <si>
    <t xml:space="preserve">Civil Judge (Sr.Divi)</t>
  </si>
  <si>
    <r>
      <rPr>
        <sz val="12"/>
        <color rgb="FF000000"/>
        <rFont val="FreeSans"/>
        <family val="2"/>
      </rPr>
      <t xml:space="preserve">डबवाली केस न</t>
    </r>
    <r>
      <rPr>
        <sz val="12"/>
        <color rgb="FF000000"/>
        <rFont val="Calibri"/>
        <family val="2"/>
        <charset val="1"/>
      </rPr>
      <t xml:space="preserve">. 1273</t>
    </r>
  </si>
  <si>
    <r>
      <rPr>
        <sz val="12"/>
        <color rgb="FF000000"/>
        <rFont val="Calibri"/>
        <family val="2"/>
        <charset val="1"/>
      </rPr>
      <t xml:space="preserve">31/624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</si>
  <si>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of2007 </t>
    </r>
    <r>
      <rPr>
        <sz val="12"/>
        <color rgb="FF000000"/>
        <rFont val="FreeSans"/>
        <family val="2"/>
      </rPr>
      <t xml:space="preserve">फैसला तारीख</t>
    </r>
  </si>
  <si>
    <r>
      <rPr>
        <sz val="12"/>
        <color rgb="FF000000"/>
        <rFont val="FreeSans"/>
        <family val="2"/>
      </rPr>
      <t xml:space="preserve">जीत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</si>
  <si>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23-04-2011</t>
  </si>
  <si>
    <t xml:space="preserve">सोहन सिंह पुत्रान व</t>
  </si>
  <si>
    <t xml:space="preserve">मिनजानिब जीत सिह</t>
  </si>
  <si>
    <r>
      <rPr>
        <sz val="12"/>
        <color rgb="FF000000"/>
        <rFont val="FreeSans"/>
        <family val="2"/>
      </rPr>
      <t xml:space="preserve">भजनो</t>
    </r>
    <r>
      <rPr>
        <sz val="12"/>
        <color rgb="FF000000"/>
        <rFont val="Calibri"/>
        <family val="2"/>
        <charset val="1"/>
      </rPr>
      <t xml:space="preserve">,</t>
    </r>
  </si>
  <si>
    <t xml:space="preserve">आदि बनाम सोहन सिह आदि</t>
  </si>
  <si>
    <t xml:space="preserve">सन्तरो पुत्रियां</t>
  </si>
  <si>
    <r>
      <rPr>
        <sz val="12"/>
        <color rgb="FF000000"/>
        <rFont val="FreeSans"/>
        <family val="2"/>
      </rPr>
      <t xml:space="preserve">के खेवट न</t>
    </r>
    <r>
      <rPr>
        <sz val="12"/>
        <color rgb="FF000000"/>
        <rFont val="Calibri"/>
        <family val="2"/>
        <charset val="1"/>
      </rPr>
      <t xml:space="preserve">. 528-529-530-</t>
    </r>
  </si>
  <si>
    <t xml:space="preserve">पूर्ण सिंह पुत्र</t>
  </si>
  <si>
    <r>
      <rPr>
        <sz val="12"/>
        <color rgb="FF000000"/>
        <rFont val="Calibri"/>
        <family val="2"/>
        <charset val="1"/>
      </rPr>
      <t xml:space="preserve">531-1260 </t>
    </r>
    <r>
      <rPr>
        <sz val="12"/>
        <color rgb="FF000000"/>
        <rFont val="FreeSans"/>
        <family val="2"/>
      </rPr>
      <t xml:space="preserve">जमाबन्दी</t>
    </r>
  </si>
  <si>
    <t xml:space="preserve">भुरा सिंह</t>
  </si>
  <si>
    <r>
      <rPr>
        <sz val="12"/>
        <color rgb="FF000000"/>
        <rFont val="Calibri"/>
        <family val="2"/>
        <charset val="1"/>
      </rPr>
      <t xml:space="preserve">2007-08 </t>
    </r>
    <r>
      <rPr>
        <sz val="12"/>
        <color rgb="FF000000"/>
        <rFont val="FreeSans"/>
        <family val="2"/>
      </rPr>
      <t xml:space="preserve">मे उपरोक्त</t>
    </r>
  </si>
  <si>
    <t xml:space="preserve">मालकान का न्यायलय मे</t>
  </si>
  <si>
    <r>
      <rPr>
        <sz val="12"/>
        <color rgb="FF000000"/>
        <rFont val="Calibri"/>
        <family val="2"/>
        <charset val="1"/>
      </rPr>
      <t xml:space="preserve">83/624 </t>
    </r>
    <r>
      <rPr>
        <sz val="12"/>
        <color rgb="FF000000"/>
        <rFont val="FreeSans"/>
        <family val="2"/>
      </rPr>
      <t xml:space="preserve">भाग</t>
    </r>
  </si>
  <si>
    <t xml:space="preserve">केस विचराधीन था अब</t>
  </si>
  <si>
    <t xml:space="preserve">कौशल्या देवी विधवा</t>
  </si>
  <si>
    <r>
      <rPr>
        <sz val="12"/>
        <color rgb="FF000000"/>
        <rFont val="FreeSans"/>
        <family val="2"/>
      </rPr>
      <t xml:space="preserve">केस न</t>
    </r>
    <r>
      <rPr>
        <sz val="12"/>
        <color rgb="FF000000"/>
        <rFont val="Calibri"/>
        <family val="2"/>
        <charset val="1"/>
      </rPr>
      <t xml:space="preserve">. 1273of2007</t>
    </r>
  </si>
  <si>
    <t xml:space="preserve">जगरूप सिंह पुत्र</t>
  </si>
  <si>
    <r>
      <rPr>
        <sz val="12"/>
        <color rgb="FF000000"/>
        <rFont val="FreeSans"/>
        <family val="2"/>
      </rPr>
      <t xml:space="preserve">फैसला </t>
    </r>
    <r>
      <rPr>
        <sz val="12"/>
        <color rgb="FF000000"/>
        <rFont val="Calibri"/>
        <family val="2"/>
        <charset val="1"/>
      </rPr>
      <t xml:space="preserve">23-04-2011</t>
    </r>
  </si>
  <si>
    <t xml:space="preserve">पूर्ण सिंह</t>
  </si>
  <si>
    <t xml:space="preserve">के मुताबिक दोनो</t>
  </si>
  <si>
    <r>
      <rPr>
        <sz val="12"/>
        <color rgb="FF000000"/>
        <rFont val="Calibri"/>
        <family val="2"/>
        <charset val="1"/>
      </rPr>
      <t xml:space="preserve">1/78 </t>
    </r>
    <r>
      <rPr>
        <sz val="12"/>
        <color rgb="FF000000"/>
        <rFont val="FreeSans"/>
        <family val="2"/>
      </rPr>
      <t xml:space="preserve">भाग</t>
    </r>
  </si>
  <si>
    <t xml:space="preserve">पार्टीयो</t>
  </si>
  <si>
    <r>
      <rPr>
        <sz val="12"/>
        <color rgb="FF000000"/>
        <rFont val="FreeSans"/>
        <family val="2"/>
      </rPr>
      <t xml:space="preserve">डी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सी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</si>
  <si>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का समझोता हो चुका है।</t>
  </si>
  <si>
    <t xml:space="preserve">इकबाल सिंह पुत्रान</t>
  </si>
  <si>
    <t xml:space="preserve">स्टे विकेट हो चुका है।</t>
  </si>
  <si>
    <r>
      <rPr>
        <sz val="12"/>
        <color rgb="FF000000"/>
        <rFont val="Calibri"/>
        <family val="2"/>
        <charset val="1"/>
      </rPr>
      <t xml:space="preserve">1/48 </t>
    </r>
    <r>
      <rPr>
        <sz val="12"/>
        <color rgb="FF000000"/>
        <rFont val="FreeSans"/>
        <family val="2"/>
      </rPr>
      <t xml:space="preserve">भाग</t>
    </r>
  </si>
  <si>
    <t xml:space="preserve">कृष्णा पुत्री</t>
  </si>
  <si>
    <t xml:space="preserve">नत्थु पुत्र</t>
  </si>
  <si>
    <t xml:space="preserve">ईशर</t>
  </si>
  <si>
    <r>
      <rPr>
        <sz val="12"/>
        <color rgb="FF000000"/>
        <rFont val="Calibri"/>
        <family val="2"/>
        <charset val="1"/>
      </rPr>
      <t xml:space="preserve">19/624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</si>
  <si>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37/312 </t>
    </r>
    <r>
      <rPr>
        <sz val="12"/>
        <color rgb="FF000000"/>
        <rFont val="FreeSans"/>
        <family val="2"/>
      </rPr>
      <t xml:space="preserve">भाग</t>
    </r>
  </si>
  <si>
    <t xml:space="preserve">वीरपाल कौर पत्नी</t>
  </si>
  <si>
    <t xml:space="preserve">पवन कुमार पुत्र</t>
  </si>
  <si>
    <t xml:space="preserve">गोविन्दराम</t>
  </si>
  <si>
    <r>
      <rPr>
        <sz val="12"/>
        <color rgb="FF000000"/>
        <rFont val="Calibri"/>
        <family val="2"/>
        <charset val="1"/>
      </rPr>
      <t xml:space="preserve">5/312 </t>
    </r>
    <r>
      <rPr>
        <sz val="12"/>
        <color rgb="FF000000"/>
        <rFont val="FreeSans"/>
        <family val="2"/>
      </rPr>
      <t xml:space="preserve">भाग</t>
    </r>
  </si>
  <si>
    <t xml:space="preserve">हरपाल कौर पत्नी</t>
  </si>
  <si>
    <t xml:space="preserve">बलवीर सिंह पुत्र</t>
  </si>
  <si>
    <t xml:space="preserve">अर्जन सिंह</t>
  </si>
  <si>
    <t xml:space="preserve">शकुन्तला देवी पत्नी</t>
  </si>
  <si>
    <t xml:space="preserve">औमप्रकाश पुत्र</t>
  </si>
  <si>
    <t xml:space="preserve">किशोरीलाल</t>
  </si>
  <si>
    <t xml:space="preserve">रामी विधवा</t>
  </si>
  <si>
    <r>
      <rPr>
        <sz val="12"/>
        <color rgb="FF000000"/>
        <rFont val="Calibri"/>
        <family val="2"/>
        <charset val="1"/>
      </rPr>
      <t xml:space="preserve">8/624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</si>
  <si>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जरनैल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</si>
  <si>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मान सिंह पुत्रान</t>
  </si>
  <si>
    <r>
      <rPr>
        <sz val="12"/>
        <color rgb="FF000000"/>
        <rFont val="Calibri"/>
        <family val="2"/>
        <charset val="1"/>
      </rPr>
      <t xml:space="preserve">78/624 </t>
    </r>
    <r>
      <rPr>
        <sz val="12"/>
        <color rgb="FF000000"/>
        <rFont val="FreeSans"/>
        <family val="2"/>
      </rPr>
      <t xml:space="preserve">भाग</t>
    </r>
  </si>
  <si>
    <t xml:space="preserve">प्रकाश कौर पत्नी</t>
  </si>
  <si>
    <t xml:space="preserve">दर्शन सिंह पुत्र</t>
  </si>
  <si>
    <t xml:space="preserve">करतार सिंह</t>
  </si>
  <si>
    <r>
      <rPr>
        <sz val="12"/>
        <color rgb="FF000000"/>
        <rFont val="Calibri"/>
        <family val="2"/>
        <charset val="1"/>
      </rPr>
      <t xml:space="preserve">4/624 </t>
    </r>
    <r>
      <rPr>
        <sz val="12"/>
        <color rgb="FF000000"/>
        <rFont val="FreeSans"/>
        <family val="2"/>
      </rPr>
      <t xml:space="preserve">भाग</t>
    </r>
  </si>
  <si>
    <t xml:space="preserve">हरबन्स कौर पुत्री</t>
  </si>
  <si>
    <t xml:space="preserve">रामदास पुत्र</t>
  </si>
  <si>
    <t xml:space="preserve">शिंगारा</t>
  </si>
  <si>
    <r>
      <rPr>
        <sz val="12"/>
        <color rgb="FF000000"/>
        <rFont val="Calibri"/>
        <family val="2"/>
        <charset val="1"/>
      </rPr>
      <t xml:space="preserve">16/624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</si>
  <si>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32/624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</si>
  <si>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गोपाल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</si>
  <si>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हरबन्स सिह पुत्रान</t>
  </si>
  <si>
    <t xml:space="preserve">निक्का सिंह</t>
  </si>
  <si>
    <r>
      <rPr>
        <sz val="12"/>
        <color rgb="FF000000"/>
        <rFont val="Calibri"/>
        <family val="2"/>
        <charset val="1"/>
      </rPr>
      <t xml:space="preserve">125/624 </t>
    </r>
    <r>
      <rPr>
        <sz val="12"/>
        <color rgb="FF000000"/>
        <rFont val="FreeSans"/>
        <family val="2"/>
      </rPr>
      <t xml:space="preserve">भाग</t>
    </r>
  </si>
  <si>
    <t xml:space="preserve">मुरतहनान</t>
  </si>
  <si>
    <r>
      <rPr>
        <sz val="12"/>
        <color rgb="FF000000"/>
        <rFont val="FreeSans"/>
        <family val="2"/>
      </rPr>
      <t xml:space="preserve">सोहन लाल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</si>
  <si>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सन्तरो</t>
    </r>
    <r>
      <rPr>
        <sz val="12"/>
        <color rgb="FF000000"/>
        <rFont val="Calibri"/>
        <family val="2"/>
        <charset val="1"/>
      </rPr>
      <t xml:space="preserve">,</t>
    </r>
  </si>
  <si>
    <t xml:space="preserve">भजनो</t>
  </si>
  <si>
    <r>
      <rPr>
        <sz val="12"/>
        <color rgb="FF000000"/>
        <rFont val="FreeSans"/>
        <family val="2"/>
      </rPr>
      <t xml:space="preserve">कौशल्या देवी</t>
    </r>
    <r>
      <rPr>
        <sz val="12"/>
        <color rgb="FF000000"/>
        <rFont val="Calibri"/>
        <family val="2"/>
        <charset val="1"/>
      </rPr>
      <t xml:space="preserve">,</t>
    </r>
  </si>
  <si>
    <t xml:space="preserve">ईकबाल सिंह</t>
  </si>
  <si>
    <r>
      <rPr>
        <sz val="12"/>
        <color rgb="FF000000"/>
        <rFont val="Calibri"/>
        <family val="2"/>
        <charset val="1"/>
      </rPr>
      <t xml:space="preserve">15-12 </t>
    </r>
    <r>
      <rPr>
        <sz val="12"/>
        <color rgb="FF000000"/>
        <rFont val="FreeSans"/>
        <family val="2"/>
      </rPr>
      <t xml:space="preserve">नहरी</t>
    </r>
  </si>
  <si>
    <t xml:space="preserve">31-4</t>
  </si>
  <si>
    <t xml:space="preserve">223//</t>
  </si>
  <si>
    <r>
      <rPr>
        <sz val="12"/>
        <color rgb="FF000000"/>
        <rFont val="FreeSans"/>
        <family val="2"/>
      </rPr>
      <t xml:space="preserve">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.19947 </t>
    </r>
    <r>
      <rPr>
        <sz val="12"/>
        <color rgb="FF000000"/>
        <rFont val="FreeSans"/>
        <family val="2"/>
      </rPr>
      <t xml:space="preserve">विरासत</t>
    </r>
  </si>
  <si>
    <t xml:space="preserve">नत्थू सिंह पुत्र</t>
  </si>
  <si>
    <t xml:space="preserve">भाखड़ा नहर</t>
  </si>
  <si>
    <r>
      <rPr>
        <sz val="12"/>
        <color rgb="FF000000"/>
        <rFont val="Calibri"/>
        <family val="2"/>
        <charset val="1"/>
      </rPr>
      <t xml:space="preserve">5-11 </t>
    </r>
    <r>
      <rPr>
        <sz val="12"/>
        <color rgb="FF000000"/>
        <rFont val="FreeSans"/>
        <family val="2"/>
      </rPr>
      <t xml:space="preserve">नहरी</t>
    </r>
  </si>
  <si>
    <t xml:space="preserve">कृपाल सिंह स्टे जीत</t>
  </si>
  <si>
    <r>
      <rPr>
        <sz val="12"/>
        <color rgb="FF000000"/>
        <rFont val="Calibri"/>
        <family val="2"/>
        <charset val="1"/>
      </rPr>
      <t xml:space="preserve">487 </t>
    </r>
    <r>
      <rPr>
        <sz val="12"/>
        <color rgb="FF000000"/>
        <rFont val="FreeSans"/>
        <family val="2"/>
      </rPr>
      <t xml:space="preserve">मिन</t>
    </r>
  </si>
  <si>
    <r>
      <rPr>
        <sz val="12"/>
        <color rgb="FF000000"/>
        <rFont val="Calibri"/>
        <family val="2"/>
        <charset val="1"/>
      </rPr>
      <t xml:space="preserve">6-11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</si>
  <si>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146/3341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</si>
  <si>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0-13 </t>
    </r>
    <r>
      <rPr>
        <sz val="12"/>
        <color rgb="FF000000"/>
        <rFont val="FreeSans"/>
        <family val="2"/>
      </rPr>
      <t xml:space="preserve">नहरी</t>
    </r>
  </si>
  <si>
    <t xml:space="preserve">बनाम सिंह सोहन सिंह</t>
  </si>
  <si>
    <t xml:space="preserve">बलबीर सिंह पुत्र</t>
  </si>
  <si>
    <t xml:space="preserve">23/1</t>
  </si>
  <si>
    <r>
      <rPr>
        <sz val="12"/>
        <color rgb="FF000000"/>
        <rFont val="Calibri"/>
        <family val="2"/>
        <charset val="1"/>
      </rPr>
      <t xml:space="preserve">0-13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</si>
  <si>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FreeSans"/>
        <family val="2"/>
      </rPr>
      <t xml:space="preserve">देखो खेवट न</t>
    </r>
    <r>
      <rPr>
        <sz val="12"/>
        <color rgb="FF000000"/>
        <rFont val="Calibri"/>
        <family val="2"/>
        <charset val="1"/>
      </rPr>
      <t xml:space="preserve">.1184</t>
    </r>
  </si>
  <si>
    <t xml:space="preserve">नत्थू पुत्र</t>
  </si>
  <si>
    <r>
      <rPr>
        <sz val="12"/>
        <color rgb="FF000000"/>
        <rFont val="Calibri"/>
        <family val="2"/>
        <charset val="1"/>
      </rPr>
      <t xml:space="preserve">19427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</si>
  <si>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0-1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</si>
  <si>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20169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</si>
  <si>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140/3341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</si>
  <si>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20203 </t>
    </r>
    <r>
      <rPr>
        <sz val="12"/>
        <color rgb="FF000000"/>
        <rFont val="FreeSans"/>
        <family val="2"/>
      </rPr>
      <t xml:space="preserve">बैय</t>
    </r>
  </si>
  <si>
    <t xml:space="preserve">जरनैल सिंह पुत्र</t>
  </si>
  <si>
    <t xml:space="preserve">24/1/1</t>
  </si>
  <si>
    <r>
      <rPr>
        <sz val="12"/>
        <color rgb="FF000000"/>
        <rFont val="Calibri"/>
        <family val="2"/>
        <charset val="1"/>
      </rPr>
      <t xml:space="preserve">18595 </t>
    </r>
    <r>
      <rPr>
        <sz val="12"/>
        <color rgb="FF000000"/>
        <rFont val="FreeSans"/>
        <family val="2"/>
      </rPr>
      <t xml:space="preserve">बैय</t>
    </r>
  </si>
  <si>
    <t xml:space="preserve">24/1/3</t>
  </si>
  <si>
    <r>
      <rPr>
        <sz val="12"/>
        <color rgb="FF000000"/>
        <rFont val="Calibri"/>
        <family val="2"/>
        <charset val="1"/>
      </rPr>
      <t xml:space="preserve">0-6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</si>
  <si>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18965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</si>
  <si>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0-9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</si>
  <si>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18986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</si>
  <si>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209/3341 </t>
    </r>
    <r>
      <rPr>
        <sz val="12"/>
        <color rgb="FF000000"/>
        <rFont val="FreeSans"/>
        <family val="2"/>
      </rPr>
      <t xml:space="preserve">भाग</t>
    </r>
  </si>
  <si>
    <t xml:space="preserve">227//</t>
  </si>
  <si>
    <r>
      <rPr>
        <sz val="12"/>
        <color rgb="FF000000"/>
        <rFont val="Calibri"/>
        <family val="2"/>
        <charset val="1"/>
      </rPr>
      <t xml:space="preserve">20332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</si>
  <si>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FreeSans"/>
        <family val="2"/>
      </rPr>
      <t xml:space="preserve">कृष्णा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</si>
  <si>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.1907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</si>
  <si>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12-3-2009 </t>
    </r>
    <r>
      <rPr>
        <sz val="12"/>
        <color rgb="FF000000"/>
        <rFont val="FreeSans"/>
        <family val="2"/>
      </rPr>
      <t xml:space="preserve">आमदा आदेश</t>
    </r>
  </si>
  <si>
    <r>
      <rPr>
        <sz val="12"/>
        <color rgb="FF000000"/>
        <rFont val="FreeSans"/>
        <family val="2"/>
      </rPr>
      <t xml:space="preserve">श्री राजेश शर्मा </t>
    </r>
    <r>
      <rPr>
        <sz val="12"/>
        <color rgb="FF000000"/>
        <rFont val="Calibri"/>
        <family val="2"/>
        <charset val="1"/>
      </rPr>
      <t xml:space="preserve">HCS</t>
    </r>
  </si>
  <si>
    <t xml:space="preserve">228//</t>
  </si>
  <si>
    <t xml:space="preserve">सिविल जज डबावाली</t>
  </si>
  <si>
    <r>
      <rPr>
        <sz val="12"/>
        <color rgb="FF000000"/>
        <rFont val="FreeSans"/>
        <family val="2"/>
      </rPr>
      <t xml:space="preserve">केस न</t>
    </r>
    <r>
      <rPr>
        <sz val="12"/>
        <color rgb="FF000000"/>
        <rFont val="Calibri"/>
        <family val="2"/>
        <charset val="1"/>
      </rPr>
      <t xml:space="preserve">.1214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</si>
  <si>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417/3341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</si>
  <si>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6-10-2007 </t>
    </r>
    <r>
      <rPr>
        <sz val="12"/>
        <color rgb="FF000000"/>
        <rFont val="FreeSans"/>
        <family val="2"/>
      </rPr>
      <t xml:space="preserve">पर</t>
    </r>
  </si>
  <si>
    <t xml:space="preserve">ज्ञान चन्द पुत्र</t>
  </si>
  <si>
    <t xml:space="preserve">सोहन सिंह बनाम जीत सिंह</t>
  </si>
  <si>
    <t xml:space="preserve">निरंजन दास पुत्र</t>
  </si>
  <si>
    <r>
      <rPr>
        <sz val="12"/>
        <color rgb="FF000000"/>
        <rFont val="Calibri"/>
        <family val="2"/>
        <charset val="1"/>
      </rPr>
      <t xml:space="preserve">0-4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</si>
  <si>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डी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सी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सिंह आदि</t>
    </r>
  </si>
  <si>
    <t xml:space="preserve">गंगा राम</t>
  </si>
  <si>
    <t xml:space="preserve">खाद के गड्</t>
  </si>
  <si>
    <t xml:space="preserve">सोहन सिंह को जो रकबा</t>
  </si>
  <si>
    <r>
      <rPr>
        <sz val="12"/>
        <color rgb="FF000000"/>
        <rFont val="Calibri"/>
        <family val="2"/>
        <charset val="1"/>
      </rPr>
      <t xml:space="preserve">40/3341 </t>
    </r>
    <r>
      <rPr>
        <sz val="12"/>
        <color rgb="FF000000"/>
        <rFont val="FreeSans"/>
        <family val="2"/>
      </rPr>
      <t xml:space="preserve">भाग</t>
    </r>
  </si>
  <si>
    <t xml:space="preserve">कृपाल सिंह की विरासत</t>
  </si>
  <si>
    <t xml:space="preserve">45-14</t>
  </si>
  <si>
    <t xml:space="preserve">पर मिला है उसको रहन</t>
  </si>
  <si>
    <r>
      <rPr>
        <sz val="12"/>
        <color rgb="FF000000"/>
        <rFont val="FreeSans"/>
        <family val="2"/>
      </rPr>
      <t xml:space="preserve">करनी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</si>
  <si>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बैय आदि नही कर सकता</t>
  </si>
  <si>
    <t xml:space="preserve">स्टे दर्ज है</t>
  </si>
  <si>
    <t xml:space="preserve">45-9</t>
  </si>
  <si>
    <r>
      <rPr>
        <sz val="12"/>
        <color rgb="FF000000"/>
        <rFont val="FreeSans"/>
        <family val="2"/>
      </rPr>
      <t xml:space="preserve">बदर न</t>
    </r>
    <r>
      <rPr>
        <sz val="12"/>
        <color rgb="FF000000"/>
        <rFont val="Calibri"/>
        <family val="2"/>
        <charset val="1"/>
      </rPr>
      <t xml:space="preserve">.141</t>
    </r>
  </si>
  <si>
    <r>
      <rPr>
        <sz val="12"/>
        <color rgb="FF000000"/>
        <rFont val="Calibri"/>
        <family val="2"/>
        <charset val="1"/>
      </rPr>
      <t xml:space="preserve">0-5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</si>
  <si>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नत्थू सिंह</t>
  </si>
  <si>
    <r>
      <rPr>
        <sz val="12"/>
        <color rgb="FF000000"/>
        <rFont val="Calibri"/>
        <family val="2"/>
        <charset val="1"/>
      </rPr>
      <t xml:space="preserve">32-14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</si>
  <si>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 1246</t>
    </r>
  </si>
  <si>
    <r>
      <rPr>
        <sz val="12"/>
        <color rgb="FF000000"/>
        <rFont val="FreeSans"/>
        <family val="2"/>
      </rPr>
      <t xml:space="preserve">तिथी </t>
    </r>
    <r>
      <rPr>
        <sz val="12"/>
        <color rgb="FF000000"/>
        <rFont val="Calibri"/>
        <family val="2"/>
        <charset val="1"/>
      </rPr>
      <t xml:space="preserve">10/09/2010 </t>
    </r>
    <r>
      <rPr>
        <sz val="12"/>
        <color rgb="FF000000"/>
        <rFont val="FreeSans"/>
        <family val="2"/>
      </rPr>
      <t xml:space="preserve">के</t>
    </r>
  </si>
  <si>
    <r>
      <rPr>
        <sz val="12"/>
        <color rgb="FF000000"/>
        <rFont val="Calibri"/>
        <family val="2"/>
        <charset val="1"/>
      </rPr>
      <t xml:space="preserve">111/3341 </t>
    </r>
    <r>
      <rPr>
        <sz val="12"/>
        <color rgb="FF000000"/>
        <rFont val="FreeSans"/>
        <family val="2"/>
      </rPr>
      <t xml:space="preserve">भाग</t>
    </r>
  </si>
  <si>
    <t xml:space="preserve">कशमीर सिंह पुत्र</t>
  </si>
  <si>
    <t xml:space="preserve">हरभगवान सिह पुत्र</t>
  </si>
  <si>
    <t xml:space="preserve">मखन सिंह पुत्र</t>
  </si>
  <si>
    <t xml:space="preserve">रामनाथ पुत्र गंगाराम</t>
  </si>
  <si>
    <t xml:space="preserve">सोभा सिंह</t>
  </si>
  <si>
    <t xml:space="preserve">ने अपना प्लाट जंगीर</t>
  </si>
  <si>
    <t xml:space="preserve">सिह कालोनी नजदीक</t>
  </si>
  <si>
    <t xml:space="preserve">धर्म सिंह पुत्र</t>
  </si>
  <si>
    <t xml:space="preserve">संगम पैलेस बरुये</t>
  </si>
  <si>
    <t xml:space="preserve">बचन सिंह पुत्र</t>
  </si>
  <si>
    <r>
      <rPr>
        <sz val="12"/>
        <color rgb="FF000000"/>
        <rFont val="FreeSans"/>
        <family val="2"/>
      </rPr>
      <t xml:space="preserve">रजि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.1546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8-1-20</t>
    </r>
  </si>
  <si>
    <t xml:space="preserve">किशन सिंह</t>
  </si>
  <si>
    <r>
      <rPr>
        <sz val="12"/>
        <color rgb="FF000000"/>
        <rFont val="Calibri"/>
        <family val="2"/>
        <charset val="1"/>
      </rPr>
      <t xml:space="preserve">02</t>
    </r>
    <r>
      <rPr>
        <sz val="12"/>
        <color rgb="FF000000"/>
        <rFont val="FreeSans"/>
        <family val="2"/>
      </rPr>
      <t xml:space="preserve">पर मालक बना जिसमे</t>
    </r>
  </si>
  <si>
    <r>
      <rPr>
        <sz val="12"/>
        <color rgb="FF000000"/>
        <rFont val="Calibri"/>
        <family val="2"/>
        <charset val="1"/>
      </rPr>
      <t xml:space="preserve">15/3341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</si>
  <si>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खेवट </t>
    </r>
    <r>
      <rPr>
        <sz val="12"/>
        <color rgb="FF000000"/>
        <rFont val="Calibri"/>
        <family val="2"/>
        <charset val="1"/>
      </rPr>
      <t xml:space="preserve">529-531 </t>
    </r>
    <r>
      <rPr>
        <sz val="12"/>
        <color rgb="FF000000"/>
        <rFont val="FreeSans"/>
        <family val="2"/>
      </rPr>
      <t xml:space="preserve">कुल</t>
    </r>
  </si>
  <si>
    <r>
      <rPr>
        <sz val="12"/>
        <color rgb="FF000000"/>
        <rFont val="FreeSans"/>
        <family val="2"/>
      </rPr>
      <t xml:space="preserve">रक्बा </t>
    </r>
    <r>
      <rPr>
        <sz val="12"/>
        <color rgb="FF000000"/>
        <rFont val="Calibri"/>
        <family val="2"/>
        <charset val="1"/>
      </rPr>
      <t xml:space="preserve">45-14 </t>
    </r>
    <r>
      <rPr>
        <sz val="12"/>
        <color rgb="FF000000"/>
        <rFont val="FreeSans"/>
        <family val="2"/>
      </rPr>
      <t xml:space="preserve">का</t>
    </r>
  </si>
  <si>
    <r>
      <rPr>
        <sz val="12"/>
        <color rgb="FF000000"/>
        <rFont val="Calibri"/>
        <family val="2"/>
        <charset val="1"/>
      </rPr>
      <t xml:space="preserve">24/914</t>
    </r>
    <r>
      <rPr>
        <sz val="12"/>
        <color rgb="FF000000"/>
        <rFont val="FreeSans"/>
        <family val="2"/>
      </rPr>
      <t xml:space="preserve">भाग बक्दर</t>
    </r>
  </si>
  <si>
    <t xml:space="preserve">काकू सिंह</t>
  </si>
  <si>
    <r>
      <rPr>
        <sz val="12"/>
        <color rgb="FF000000"/>
        <rFont val="Calibri"/>
        <family val="2"/>
        <charset val="1"/>
      </rPr>
      <t xml:space="preserve">1-4</t>
    </r>
    <r>
      <rPr>
        <sz val="12"/>
        <color rgb="FF000000"/>
        <rFont val="FreeSans"/>
        <family val="2"/>
      </rPr>
      <t xml:space="preserve">बदले</t>
    </r>
  </si>
  <si>
    <r>
      <rPr>
        <sz val="12"/>
        <color rgb="FF000000"/>
        <rFont val="Calibri"/>
        <family val="2"/>
        <charset val="1"/>
      </rPr>
      <t xml:space="preserve">4/3341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</si>
  <si>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.500000/-</t>
    </r>
    <r>
      <rPr>
        <sz val="12"/>
        <color rgb="FF000000"/>
        <rFont val="FreeSans"/>
        <family val="2"/>
      </rPr>
      <t xml:space="preserve">रुपये मे</t>
    </r>
  </si>
  <si>
    <t xml:space="preserve">बाहक स्टेट बैक आफ</t>
  </si>
  <si>
    <t xml:space="preserve">पटियाला कालावाली</t>
  </si>
  <si>
    <t xml:space="preserve">के पास आङ ऱहन है</t>
  </si>
  <si>
    <r>
      <rPr>
        <sz val="12"/>
        <color rgb="FF000000"/>
        <rFont val="Calibri"/>
        <family val="2"/>
        <charset val="1"/>
      </rPr>
      <t xml:space="preserve">100/3341 </t>
    </r>
    <r>
      <rPr>
        <sz val="12"/>
        <color rgb="FF000000"/>
        <rFont val="FreeSans"/>
        <family val="2"/>
      </rPr>
      <t xml:space="preserve">भाग</t>
    </r>
  </si>
  <si>
    <t xml:space="preserve">मान सिंह पुत्र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</si>
  <si>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बरूए रपट न</t>
    </r>
    <r>
      <rPr>
        <sz val="12"/>
        <color rgb="FF000000"/>
        <rFont val="Calibri"/>
        <family val="2"/>
        <charset val="1"/>
      </rPr>
      <t xml:space="preserve">.150</t>
    </r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</si>
  <si>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27-04-2011</t>
    </r>
  </si>
  <si>
    <r>
      <rPr>
        <sz val="12"/>
        <color rgb="FF000000"/>
        <rFont val="Calibri"/>
        <family val="2"/>
        <charset val="1"/>
      </rPr>
      <t xml:space="preserve">139/3341 </t>
    </r>
    <r>
      <rPr>
        <sz val="12"/>
        <color rgb="FF000000"/>
        <rFont val="FreeSans"/>
        <family val="2"/>
      </rPr>
      <t xml:space="preserve">भाग</t>
    </r>
  </si>
  <si>
    <t xml:space="preserve">केअनुसार आमदा</t>
  </si>
  <si>
    <t xml:space="preserve">रविन्द्र सिंह पुत्र</t>
  </si>
  <si>
    <t xml:space="preserve">आदेशश्री अतुल मङिया</t>
  </si>
  <si>
    <t xml:space="preserve">झरमल सिंह पुत्र</t>
  </si>
  <si>
    <t xml:space="preserve">Add.Civil Judge</t>
  </si>
  <si>
    <t xml:space="preserve">नन्द सिंह</t>
  </si>
  <si>
    <r>
      <rPr>
        <sz val="12"/>
        <color rgb="FF000000"/>
        <rFont val="Calibri"/>
        <family val="2"/>
        <charset val="1"/>
      </rPr>
      <t xml:space="preserve">(Sr.Divi)</t>
    </r>
    <r>
      <rPr>
        <sz val="12"/>
        <color rgb="FF000000"/>
        <rFont val="FreeSans"/>
        <family val="2"/>
      </rPr>
      <t xml:space="preserve">डबवाली केस</t>
    </r>
  </si>
  <si>
    <r>
      <rPr>
        <sz val="12"/>
        <color rgb="FF000000"/>
        <rFont val="Calibri"/>
        <family val="2"/>
        <charset val="1"/>
      </rPr>
      <t xml:space="preserve">66/3341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</si>
  <si>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 1273of2007 </t>
    </r>
    <r>
      <rPr>
        <sz val="12"/>
        <color rgb="FF000000"/>
        <rFont val="FreeSans"/>
        <family val="2"/>
      </rPr>
      <t xml:space="preserve">फैसला</t>
    </r>
  </si>
  <si>
    <t xml:space="preserve">बाई पुत्री</t>
  </si>
  <si>
    <r>
      <rPr>
        <sz val="12"/>
        <color rgb="FF000000"/>
        <rFont val="FreeSans"/>
        <family val="2"/>
      </rPr>
      <t xml:space="preserve">तारीख</t>
    </r>
    <r>
      <rPr>
        <sz val="12"/>
        <color rgb="FF000000"/>
        <rFont val="Calibri"/>
        <family val="2"/>
        <charset val="1"/>
      </rPr>
      <t xml:space="preserve">23-04-2011</t>
    </r>
    <r>
      <rPr>
        <sz val="12"/>
        <color rgb="FF000000"/>
        <rFont val="FreeSans"/>
        <family val="2"/>
      </rPr>
      <t xml:space="preserve">मिनजा</t>
    </r>
  </si>
  <si>
    <t xml:space="preserve">निब जीत सिहआदि बनाम</t>
  </si>
  <si>
    <t xml:space="preserve">सोहन सिह आदिके खेवट</t>
  </si>
  <si>
    <r>
      <rPr>
        <sz val="12"/>
        <color rgb="FF000000"/>
        <rFont val="Calibri"/>
        <family val="2"/>
        <charset val="1"/>
      </rPr>
      <t xml:space="preserve">68/3341 </t>
    </r>
    <r>
      <rPr>
        <sz val="12"/>
        <color rgb="FF000000"/>
        <rFont val="FreeSans"/>
        <family val="2"/>
      </rPr>
      <t xml:space="preserve">भाग</t>
    </r>
  </si>
  <si>
    <t xml:space="preserve">हरभगवान सिंह पुत्र</t>
  </si>
  <si>
    <t xml:space="preserve">528-529-530-531-1260</t>
  </si>
  <si>
    <t xml:space="preserve">रामनाथ पुत्र</t>
  </si>
  <si>
    <r>
      <rPr>
        <sz val="12"/>
        <color rgb="FF000000"/>
        <rFont val="FreeSans"/>
        <family val="2"/>
      </rPr>
      <t xml:space="preserve">जमाबन्दी</t>
    </r>
    <r>
      <rPr>
        <sz val="12"/>
        <color rgb="FF000000"/>
        <rFont val="Calibri"/>
        <family val="2"/>
        <charset val="1"/>
      </rPr>
      <t xml:space="preserve">2007-08 </t>
    </r>
    <r>
      <rPr>
        <sz val="12"/>
        <color rgb="FF000000"/>
        <rFont val="FreeSans"/>
        <family val="2"/>
      </rPr>
      <t xml:space="preserve">मे</t>
    </r>
  </si>
  <si>
    <t xml:space="preserve">उपरोक्तमालकान का</t>
  </si>
  <si>
    <r>
      <rPr>
        <sz val="12"/>
        <color rgb="FF000000"/>
        <rFont val="Calibri"/>
        <family val="2"/>
        <charset val="1"/>
      </rPr>
      <t xml:space="preserve">35/3341 </t>
    </r>
    <r>
      <rPr>
        <sz val="12"/>
        <color rgb="FF000000"/>
        <rFont val="FreeSans"/>
        <family val="2"/>
      </rPr>
      <t xml:space="preserve">भाग</t>
    </r>
  </si>
  <si>
    <t xml:space="preserve">न्यायलय मेकेस</t>
  </si>
  <si>
    <t xml:space="preserve">मनजीत कौर पत्नी</t>
  </si>
  <si>
    <r>
      <rPr>
        <sz val="12"/>
        <color rgb="FF000000"/>
        <rFont val="FreeSans"/>
        <family val="2"/>
      </rPr>
      <t xml:space="preserve">विचराधीन था अबकेस न</t>
    </r>
    <r>
      <rPr>
        <sz val="12"/>
        <color rgb="FF000000"/>
        <rFont val="Calibri"/>
        <family val="2"/>
        <charset val="1"/>
      </rPr>
      <t xml:space="preserve">.</t>
    </r>
  </si>
  <si>
    <t xml:space="preserve">गुरमीत सिंह उर्फ मिठु</t>
  </si>
  <si>
    <r>
      <rPr>
        <sz val="12"/>
        <color rgb="FF000000"/>
        <rFont val="Calibri"/>
        <family val="2"/>
        <charset val="1"/>
      </rPr>
      <t xml:space="preserve">1273of2007</t>
    </r>
    <r>
      <rPr>
        <sz val="12"/>
        <color rgb="FF000000"/>
        <rFont val="FreeSans"/>
        <family val="2"/>
      </rPr>
      <t xml:space="preserve">फैसला</t>
    </r>
  </si>
  <si>
    <r>
      <rPr>
        <sz val="12"/>
        <color rgb="FF000000"/>
        <rFont val="Calibri"/>
        <family val="2"/>
        <charset val="1"/>
      </rPr>
      <t xml:space="preserve">23-04-2011</t>
    </r>
    <r>
      <rPr>
        <sz val="12"/>
        <color rgb="FF000000"/>
        <rFont val="FreeSans"/>
        <family val="2"/>
      </rPr>
      <t xml:space="preserve">के मुताबिक</t>
    </r>
  </si>
  <si>
    <t xml:space="preserve">बचन सिंह</t>
  </si>
  <si>
    <t xml:space="preserve">दोनो पार्टीयोका</t>
  </si>
  <si>
    <r>
      <rPr>
        <sz val="12"/>
        <color rgb="FF000000"/>
        <rFont val="Calibri"/>
        <family val="2"/>
        <charset val="1"/>
      </rPr>
      <t xml:space="preserve">20/3341 </t>
    </r>
    <r>
      <rPr>
        <sz val="12"/>
        <color rgb="FF000000"/>
        <rFont val="FreeSans"/>
        <family val="2"/>
      </rPr>
      <t xml:space="preserve">भाग</t>
    </r>
  </si>
  <si>
    <t xml:space="preserve">समझोता हो चुका</t>
  </si>
  <si>
    <t xml:space="preserve">किरणा देवी पत्नी</t>
  </si>
  <si>
    <t xml:space="preserve">है।स्टे विकेट हो</t>
  </si>
  <si>
    <t xml:space="preserve">अशनी पुत्र</t>
  </si>
  <si>
    <t xml:space="preserve">चुका है।</t>
  </si>
  <si>
    <t xml:space="preserve">रामकरण</t>
  </si>
  <si>
    <r>
      <rPr>
        <sz val="12"/>
        <color rgb="FF000000"/>
        <rFont val="Calibri"/>
        <family val="2"/>
        <charset val="1"/>
      </rPr>
      <t xml:space="preserve">18/3341 </t>
    </r>
    <r>
      <rPr>
        <sz val="12"/>
        <color rgb="FF000000"/>
        <rFont val="FreeSans"/>
        <family val="2"/>
      </rPr>
      <t xml:space="preserve">भाग</t>
    </r>
  </si>
  <si>
    <t xml:space="preserve">प्रमजीत कौर पत्नी</t>
  </si>
  <si>
    <t xml:space="preserve">मनजीत सिंह पुत्र</t>
  </si>
  <si>
    <t xml:space="preserve">जगननाथ</t>
  </si>
  <si>
    <r>
      <rPr>
        <sz val="12"/>
        <color rgb="FF000000"/>
        <rFont val="Calibri"/>
        <family val="2"/>
        <charset val="1"/>
      </rPr>
      <t xml:space="preserve">9/3341 </t>
    </r>
    <r>
      <rPr>
        <sz val="12"/>
        <color rgb="FF000000"/>
        <rFont val="FreeSans"/>
        <family val="2"/>
      </rPr>
      <t xml:space="preserve">भाग</t>
    </r>
  </si>
  <si>
    <t xml:space="preserve">सनीता रानी पत्नी</t>
  </si>
  <si>
    <t xml:space="preserve">सुरेन्द्र शर्मा पुत्र</t>
  </si>
  <si>
    <t xml:space="preserve">प्यारे लाल</t>
  </si>
  <si>
    <t xml:space="preserve">बलजीत कौर पत्नी</t>
  </si>
  <si>
    <t xml:space="preserve">बाबा सिहं पुत्र</t>
  </si>
  <si>
    <t xml:space="preserve">भाग सिहं</t>
  </si>
  <si>
    <r>
      <rPr>
        <sz val="12"/>
        <color rgb="FF000000"/>
        <rFont val="Calibri"/>
        <family val="2"/>
        <charset val="1"/>
      </rPr>
      <t xml:space="preserve">5/3341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</si>
  <si>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212/3341 </t>
    </r>
    <r>
      <rPr>
        <sz val="12"/>
        <color rgb="FF000000"/>
        <rFont val="FreeSans"/>
        <family val="2"/>
      </rPr>
      <t xml:space="preserve">भाग</t>
    </r>
  </si>
  <si>
    <t xml:space="preserve">गुरबचनसिंह</t>
  </si>
  <si>
    <r>
      <rPr>
        <sz val="12"/>
        <color rgb="FF000000"/>
        <rFont val="Calibri"/>
        <family val="2"/>
        <charset val="1"/>
      </rPr>
      <t xml:space="preserve">27/3341 </t>
    </r>
    <r>
      <rPr>
        <sz val="12"/>
        <color rgb="FF000000"/>
        <rFont val="FreeSans"/>
        <family val="2"/>
      </rPr>
      <t xml:space="preserve">भाग</t>
    </r>
  </si>
  <si>
    <t xml:space="preserve">राजरानी पत्नी</t>
  </si>
  <si>
    <t xml:space="preserve">दलजीत सिंह पुत्र</t>
  </si>
  <si>
    <t xml:space="preserve">लालचन्द</t>
  </si>
  <si>
    <t xml:space="preserve">जीत सिंह पुत्र</t>
  </si>
  <si>
    <t xml:space="preserve">पुर्ण सिंह पुत्र</t>
  </si>
  <si>
    <t xml:space="preserve">भूरा सिंह</t>
  </si>
  <si>
    <r>
      <rPr>
        <sz val="12"/>
        <color rgb="FF000000"/>
        <rFont val="Calibri"/>
        <family val="2"/>
        <charset val="1"/>
      </rPr>
      <t xml:space="preserve">92/3341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</si>
  <si>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डी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सी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सिंह पुत्र</t>
    </r>
  </si>
  <si>
    <t xml:space="preserve">पुर्ण सिंह</t>
  </si>
  <si>
    <r>
      <rPr>
        <sz val="12"/>
        <color rgb="FF000000"/>
        <rFont val="Calibri"/>
        <family val="2"/>
        <charset val="1"/>
      </rPr>
      <t xml:space="preserve">49/6682 </t>
    </r>
    <r>
      <rPr>
        <sz val="12"/>
        <color rgb="FF000000"/>
        <rFont val="FreeSans"/>
        <family val="2"/>
      </rPr>
      <t xml:space="preserve">भाग</t>
    </r>
  </si>
  <si>
    <t xml:space="preserve">इकबाल सिंह पुत्र</t>
  </si>
  <si>
    <r>
      <rPr>
        <sz val="12"/>
        <color rgb="FF000000"/>
        <rFont val="Calibri"/>
        <family val="2"/>
        <charset val="1"/>
      </rPr>
      <t xml:space="preserve">63/6682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</si>
  <si>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कमलेश कुमार</t>
    </r>
    <r>
      <rPr>
        <sz val="12"/>
        <color rgb="FF000000"/>
        <rFont val="Calibri"/>
        <family val="2"/>
        <charset val="1"/>
      </rPr>
      <t xml:space="preserve">,</t>
    </r>
  </si>
  <si>
    <t xml:space="preserve">सोनू सिंह पुत्रान</t>
  </si>
  <si>
    <t xml:space="preserve">सोहन सिंह पुत्र</t>
  </si>
  <si>
    <r>
      <rPr>
        <sz val="12"/>
        <color rgb="FF000000"/>
        <rFont val="Calibri"/>
        <family val="2"/>
        <charset val="1"/>
      </rPr>
      <t xml:space="preserve">51/3341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</si>
  <si>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1143/3341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</si>
  <si>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45/3341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</si>
  <si>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6/3341 </t>
    </r>
    <r>
      <rPr>
        <sz val="12"/>
        <color rgb="FF000000"/>
        <rFont val="FreeSans"/>
        <family val="2"/>
      </rPr>
      <t xml:space="preserve">भाग</t>
    </r>
  </si>
  <si>
    <t xml:space="preserve">अमरीक कौर पत्नी</t>
  </si>
  <si>
    <t xml:space="preserve">शिन्दा सिंह</t>
  </si>
  <si>
    <t xml:space="preserve">कौर सिंह पुत्र</t>
  </si>
  <si>
    <t xml:space="preserve">लाल सिंह पुत्र</t>
  </si>
  <si>
    <t xml:space="preserve">रामदिता</t>
  </si>
  <si>
    <t xml:space="preserve">नरेन्द्र कुमार पुत्र</t>
  </si>
  <si>
    <t xml:space="preserve">भगवानदास पुत्र</t>
  </si>
  <si>
    <t xml:space="preserve">कोटुराम</t>
  </si>
  <si>
    <t xml:space="preserve">मलकीयत कौर पत्नी</t>
  </si>
  <si>
    <t xml:space="preserve">जैला सिंह</t>
  </si>
  <si>
    <r>
      <rPr>
        <sz val="12"/>
        <color rgb="FF000000"/>
        <rFont val="FreeSans"/>
        <family val="2"/>
      </rPr>
      <t xml:space="preserve">प्रमजीत कौर</t>
    </r>
    <r>
      <rPr>
        <sz val="12"/>
        <color rgb="FF000000"/>
        <rFont val="Calibri"/>
        <family val="2"/>
        <charset val="1"/>
      </rPr>
      <t xml:space="preserve">,</t>
    </r>
  </si>
  <si>
    <t xml:space="preserve">सुखपाल कौर पुत्रियां</t>
  </si>
  <si>
    <t xml:space="preserve">दसौन्धा सिंह</t>
  </si>
  <si>
    <r>
      <rPr>
        <sz val="12"/>
        <color rgb="FF000000"/>
        <rFont val="Calibri"/>
        <family val="2"/>
        <charset val="1"/>
      </rPr>
      <t xml:space="preserve">18595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</si>
  <si>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3/20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</si>
  <si>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18900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</si>
  <si>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FreeSans"/>
        <family val="2"/>
      </rPr>
      <t xml:space="preserve">गुरदेव कौर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</si>
  <si>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Calibri"/>
        <family val="2"/>
        <charset val="1"/>
      </rPr>
      <t xml:space="preserve">81/3341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</si>
  <si>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3-18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</si>
  <si>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18995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</si>
  <si>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FreeSans"/>
        <family val="2"/>
      </rPr>
      <t xml:space="preserve">राजेन्द्र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</si>
  <si>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Calibri"/>
        <family val="2"/>
        <charset val="1"/>
      </rPr>
      <t xml:space="preserve">19021 </t>
    </r>
    <r>
      <rPr>
        <sz val="12"/>
        <color rgb="FF000000"/>
        <rFont val="FreeSans"/>
        <family val="2"/>
      </rPr>
      <t xml:space="preserve">बैय</t>
    </r>
  </si>
  <si>
    <t xml:space="preserve">रानी</t>
  </si>
  <si>
    <r>
      <rPr>
        <sz val="12"/>
        <color rgb="FF000000"/>
        <rFont val="Calibri"/>
        <family val="2"/>
        <charset val="1"/>
      </rPr>
      <t xml:space="preserve">19191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</si>
  <si>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19947 </t>
    </r>
    <r>
      <rPr>
        <sz val="12"/>
        <color rgb="FF000000"/>
        <rFont val="FreeSans"/>
        <family val="2"/>
      </rPr>
      <t xml:space="preserve">बैय</t>
    </r>
  </si>
  <si>
    <t xml:space="preserve">225//</t>
  </si>
  <si>
    <r>
      <rPr>
        <sz val="12"/>
        <color rgb="FF000000"/>
        <rFont val="Calibri"/>
        <family val="2"/>
        <charset val="1"/>
      </rPr>
      <t xml:space="preserve">19503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</si>
  <si>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20009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</si>
  <si>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4-18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</si>
  <si>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20010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</si>
  <si>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23/514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</si>
  <si>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मान 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</si>
  <si>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56-7</t>
  </si>
  <si>
    <r>
      <rPr>
        <sz val="12"/>
        <color rgb="FF000000"/>
        <rFont val="Calibri"/>
        <family val="2"/>
        <charset val="1"/>
      </rPr>
      <t xml:space="preserve">20219 </t>
    </r>
    <r>
      <rPr>
        <sz val="12"/>
        <color rgb="FF000000"/>
        <rFont val="FreeSans"/>
        <family val="2"/>
      </rPr>
      <t xml:space="preserve">बैय</t>
    </r>
  </si>
  <si>
    <t xml:space="preserve">पाना पुत्री</t>
  </si>
  <si>
    <r>
      <rPr>
        <sz val="12"/>
        <color rgb="FF000000"/>
        <rFont val="FreeSans"/>
        <family val="2"/>
      </rPr>
      <t xml:space="preserve">बलबीर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</si>
  <si>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Calibri"/>
        <family val="2"/>
        <charset val="1"/>
      </rPr>
      <t xml:space="preserve">19316 </t>
    </r>
    <r>
      <rPr>
        <sz val="12"/>
        <color rgb="FF000000"/>
        <rFont val="FreeSans"/>
        <family val="2"/>
      </rPr>
      <t xml:space="preserve">बैय</t>
    </r>
  </si>
  <si>
    <t xml:space="preserve">पाना</t>
  </si>
  <si>
    <r>
      <rPr>
        <sz val="12"/>
        <color rgb="FF000000"/>
        <rFont val="Calibri"/>
        <family val="2"/>
        <charset val="1"/>
      </rPr>
      <t xml:space="preserve">417/6682 </t>
    </r>
    <r>
      <rPr>
        <sz val="12"/>
        <color rgb="FF000000"/>
        <rFont val="FreeSans"/>
        <family val="2"/>
      </rPr>
      <t xml:space="preserve">भाग</t>
    </r>
  </si>
  <si>
    <t xml:space="preserve">हर छः समभाग</t>
  </si>
  <si>
    <r>
      <rPr>
        <sz val="12"/>
        <color rgb="FF000000"/>
        <rFont val="Calibri"/>
        <family val="2"/>
        <charset val="1"/>
      </rPr>
      <t xml:space="preserve">19312 </t>
    </r>
    <r>
      <rPr>
        <sz val="12"/>
        <color rgb="FF000000"/>
        <rFont val="FreeSans"/>
        <family val="2"/>
      </rPr>
      <t xml:space="preserve">फक आड रहन</t>
    </r>
  </si>
  <si>
    <r>
      <rPr>
        <sz val="12"/>
        <color rgb="FF000000"/>
        <rFont val="Calibri"/>
        <family val="2"/>
        <charset val="1"/>
      </rPr>
      <t xml:space="preserve">3/4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</si>
  <si>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56-7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</si>
  <si>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तिथि </t>
    </r>
    <r>
      <rPr>
        <sz val="12"/>
        <color rgb="FF000000"/>
        <rFont val="Calibri"/>
        <family val="2"/>
        <charset val="1"/>
      </rPr>
      <t xml:space="preserve">12-03-2009 </t>
    </r>
    <r>
      <rPr>
        <sz val="12"/>
        <color rgb="FF000000"/>
        <rFont val="FreeSans"/>
        <family val="2"/>
      </rPr>
      <t xml:space="preserve">पर</t>
    </r>
  </si>
  <si>
    <t xml:space="preserve">सोहन सिंह के रकबे पर</t>
  </si>
  <si>
    <t xml:space="preserve">स्टे दर्ज है तफसील देखो</t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</si>
  <si>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.529</t>
    </r>
  </si>
  <si>
    <r>
      <rPr>
        <sz val="12"/>
        <color rgb="FF000000"/>
        <rFont val="Calibri"/>
        <family val="2"/>
        <charset val="1"/>
      </rPr>
      <t xml:space="preserve">145/3341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</si>
  <si>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24/3341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</si>
  <si>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198/3341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</si>
  <si>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888/3341 </t>
    </r>
    <r>
      <rPr>
        <sz val="12"/>
        <color rgb="FF000000"/>
        <rFont val="FreeSans"/>
        <family val="2"/>
      </rPr>
      <t xml:space="preserve">भाग</t>
    </r>
  </si>
  <si>
    <t xml:space="preserve">गुरदर्शन कौर पत्नी</t>
  </si>
  <si>
    <r>
      <rPr>
        <sz val="12"/>
        <color rgb="FF000000"/>
        <rFont val="Calibri"/>
        <family val="2"/>
        <charset val="1"/>
      </rPr>
      <t xml:space="preserve">237/3341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</si>
  <si>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59/3341 </t>
    </r>
    <r>
      <rPr>
        <sz val="12"/>
        <color rgb="FF000000"/>
        <rFont val="FreeSans"/>
        <family val="2"/>
      </rPr>
      <t xml:space="preserve">भाग</t>
    </r>
  </si>
  <si>
    <t xml:space="preserve">शिंगारा सिंह</t>
  </si>
  <si>
    <r>
      <rPr>
        <sz val="12"/>
        <color rgb="FF000000"/>
        <rFont val="Calibri"/>
        <family val="2"/>
        <charset val="1"/>
      </rPr>
      <t xml:space="preserve">TSC </t>
    </r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.1907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</si>
  <si>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131/503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</si>
  <si>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2-4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</si>
  <si>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12-03-2009 </t>
    </r>
    <r>
      <rPr>
        <sz val="12"/>
        <color rgb="FF000000"/>
        <rFont val="FreeSans"/>
        <family val="2"/>
      </rPr>
      <t xml:space="preserve">के अनुसार</t>
    </r>
  </si>
  <si>
    <r>
      <rPr>
        <sz val="12"/>
        <color rgb="FF000000"/>
        <rFont val="Calibri"/>
        <family val="2"/>
        <charset val="1"/>
      </rPr>
      <t xml:space="preserve">6-19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</si>
  <si>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सोहन सिह के रकबे पर</t>
  </si>
  <si>
    <r>
      <rPr>
        <sz val="12"/>
        <color rgb="FF000000"/>
        <rFont val="Calibri"/>
        <family val="2"/>
        <charset val="1"/>
      </rPr>
      <t xml:space="preserve">211/3341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</si>
  <si>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8-0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</si>
  <si>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200/503 </t>
    </r>
    <r>
      <rPr>
        <sz val="12"/>
        <color rgb="FF000000"/>
        <rFont val="FreeSans"/>
        <family val="2"/>
      </rPr>
      <t xml:space="preserve">भाग</t>
    </r>
  </si>
  <si>
    <t xml:space="preserve">सोहन सिंह</t>
  </si>
  <si>
    <r>
      <rPr>
        <sz val="12"/>
        <color rgb="FF000000"/>
        <rFont val="Calibri"/>
        <family val="2"/>
        <charset val="1"/>
      </rPr>
      <t xml:space="preserve">132/503 </t>
    </r>
    <r>
      <rPr>
        <sz val="12"/>
        <color rgb="FF000000"/>
        <rFont val="FreeSans"/>
        <family val="2"/>
      </rPr>
      <t xml:space="preserve">भाग</t>
    </r>
  </si>
  <si>
    <t xml:space="preserve">25-3</t>
  </si>
  <si>
    <r>
      <rPr>
        <sz val="12"/>
        <color rgb="FF000000"/>
        <rFont val="Calibri"/>
        <family val="2"/>
        <charset val="1"/>
      </rPr>
      <t xml:space="preserve">40/503 </t>
    </r>
    <r>
      <rPr>
        <sz val="12"/>
        <color rgb="FF000000"/>
        <rFont val="FreeSans"/>
        <family val="2"/>
      </rPr>
      <t xml:space="preserve">भाग</t>
    </r>
  </si>
  <si>
    <t xml:space="preserve">14-19</t>
  </si>
  <si>
    <r>
      <rPr>
        <sz val="12"/>
        <color rgb="FF000000"/>
        <rFont val="Calibri"/>
        <family val="2"/>
        <charset val="1"/>
      </rPr>
      <t xml:space="preserve">14-19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</si>
  <si>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20503 </t>
    </r>
    <r>
      <rPr>
        <sz val="12"/>
        <color rgb="FF000000"/>
        <rFont val="FreeSans"/>
        <family val="2"/>
      </rPr>
      <t xml:space="preserve">बैय</t>
    </r>
  </si>
  <si>
    <t xml:space="preserve">हरनेक सिह पुत्र</t>
  </si>
  <si>
    <t xml:space="preserve">नाहर सिंह पुत्र</t>
  </si>
  <si>
    <t xml:space="preserve">जाती सिंह</t>
  </si>
  <si>
    <r>
      <rPr>
        <sz val="12"/>
        <color rgb="FF000000"/>
        <rFont val="Calibri"/>
        <family val="2"/>
        <charset val="1"/>
      </rPr>
      <t xml:space="preserve">102/503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</si>
  <si>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82/503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</si>
  <si>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20621 </t>
    </r>
    <r>
      <rPr>
        <sz val="12"/>
        <color rgb="FF000000"/>
        <rFont val="FreeSans"/>
        <family val="2"/>
      </rPr>
      <t xml:space="preserve">बै</t>
    </r>
  </si>
  <si>
    <t xml:space="preserve">हरबन्स सिहं पुत्र</t>
  </si>
  <si>
    <t xml:space="preserve">हरनेक सिंह पुत्र</t>
  </si>
  <si>
    <r>
      <rPr>
        <sz val="12"/>
        <color rgb="FF000000"/>
        <rFont val="Calibri"/>
        <family val="2"/>
        <charset val="1"/>
      </rPr>
      <t xml:space="preserve">20683 </t>
    </r>
    <r>
      <rPr>
        <sz val="12"/>
        <color rgb="FF000000"/>
        <rFont val="FreeSans"/>
        <family val="2"/>
      </rPr>
      <t xml:space="preserve">दस्तबरदारी नामा</t>
    </r>
  </si>
  <si>
    <t xml:space="preserve">नरायण सिंह</t>
  </si>
  <si>
    <r>
      <rPr>
        <sz val="12"/>
        <color rgb="FF000000"/>
        <rFont val="Calibri"/>
        <family val="2"/>
        <charset val="1"/>
      </rPr>
      <t xml:space="preserve">40/1509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</si>
  <si>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20684 </t>
    </r>
    <r>
      <rPr>
        <sz val="12"/>
        <color rgb="FF000000"/>
        <rFont val="FreeSans"/>
        <family val="2"/>
      </rPr>
      <t xml:space="preserve">तबदील मलकियत</t>
    </r>
  </si>
  <si>
    <t xml:space="preserve">काका सिंह पुत्र</t>
  </si>
  <si>
    <t xml:space="preserve">दयाल सिंह पुत्र</t>
  </si>
  <si>
    <t xml:space="preserve">भाग सिंह</t>
  </si>
  <si>
    <r>
      <rPr>
        <sz val="12"/>
        <color rgb="FF000000"/>
        <rFont val="Calibri"/>
        <family val="2"/>
        <charset val="1"/>
      </rPr>
      <t xml:space="preserve">20699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</si>
  <si>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20/1509 </t>
    </r>
    <r>
      <rPr>
        <sz val="12"/>
        <color rgb="FF000000"/>
        <rFont val="FreeSans"/>
        <family val="2"/>
      </rPr>
      <t xml:space="preserve">भाग</t>
    </r>
  </si>
  <si>
    <t xml:space="preserve">वीना पत्नी</t>
  </si>
  <si>
    <r>
      <rPr>
        <sz val="12"/>
        <color rgb="FF000000"/>
        <rFont val="Calibri"/>
        <family val="2"/>
        <charset val="1"/>
      </rPr>
      <t xml:space="preserve">20700 </t>
    </r>
    <r>
      <rPr>
        <sz val="12"/>
        <color rgb="FF000000"/>
        <rFont val="FreeSans"/>
        <family val="2"/>
      </rPr>
      <t xml:space="preserve">बै</t>
    </r>
  </si>
  <si>
    <t xml:space="preserve">निरंजन कुमार पुत्र</t>
  </si>
  <si>
    <t xml:space="preserve">झरमल</t>
  </si>
  <si>
    <r>
      <rPr>
        <sz val="12"/>
        <color rgb="FF000000"/>
        <rFont val="Calibri"/>
        <family val="2"/>
        <charset val="1"/>
      </rPr>
      <t xml:space="preserve">57/503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</si>
  <si>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20742 </t>
    </r>
    <r>
      <rPr>
        <sz val="12"/>
        <color rgb="FF000000"/>
        <rFont val="FreeSans"/>
        <family val="2"/>
      </rPr>
      <t xml:space="preserve">बै</t>
    </r>
  </si>
  <si>
    <t xml:space="preserve">हरवन्स सिंह पुत्र</t>
  </si>
  <si>
    <t xml:space="preserve">शेर सिंह पुत्र</t>
  </si>
  <si>
    <r>
      <rPr>
        <sz val="12"/>
        <color rgb="FF000000"/>
        <rFont val="Calibri"/>
        <family val="2"/>
        <charset val="1"/>
      </rPr>
      <t xml:space="preserve">20793 </t>
    </r>
    <r>
      <rPr>
        <sz val="12"/>
        <color rgb="FF000000"/>
        <rFont val="FreeSans"/>
        <family val="2"/>
      </rPr>
      <t xml:space="preserve">बै</t>
    </r>
  </si>
  <si>
    <t xml:space="preserve">अमर सिंह</t>
  </si>
  <si>
    <r>
      <rPr>
        <sz val="12"/>
        <color rgb="FF000000"/>
        <rFont val="Calibri"/>
        <family val="2"/>
        <charset val="1"/>
      </rPr>
      <t xml:space="preserve">5/503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</si>
  <si>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20823 </t>
    </r>
    <r>
      <rPr>
        <sz val="12"/>
        <color rgb="FF000000"/>
        <rFont val="FreeSans"/>
        <family val="2"/>
      </rPr>
      <t xml:space="preserve">तबदील मलकियत</t>
    </r>
  </si>
  <si>
    <t xml:space="preserve">शाम सिंह पुत्र</t>
  </si>
  <si>
    <t xml:space="preserve">प्रेम सिंह</t>
  </si>
  <si>
    <r>
      <rPr>
        <sz val="12"/>
        <color rgb="FF000000"/>
        <rFont val="Calibri"/>
        <family val="2"/>
        <charset val="1"/>
      </rPr>
      <t xml:space="preserve">20943 </t>
    </r>
    <r>
      <rPr>
        <sz val="12"/>
        <color rgb="FF000000"/>
        <rFont val="FreeSans"/>
        <family val="2"/>
      </rPr>
      <t xml:space="preserve">बै</t>
    </r>
  </si>
  <si>
    <t xml:space="preserve">ज्ञान सिंह पुत्र</t>
  </si>
  <si>
    <r>
      <rPr>
        <sz val="12"/>
        <color rgb="FF000000"/>
        <rFont val="Calibri"/>
        <family val="2"/>
        <charset val="1"/>
      </rPr>
      <t xml:space="preserve">20978 </t>
    </r>
    <r>
      <rPr>
        <sz val="12"/>
        <color rgb="FF000000"/>
        <rFont val="FreeSans"/>
        <family val="2"/>
      </rPr>
      <t xml:space="preserve">बै</t>
    </r>
  </si>
  <si>
    <t xml:space="preserve">लीलाराम पुत्र</t>
  </si>
  <si>
    <t xml:space="preserve">नत्थुराम</t>
  </si>
  <si>
    <r>
      <rPr>
        <sz val="12"/>
        <color rgb="FF000000"/>
        <rFont val="Calibri"/>
        <family val="2"/>
        <charset val="1"/>
      </rPr>
      <t xml:space="preserve">21008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</si>
  <si>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21047 </t>
    </r>
    <r>
      <rPr>
        <sz val="12"/>
        <color rgb="FF000000"/>
        <rFont val="FreeSans"/>
        <family val="2"/>
      </rPr>
      <t xml:space="preserve">बै</t>
    </r>
  </si>
  <si>
    <t xml:space="preserve">कपुरा सिंह</t>
  </si>
  <si>
    <r>
      <rPr>
        <sz val="12"/>
        <color rgb="FF000000"/>
        <rFont val="Calibri"/>
        <family val="2"/>
        <charset val="1"/>
      </rPr>
      <t xml:space="preserve">21078 </t>
    </r>
    <r>
      <rPr>
        <sz val="12"/>
        <color rgb="FF000000"/>
        <rFont val="FreeSans"/>
        <family val="2"/>
      </rPr>
      <t xml:space="preserve">बै</t>
    </r>
  </si>
  <si>
    <t xml:space="preserve">किशना सिंह पुत्र</t>
  </si>
  <si>
    <t xml:space="preserve">मल सिंह</t>
  </si>
  <si>
    <r>
      <rPr>
        <sz val="12"/>
        <color rgb="FF000000"/>
        <rFont val="Calibri"/>
        <family val="2"/>
        <charset val="1"/>
      </rPr>
      <t xml:space="preserve">21081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</si>
  <si>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5/1006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</si>
  <si>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21178 </t>
    </r>
    <r>
      <rPr>
        <sz val="12"/>
        <color rgb="FF000000"/>
        <rFont val="FreeSans"/>
        <family val="2"/>
      </rPr>
      <t xml:space="preserve">बै</t>
    </r>
  </si>
  <si>
    <t xml:space="preserve">शाम सिंह</t>
  </si>
  <si>
    <r>
      <rPr>
        <sz val="12"/>
        <color rgb="FF000000"/>
        <rFont val="Calibri"/>
        <family val="2"/>
        <charset val="1"/>
      </rPr>
      <t xml:space="preserve">21264 </t>
    </r>
    <r>
      <rPr>
        <sz val="12"/>
        <color rgb="FF000000"/>
        <rFont val="FreeSans"/>
        <family val="2"/>
      </rPr>
      <t xml:space="preserve">बै</t>
    </r>
  </si>
  <si>
    <t xml:space="preserve">द्वाराका दास पुत्र</t>
  </si>
  <si>
    <t xml:space="preserve">लालचन्द पुत्र</t>
  </si>
  <si>
    <r>
      <rPr>
        <sz val="12"/>
        <color rgb="FF000000"/>
        <rFont val="Calibri"/>
        <family val="2"/>
        <charset val="1"/>
      </rPr>
      <t xml:space="preserve">21362 </t>
    </r>
    <r>
      <rPr>
        <sz val="12"/>
        <color rgb="FF000000"/>
        <rFont val="FreeSans"/>
        <family val="2"/>
      </rPr>
      <t xml:space="preserve">बै</t>
    </r>
  </si>
  <si>
    <t xml:space="preserve">भीरिया मल</t>
  </si>
  <si>
    <r>
      <rPr>
        <sz val="12"/>
        <color rgb="FF000000"/>
        <rFont val="Calibri"/>
        <family val="2"/>
        <charset val="1"/>
      </rPr>
      <t xml:space="preserve">36/503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</si>
  <si>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21392 </t>
    </r>
    <r>
      <rPr>
        <sz val="12"/>
        <color rgb="FF000000"/>
        <rFont val="FreeSans"/>
        <family val="2"/>
      </rPr>
      <t xml:space="preserve">बै</t>
    </r>
  </si>
  <si>
    <t xml:space="preserve">प्रवीण कुमार पुत्र</t>
  </si>
  <si>
    <t xml:space="preserve">अमरचन्द पुत्र</t>
  </si>
  <si>
    <r>
      <rPr>
        <sz val="12"/>
        <color rgb="FF000000"/>
        <rFont val="Calibri"/>
        <family val="2"/>
        <charset val="1"/>
      </rPr>
      <t xml:space="preserve">21444 </t>
    </r>
    <r>
      <rPr>
        <sz val="12"/>
        <color rgb="FF000000"/>
        <rFont val="FreeSans"/>
        <family val="2"/>
      </rPr>
      <t xml:space="preserve">तबदील मलकियत</t>
    </r>
  </si>
  <si>
    <t xml:space="preserve">गुरमेल सिंह पुत्र</t>
  </si>
  <si>
    <r>
      <rPr>
        <sz val="12"/>
        <color rgb="FF000000"/>
        <rFont val="Calibri"/>
        <family val="2"/>
        <charset val="1"/>
      </rPr>
      <t xml:space="preserve">21478 </t>
    </r>
    <r>
      <rPr>
        <sz val="12"/>
        <color rgb="FF000000"/>
        <rFont val="FreeSans"/>
        <family val="2"/>
      </rPr>
      <t xml:space="preserve">बै</t>
    </r>
  </si>
  <si>
    <t xml:space="preserve">मुखत्यार सिह पुत्र</t>
  </si>
  <si>
    <t xml:space="preserve">साधु सिंह</t>
  </si>
  <si>
    <r>
      <rPr>
        <sz val="12"/>
        <color rgb="FF000000"/>
        <rFont val="Calibri"/>
        <family val="2"/>
        <charset val="1"/>
      </rPr>
      <t xml:space="preserve">147/3341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</si>
  <si>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21509 </t>
    </r>
    <r>
      <rPr>
        <sz val="12"/>
        <color rgb="FF000000"/>
        <rFont val="FreeSans"/>
        <family val="2"/>
      </rPr>
      <t xml:space="preserve">बै</t>
    </r>
  </si>
  <si>
    <t xml:space="preserve">मोहर सिंह पुत्र</t>
  </si>
  <si>
    <r>
      <rPr>
        <sz val="12"/>
        <color rgb="FF000000"/>
        <rFont val="Calibri"/>
        <family val="2"/>
        <charset val="1"/>
      </rPr>
      <t xml:space="preserve">21588 </t>
    </r>
    <r>
      <rPr>
        <sz val="12"/>
        <color rgb="FF000000"/>
        <rFont val="FreeSans"/>
        <family val="2"/>
      </rPr>
      <t xml:space="preserve">बै</t>
    </r>
  </si>
  <si>
    <t xml:space="preserve">फुमन सिंह</t>
  </si>
  <si>
    <r>
      <rPr>
        <sz val="12"/>
        <color rgb="FF000000"/>
        <rFont val="Calibri"/>
        <family val="2"/>
        <charset val="1"/>
      </rPr>
      <t xml:space="preserve">2/503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</si>
  <si>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21645 </t>
    </r>
    <r>
      <rPr>
        <sz val="12"/>
        <color rgb="FF000000"/>
        <rFont val="FreeSans"/>
        <family val="2"/>
      </rPr>
      <t xml:space="preserve">बै</t>
    </r>
  </si>
  <si>
    <t xml:space="preserve">घुसा सिंह पुत्र</t>
  </si>
  <si>
    <t xml:space="preserve">भुरा सिंह पुत्र</t>
  </si>
  <si>
    <t xml:space="preserve">गणपत</t>
  </si>
  <si>
    <r>
      <rPr>
        <sz val="12"/>
        <color rgb="FF000000"/>
        <rFont val="Calibri"/>
        <family val="2"/>
        <charset val="1"/>
      </rPr>
      <t xml:space="preserve">21706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</si>
  <si>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21979 </t>
    </r>
    <r>
      <rPr>
        <sz val="12"/>
        <color rgb="FF000000"/>
        <rFont val="FreeSans"/>
        <family val="2"/>
      </rPr>
      <t xml:space="preserve">बै</t>
    </r>
  </si>
  <si>
    <t xml:space="preserve">भाग सिंह पुत्र</t>
  </si>
  <si>
    <t xml:space="preserve">हरी सिंह</t>
  </si>
  <si>
    <r>
      <rPr>
        <sz val="12"/>
        <color rgb="FF000000"/>
        <rFont val="Calibri"/>
        <family val="2"/>
        <charset val="1"/>
      </rPr>
      <t xml:space="preserve">21995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</si>
  <si>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22037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</si>
  <si>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372/503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</si>
  <si>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22124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</si>
  <si>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22338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</si>
  <si>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22436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</si>
  <si>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----- </t>
    </r>
    <r>
      <rPr>
        <sz val="12"/>
        <color rgb="FF000000"/>
        <rFont val="FreeSans"/>
        <family val="2"/>
      </rPr>
      <t xml:space="preserve">पेंसिल आरम्भ</t>
    </r>
    <r>
      <rPr>
        <sz val="12"/>
        <color rgb="FF000000"/>
        <rFont val="Calibri"/>
        <family val="2"/>
        <charset val="1"/>
      </rPr>
      <t xml:space="preserve">-----</t>
    </r>
  </si>
  <si>
    <r>
      <rPr>
        <sz val="12"/>
        <color rgb="FF000000"/>
        <rFont val="Calibri"/>
        <family val="2"/>
        <charset val="1"/>
      </rPr>
      <t xml:space="preserve">22520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</si>
  <si>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*** </t>
    </r>
    <r>
      <rPr>
        <sz val="12"/>
        <color rgb="FF000000"/>
        <rFont val="FreeSans"/>
        <family val="2"/>
      </rPr>
      <t xml:space="preserve">इंतकाल पेंडिग </t>
    </r>
    <r>
      <rPr>
        <sz val="12"/>
        <color rgb="FF000000"/>
        <rFont val="Calibri"/>
        <family val="2"/>
        <charset val="1"/>
      </rPr>
      <t xml:space="preserve">?</t>
    </r>
    <r>
      <rPr>
        <sz val="12"/>
        <color rgb="FF000000"/>
        <rFont val="FreeSans"/>
        <family val="2"/>
      </rPr>
      <t xml:space="preserve">है </t>
    </r>
    <r>
      <rPr>
        <sz val="12"/>
        <color rgb="FF000000"/>
        <rFont val="Calibri"/>
        <family val="2"/>
        <charset val="1"/>
      </rPr>
      <t xml:space="preserve">***</t>
    </r>
  </si>
  <si>
    <r>
      <rPr>
        <sz val="12"/>
        <color rgb="FF000000"/>
        <rFont val="Calibri"/>
        <family val="2"/>
        <charset val="1"/>
      </rPr>
      <t xml:space="preserve">----- </t>
    </r>
    <r>
      <rPr>
        <sz val="12"/>
        <color rgb="FF000000"/>
        <rFont val="FreeSans"/>
        <family val="2"/>
      </rPr>
      <t xml:space="preserve">पेंसिल समाप्त</t>
    </r>
    <r>
      <rPr>
        <sz val="12"/>
        <color rgb="FF000000"/>
        <rFont val="Calibri"/>
        <family val="2"/>
        <charset val="1"/>
      </rPr>
      <t xml:space="preserve">-----</t>
    </r>
  </si>
  <si>
    <r>
      <rPr>
        <sz val="12"/>
        <color rgb="FF000000"/>
        <rFont val="FreeSans"/>
        <family val="2"/>
      </rPr>
      <t xml:space="preserve">न</t>
    </r>
    <r>
      <rPr>
        <sz val="12"/>
        <color rgb="FF000000"/>
        <rFont val="Calibri"/>
        <family val="2"/>
        <charset val="1"/>
      </rPr>
      <t xml:space="preserve">.91</t>
    </r>
    <r>
      <rPr>
        <sz val="12"/>
        <color rgb="FF000000"/>
        <rFont val="FreeSans"/>
        <family val="2"/>
      </rPr>
      <t xml:space="preserve">तिथि</t>
    </r>
    <r>
      <rPr>
        <sz val="12"/>
        <color rgb="FF000000"/>
        <rFont val="Calibri"/>
        <family val="2"/>
        <charset val="1"/>
      </rPr>
      <t xml:space="preserve">23-4-2010</t>
    </r>
  </si>
  <si>
    <t xml:space="preserve">के अनुसार मिनजानब</t>
  </si>
  <si>
    <t xml:space="preserve">राजरानी पत्नी दलजीत सिह</t>
  </si>
  <si>
    <r>
      <rPr>
        <sz val="12"/>
        <color rgb="FF000000"/>
        <rFont val="FreeSans"/>
        <family val="2"/>
      </rPr>
      <t xml:space="preserve">खेवट न</t>
    </r>
    <r>
      <rPr>
        <sz val="12"/>
        <color rgb="FF000000"/>
        <rFont val="Calibri"/>
        <family val="2"/>
        <charset val="1"/>
      </rPr>
      <t xml:space="preserve">.531/1043to1051</t>
    </r>
  </si>
  <si>
    <r>
      <rPr>
        <sz val="12"/>
        <color rgb="FF000000"/>
        <rFont val="FreeSans"/>
        <family val="2"/>
      </rPr>
      <t xml:space="preserve">तादादी </t>
    </r>
    <r>
      <rPr>
        <sz val="12"/>
        <color rgb="FF000000"/>
        <rFont val="Calibri"/>
        <family val="2"/>
        <charset val="1"/>
      </rPr>
      <t xml:space="preserve">65-0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5/1300</t>
    </r>
  </si>
  <si>
    <r>
      <rPr>
        <sz val="12"/>
        <color rgb="FF000000"/>
        <rFont val="FreeSans"/>
        <family val="2"/>
      </rPr>
      <t xml:space="preserve">भाग बक्दर </t>
    </r>
    <r>
      <rPr>
        <sz val="12"/>
        <color rgb="FF000000"/>
        <rFont val="Calibri"/>
        <family val="2"/>
        <charset val="1"/>
      </rPr>
      <t xml:space="preserve">0-5</t>
    </r>
    <r>
      <rPr>
        <sz val="12"/>
        <color rgb="FF000000"/>
        <rFont val="FreeSans"/>
        <family val="2"/>
      </rPr>
      <t xml:space="preserve">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</si>
  <si>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50000/-</t>
    </r>
    <r>
      <rPr>
        <sz val="12"/>
        <color rgb="FF000000"/>
        <rFont val="FreeSans"/>
        <family val="2"/>
      </rPr>
      <t xml:space="preserve">रुपये मे बाहक</t>
    </r>
  </si>
  <si>
    <t xml:space="preserve">जरनैल सिह पुत्र दान सिह</t>
  </si>
  <si>
    <t xml:space="preserve">निवासी कालावाली के पास</t>
  </si>
  <si>
    <t xml:space="preserve">बिला कब्जा आङ रहन</t>
  </si>
  <si>
    <t xml:space="preserve">कर दिया है</t>
  </si>
  <si>
    <r>
      <rPr>
        <sz val="12"/>
        <color rgb="FF000000"/>
        <rFont val="Calibri"/>
        <family val="2"/>
        <charset val="1"/>
      </rPr>
      <t xml:space="preserve">18899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</si>
  <si>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19106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</si>
  <si>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19600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</si>
  <si>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18319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</si>
  <si>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Calibri"/>
        <family val="2"/>
        <charset val="1"/>
      </rPr>
      <t xml:space="preserve">14/39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</si>
  <si>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3-18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</si>
  <si>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19532 </t>
    </r>
    <r>
      <rPr>
        <sz val="12"/>
        <color rgb="FF000000"/>
        <rFont val="FreeSans"/>
        <family val="2"/>
      </rPr>
      <t xml:space="preserve">बैय</t>
    </r>
  </si>
  <si>
    <t xml:space="preserve">जीत सिंह</t>
  </si>
  <si>
    <r>
      <rPr>
        <sz val="12"/>
        <color rgb="FF000000"/>
        <rFont val="FreeSans"/>
        <family val="2"/>
      </rPr>
      <t xml:space="preserve">बदर न</t>
    </r>
    <r>
      <rPr>
        <sz val="12"/>
        <color rgb="FF000000"/>
        <rFont val="Calibri"/>
        <family val="2"/>
        <charset val="1"/>
      </rPr>
      <t xml:space="preserve">.120</t>
    </r>
  </si>
  <si>
    <r>
      <rPr>
        <sz val="12"/>
        <color rgb="FF000000"/>
        <rFont val="Calibri"/>
        <family val="2"/>
        <charset val="1"/>
      </rPr>
      <t xml:space="preserve">5/39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</si>
  <si>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20020 </t>
    </r>
    <r>
      <rPr>
        <sz val="12"/>
        <color rgb="FF000000"/>
        <rFont val="FreeSans"/>
        <family val="2"/>
      </rPr>
      <t xml:space="preserve">बैय</t>
    </r>
  </si>
  <si>
    <r>
      <rPr>
        <sz val="12"/>
        <color rgb="FF000000"/>
        <rFont val="FreeSans"/>
        <family val="2"/>
      </rPr>
      <t xml:space="preserve">इकबाल सिंह</t>
    </r>
    <r>
      <rPr>
        <sz val="12"/>
        <color rgb="FF000000"/>
        <rFont val="Calibri"/>
        <family val="2"/>
        <charset val="1"/>
      </rPr>
      <t xml:space="preserve">,</t>
    </r>
  </si>
  <si>
    <r>
      <rPr>
        <sz val="12"/>
        <color rgb="FF000000"/>
        <rFont val="FreeSans"/>
        <family val="2"/>
      </rPr>
      <t xml:space="preserve">डी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सी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सिंह</t>
    </r>
    <r>
      <rPr>
        <sz val="12"/>
        <color rgb="FF000000"/>
        <rFont val="Calibri"/>
        <family val="2"/>
        <charset val="1"/>
      </rPr>
      <t xml:space="preserve">,</t>
    </r>
  </si>
  <si>
    <t xml:space="preserve">किरणा देवी</t>
  </si>
  <si>
    <r>
      <rPr>
        <sz val="12"/>
        <color rgb="FF000000"/>
        <rFont val="FreeSans"/>
        <family val="2"/>
      </rPr>
      <t xml:space="preserve">पाना</t>
    </r>
    <r>
      <rPr>
        <sz val="12"/>
        <color rgb="FF000000"/>
        <rFont val="Calibri"/>
        <family val="2"/>
        <charset val="1"/>
      </rPr>
      <t xml:space="preserve">,</t>
    </r>
  </si>
  <si>
    <t xml:space="preserve">मान सिंह</t>
  </si>
  <si>
    <r>
      <rPr>
        <sz val="12"/>
        <color rgb="FF000000"/>
        <rFont val="Calibri"/>
        <family val="2"/>
        <charset val="1"/>
      </rPr>
      <t xml:space="preserve">5/26 </t>
    </r>
    <r>
      <rPr>
        <sz val="12"/>
        <color rgb="FF000000"/>
        <rFont val="FreeSans"/>
        <family val="2"/>
      </rPr>
      <t xml:space="preserve">भाग</t>
    </r>
  </si>
  <si>
    <t xml:space="preserve">जरनैल सिंह</t>
  </si>
  <si>
    <t xml:space="preserve">बलबीर सिंह</t>
  </si>
  <si>
    <r>
      <rPr>
        <sz val="12"/>
        <color rgb="FF000000"/>
        <rFont val="Calibri"/>
        <family val="2"/>
        <charset val="1"/>
      </rPr>
      <t xml:space="preserve">5/78 </t>
    </r>
    <r>
      <rPr>
        <sz val="12"/>
        <color rgb="FF000000"/>
        <rFont val="FreeSans"/>
        <family val="2"/>
      </rPr>
      <t xml:space="preserve">भाग</t>
    </r>
  </si>
  <si>
    <t xml:space="preserve">जगराज दास पुत्र</t>
  </si>
  <si>
    <t xml:space="preserve">दुला दास पुत्र</t>
  </si>
  <si>
    <t xml:space="preserve">दीवान दास</t>
  </si>
  <si>
    <r>
      <rPr>
        <sz val="12"/>
        <color rgb="FF000000"/>
        <rFont val="Calibri"/>
        <family val="2"/>
        <charset val="1"/>
      </rPr>
      <t xml:space="preserve">3/156 </t>
    </r>
    <r>
      <rPr>
        <sz val="12"/>
        <color rgb="FF000000"/>
        <rFont val="FreeSans"/>
        <family val="2"/>
      </rPr>
      <t xml:space="preserve">भाग</t>
    </r>
  </si>
  <si>
    <t xml:space="preserve">इन्द्र सिंह पुत्र</t>
  </si>
  <si>
    <r>
      <rPr>
        <sz val="12"/>
        <color rgb="FF000000"/>
        <rFont val="Calibri"/>
        <family val="2"/>
        <charset val="1"/>
      </rPr>
      <t xml:space="preserve">20/78 </t>
    </r>
    <r>
      <rPr>
        <sz val="12"/>
        <color rgb="FF000000"/>
        <rFont val="FreeSans"/>
        <family val="2"/>
      </rPr>
      <t xml:space="preserve">भाग</t>
    </r>
  </si>
  <si>
    <t xml:space="preserve">सत्या सैन पुत्र</t>
  </si>
  <si>
    <t xml:space="preserve">मुसई सिंह</t>
  </si>
  <si>
    <r>
      <rPr>
        <sz val="12"/>
        <color rgb="FF000000"/>
        <rFont val="Calibri"/>
        <family val="2"/>
        <charset val="1"/>
      </rPr>
      <t xml:space="preserve">27/156 </t>
    </r>
    <r>
      <rPr>
        <sz val="12"/>
        <color rgb="FF000000"/>
        <rFont val="FreeSans"/>
        <family val="2"/>
      </rPr>
      <t xml:space="preserve">भाग</t>
    </r>
  </si>
  <si>
    <t xml:space="preserve">शिमला देवी पत्नी</t>
  </si>
  <si>
    <t xml:space="preserve">महावीर प्रसाद पुत्र</t>
  </si>
  <si>
    <t xml:space="preserve">नानूराम</t>
  </si>
  <si>
    <r>
      <rPr>
        <sz val="12"/>
        <color rgb="FF000000"/>
        <rFont val="Calibri"/>
        <family val="2"/>
        <charset val="1"/>
      </rPr>
      <t xml:space="preserve">15/78 </t>
    </r>
    <r>
      <rPr>
        <sz val="12"/>
        <color rgb="FF000000"/>
        <rFont val="FreeSans"/>
        <family val="2"/>
      </rPr>
      <t xml:space="preserve">भाग</t>
    </r>
  </si>
  <si>
    <t xml:space="preserve">22/2/2</t>
  </si>
  <si>
    <r>
      <rPr>
        <sz val="12"/>
        <color rgb="FF000000"/>
        <rFont val="Calibri"/>
        <family val="2"/>
        <charset val="1"/>
      </rPr>
      <t xml:space="preserve">0-15 </t>
    </r>
    <r>
      <rPr>
        <sz val="12"/>
        <color rgb="FF000000"/>
        <rFont val="FreeSans"/>
        <family val="2"/>
      </rPr>
      <t xml:space="preserve">नहरी</t>
    </r>
  </si>
  <si>
    <t xml:space="preserve">23/2/3</t>
  </si>
  <si>
    <t xml:space="preserve">24/1/2</t>
  </si>
  <si>
    <r>
      <rPr>
        <sz val="12"/>
        <color rgb="FF000000"/>
        <rFont val="Calibri"/>
        <family val="2"/>
        <charset val="1"/>
      </rPr>
      <t xml:space="preserve">3-17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</si>
  <si>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Calibri"/>
        <family val="2"/>
        <charset val="1"/>
      </rPr>
      <t xml:space="preserve">5-1 </t>
    </r>
    <r>
      <rPr>
        <sz val="12"/>
        <color rgb="FF000000"/>
        <rFont val="FreeSans"/>
        <family val="2"/>
      </rPr>
      <t xml:space="preserve">बारानी</t>
    </r>
  </si>
  <si>
    <r>
      <rPr>
        <sz val="12"/>
        <color rgb="FF000000"/>
        <rFont val="FreeSans"/>
        <family val="2"/>
      </rPr>
      <t xml:space="preserve">पवन कुमार</t>
    </r>
    <r>
      <rPr>
        <sz val="12"/>
        <color rgb="FF000000"/>
        <rFont val="Calibri"/>
        <family val="2"/>
        <charset val="1"/>
      </rPr>
      <t xml:space="preserve">,</t>
    </r>
  </si>
  <si>
    <t xml:space="preserve">प्रदीप कुमार पुत्रान</t>
  </si>
  <si>
    <t xml:space="preserve">बाबूराम पुत्र</t>
  </si>
  <si>
    <t xml:space="preserve">तुलसीराम</t>
  </si>
  <si>
    <t xml:space="preserve">सलोचना देवी पत्नी</t>
  </si>
  <si>
    <t xml:space="preserve">निर्मला देवी पत्नी</t>
  </si>
  <si>
    <t xml:space="preserve">राकेश कुमार पुत्र</t>
  </si>
  <si>
    <r>
      <rPr>
        <sz val="12"/>
        <color rgb="FF000000"/>
        <rFont val="Calibri"/>
        <family val="2"/>
        <charset val="1"/>
      </rPr>
      <t xml:space="preserve">19417 </t>
    </r>
    <r>
      <rPr>
        <sz val="12"/>
        <color rgb="FF000000"/>
        <rFont val="FreeSans"/>
        <family val="2"/>
      </rPr>
      <t xml:space="preserve">बै</t>
    </r>
  </si>
  <si>
    <r>
      <rPr>
        <sz val="12"/>
        <color rgb="FF000000"/>
        <rFont val="Calibri"/>
        <family val="2"/>
        <charset val="1"/>
      </rPr>
      <t xml:space="preserve">19692 </t>
    </r>
    <r>
      <rPr>
        <sz val="12"/>
        <color rgb="FF000000"/>
        <rFont val="FreeSans"/>
        <family val="2"/>
      </rPr>
      <t xml:space="preserve">बैय</t>
    </r>
  </si>
  <si>
    <t xml:space="preserve">22/2/1</t>
  </si>
  <si>
    <r>
      <rPr>
        <sz val="12"/>
        <color rgb="FF000000"/>
        <rFont val="Calibri"/>
        <family val="2"/>
        <charset val="1"/>
      </rPr>
      <t xml:space="preserve">6-12 </t>
    </r>
    <r>
      <rPr>
        <sz val="12"/>
        <color rgb="FF000000"/>
        <rFont val="FreeSans"/>
        <family val="2"/>
      </rPr>
      <t xml:space="preserve">नहरी</t>
    </r>
  </si>
  <si>
    <r>
      <rPr>
        <sz val="12"/>
        <color rgb="FF000000"/>
        <rFont val="Calibri"/>
        <family val="2"/>
        <charset val="1"/>
      </rPr>
      <t xml:space="preserve">8-1 </t>
    </r>
    <r>
      <rPr>
        <sz val="12"/>
        <color rgb="FF000000"/>
        <rFont val="FreeSans"/>
        <family val="2"/>
      </rPr>
      <t xml:space="preserve">नहरी</t>
    </r>
  </si>
  <si>
    <t xml:space="preserve">कृपाल सिंह पुत्र</t>
  </si>
  <si>
    <t xml:space="preserve">भूरा सिह पुत्र</t>
  </si>
  <si>
    <t xml:space="preserve">आसा सिंह</t>
  </si>
  <si>
    <r>
      <rPr>
        <sz val="12"/>
        <color rgb="FF000000"/>
        <rFont val="Calibri"/>
        <family val="2"/>
        <charset val="1"/>
      </rPr>
      <t xml:space="preserve">21/161 </t>
    </r>
    <r>
      <rPr>
        <sz val="12"/>
        <color rgb="FF000000"/>
        <rFont val="FreeSans"/>
        <family val="2"/>
      </rPr>
      <t xml:space="preserve">भाग</t>
    </r>
  </si>
  <si>
    <t xml:space="preserve">दलीप कौर पत्नी</t>
  </si>
  <si>
    <t xml:space="preserve">गुरमेल सिह पुत्र</t>
  </si>
  <si>
    <r>
      <rPr>
        <sz val="12"/>
        <color rgb="FF000000"/>
        <rFont val="Calibri"/>
        <family val="2"/>
        <charset val="1"/>
      </rPr>
      <t xml:space="preserve">80/161 </t>
    </r>
    <r>
      <rPr>
        <sz val="12"/>
        <color rgb="FF000000"/>
        <rFont val="FreeSans"/>
        <family val="2"/>
      </rPr>
      <t xml:space="preserve">भाग</t>
    </r>
  </si>
  <si>
    <t xml:space="preserve">भूषण कुमार पुत्र</t>
  </si>
  <si>
    <t xml:space="preserve">लछमन दास</t>
  </si>
  <si>
    <r>
      <rPr>
        <sz val="12"/>
        <color rgb="FF000000"/>
        <rFont val="Calibri"/>
        <family val="2"/>
        <charset val="1"/>
      </rPr>
      <t xml:space="preserve">60/161 </t>
    </r>
    <r>
      <rPr>
        <sz val="12"/>
        <color rgb="FF000000"/>
        <rFont val="FreeSans"/>
        <family val="2"/>
      </rPr>
      <t xml:space="preserve">भाग</t>
    </r>
  </si>
  <si>
    <t xml:space="preserve">23/2/1</t>
  </si>
  <si>
    <r>
      <rPr>
        <sz val="12"/>
        <color rgb="FF000000"/>
        <rFont val="Calibri"/>
        <family val="2"/>
        <charset val="1"/>
      </rPr>
      <t xml:space="preserve">36/40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</si>
  <si>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2/40 </t>
    </r>
    <r>
      <rPr>
        <sz val="12"/>
        <color rgb="FF000000"/>
        <rFont val="FreeSans"/>
        <family val="2"/>
      </rPr>
      <t xml:space="preserve">भाग</t>
    </r>
  </si>
  <si>
    <t xml:space="preserve">बचन सिह</t>
  </si>
  <si>
    <t xml:space="preserve">23/2/2/1</t>
  </si>
  <si>
    <r>
      <rPr>
        <sz val="12"/>
        <color rgb="FF000000"/>
        <rFont val="Calibri"/>
        <family val="2"/>
        <charset val="1"/>
      </rPr>
      <t xml:space="preserve">1-4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</si>
  <si>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23/2/2/2</t>
  </si>
  <si>
    <r>
      <rPr>
        <sz val="12"/>
        <color rgb="FF000000"/>
        <rFont val="Calibri"/>
        <family val="2"/>
        <charset val="1"/>
      </rPr>
      <t xml:space="preserve">2-19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</si>
  <si>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t xml:space="preserve">अग्रवाल दाल एण्ड जनरल</t>
  </si>
  <si>
    <t xml:space="preserve">मिल कालावाली अन्य</t>
  </si>
  <si>
    <r>
      <rPr>
        <sz val="12"/>
        <color rgb="FF000000"/>
        <rFont val="FreeSans"/>
        <family val="2"/>
      </rPr>
      <t xml:space="preserve">कुछ</t>
    </r>
    <r>
      <rPr>
        <sz val="12"/>
        <color rgb="FF000000"/>
        <rFont val="Calibri"/>
        <family val="2"/>
        <charset val="1"/>
      </rPr>
      <t xml:space="preserve">/</t>
    </r>
    <r>
      <rPr>
        <sz val="12"/>
        <color rgb="FF000000"/>
        <rFont val="FreeSans"/>
        <family val="2"/>
      </rPr>
      <t xml:space="preserve">खाली</t>
    </r>
  </si>
  <si>
    <t xml:space="preserve">विला लगान</t>
  </si>
  <si>
    <r>
      <rPr>
        <sz val="12"/>
        <color rgb="FF000000"/>
        <rFont val="FreeSans"/>
        <family val="2"/>
      </rPr>
      <t xml:space="preserve">रपट न</t>
    </r>
    <r>
      <rPr>
        <sz val="12"/>
        <color rgb="FF000000"/>
        <rFont val="Calibri"/>
        <family val="2"/>
        <charset val="1"/>
      </rPr>
      <t xml:space="preserve">.453 </t>
    </r>
    <r>
      <rPr>
        <sz val="12"/>
        <color rgb="FF000000"/>
        <rFont val="FreeSans"/>
        <family val="2"/>
      </rPr>
      <t xml:space="preserve">तिथि</t>
    </r>
  </si>
  <si>
    <r>
      <rPr>
        <sz val="12"/>
        <color rgb="FF000000"/>
        <rFont val="Calibri"/>
        <family val="2"/>
        <charset val="1"/>
      </rPr>
      <t xml:space="preserve">3-10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</si>
  <si>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1000/-</t>
    </r>
    <r>
      <rPr>
        <sz val="12"/>
        <color rgb="FF000000"/>
        <rFont val="FreeSans"/>
        <family val="2"/>
      </rPr>
      <t xml:space="preserve">साल तमाम</t>
    </r>
  </si>
  <si>
    <r>
      <rPr>
        <sz val="12"/>
        <color rgb="FF000000"/>
        <rFont val="Calibri"/>
        <family val="2"/>
        <charset val="1"/>
      </rPr>
      <t xml:space="preserve">1-4-2005 </t>
    </r>
    <r>
      <rPr>
        <sz val="12"/>
        <color rgb="FF000000"/>
        <rFont val="FreeSans"/>
        <family val="2"/>
      </rPr>
      <t xml:space="preserve">किला न</t>
    </r>
    <r>
      <rPr>
        <sz val="12"/>
        <color rgb="FF000000"/>
        <rFont val="Calibri"/>
        <family val="2"/>
        <charset val="1"/>
      </rPr>
      <t xml:space="preserve">,</t>
    </r>
  </si>
  <si>
    <t xml:space="preserve">223//24/2-25/2</t>
  </si>
  <si>
    <t xml:space="preserve">रामी</t>
  </si>
  <si>
    <r>
      <rPr>
        <sz val="12"/>
        <color rgb="FF000000"/>
        <rFont val="Calibri"/>
        <family val="2"/>
        <charset val="1"/>
      </rPr>
      <t xml:space="preserve">4-9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</si>
  <si>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FreeSans"/>
        <family val="2"/>
      </rPr>
      <t xml:space="preserve">रकबा </t>
    </r>
    <r>
      <rPr>
        <sz val="12"/>
        <color rgb="FF000000"/>
        <rFont val="Calibri"/>
        <family val="2"/>
        <charset val="1"/>
      </rPr>
      <t xml:space="preserve">7-19 </t>
    </r>
    <r>
      <rPr>
        <sz val="12"/>
        <color rgb="FF000000"/>
        <rFont val="FreeSans"/>
        <family val="2"/>
      </rPr>
      <t xml:space="preserve">का </t>
    </r>
    <r>
      <rPr>
        <sz val="12"/>
        <color rgb="FF000000"/>
        <rFont val="Calibri"/>
        <family val="2"/>
        <charset val="1"/>
      </rPr>
      <t xml:space="preserve">1/2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</si>
  <si>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3/40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</si>
  <si>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बकदर </t>
    </r>
    <r>
      <rPr>
        <sz val="12"/>
        <color rgb="FF000000"/>
        <rFont val="Calibri"/>
        <family val="2"/>
        <charset val="1"/>
      </rPr>
      <t xml:space="preserve">3-19 </t>
    </r>
    <r>
      <rPr>
        <sz val="12"/>
        <color rgb="FF000000"/>
        <rFont val="FreeSans"/>
        <family val="2"/>
      </rPr>
      <t xml:space="preserve">सोहनलाल</t>
    </r>
  </si>
  <si>
    <r>
      <rPr>
        <sz val="12"/>
        <color rgb="FF000000"/>
        <rFont val="FreeSans"/>
        <family val="2"/>
      </rPr>
      <t xml:space="preserve">हिस्सेदार बदले 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</si>
  <si>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1000000/- </t>
    </r>
    <r>
      <rPr>
        <sz val="12"/>
        <color rgb="FF000000"/>
        <rFont val="FreeSans"/>
        <family val="2"/>
      </rPr>
      <t xml:space="preserve">रू</t>
    </r>
  </si>
  <si>
    <r>
      <rPr>
        <sz val="12"/>
        <color rgb="FF000000"/>
        <rFont val="FreeSans"/>
        <family val="2"/>
      </rPr>
      <t xml:space="preserve">दस लाख रू</t>
    </r>
    <r>
      <rPr>
        <sz val="12"/>
        <color rgb="FF000000"/>
        <rFont val="Calibri"/>
        <family val="2"/>
        <charset val="1"/>
      </rPr>
      <t xml:space="preserve">. </t>
    </r>
    <r>
      <rPr>
        <sz val="12"/>
        <color rgb="FF000000"/>
        <rFont val="FreeSans"/>
        <family val="2"/>
      </rPr>
      <t xml:space="preserve">बनाम</t>
    </r>
  </si>
  <si>
    <r>
      <rPr>
        <sz val="12"/>
        <color rgb="FF000000"/>
        <rFont val="Calibri"/>
        <family val="2"/>
        <charset val="1"/>
      </rPr>
      <t xml:space="preserve">PNB </t>
    </r>
    <r>
      <rPr>
        <sz val="12"/>
        <color rgb="FF000000"/>
        <rFont val="FreeSans"/>
        <family val="2"/>
      </rPr>
      <t xml:space="preserve">कालावाली आड रहन</t>
    </r>
  </si>
  <si>
    <r>
      <rPr>
        <sz val="12"/>
        <color rgb="FF000000"/>
        <rFont val="Calibri"/>
        <family val="2"/>
        <charset val="1"/>
      </rPr>
      <t xml:space="preserve">18410 </t>
    </r>
    <r>
      <rPr>
        <sz val="12"/>
        <color rgb="FF000000"/>
        <rFont val="FreeSans"/>
        <family val="2"/>
      </rPr>
      <t xml:space="preserve">तकसीम</t>
    </r>
  </si>
  <si>
    <r>
      <rPr>
        <sz val="12"/>
        <color rgb="FF000000"/>
        <rFont val="Calibri"/>
        <family val="2"/>
        <charset val="1"/>
      </rPr>
      <t xml:space="preserve">1/20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</si>
  <si>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Calibri"/>
        <family val="2"/>
        <charset val="1"/>
      </rPr>
      <t xml:space="preserve">7-19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</si>
  <si>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18424 </t>
    </r>
    <r>
      <rPr>
        <sz val="12"/>
        <color rgb="FF000000"/>
        <rFont val="FreeSans"/>
        <family val="2"/>
      </rPr>
      <t xml:space="preserve">पट्टामनसुखी</t>
    </r>
  </si>
  <si>
    <r>
      <rPr>
        <sz val="12"/>
        <color rgb="FF000000"/>
        <rFont val="Calibri"/>
        <family val="2"/>
        <charset val="1"/>
      </rPr>
      <t xml:space="preserve">3/8 </t>
    </r>
    <r>
      <rPr>
        <sz val="12"/>
        <color rgb="FF000000"/>
        <rFont val="FreeSans"/>
        <family val="2"/>
      </rPr>
      <t xml:space="preserve">भाग</t>
    </r>
  </si>
  <si>
    <r>
      <rPr>
        <sz val="12"/>
        <color rgb="FF000000"/>
        <rFont val="FreeSans"/>
        <family val="2"/>
      </rPr>
      <t xml:space="preserve">सोहनलाल</t>
    </r>
    <r>
      <rPr>
        <sz val="12"/>
        <color rgb="FF000000"/>
        <rFont val="Calibri"/>
        <family val="2"/>
        <charset val="1"/>
      </rPr>
      <t xml:space="preserve">,</t>
    </r>
  </si>
  <si>
    <t xml:space="preserve">रामनाथ पुत्रान</t>
  </si>
  <si>
    <t xml:space="preserve">बल्लाराम पुत्र</t>
  </si>
  <si>
    <t xml:space="preserve">गगंाराम</t>
  </si>
  <si>
    <t xml:space="preserve">सोहनलाल पुत्र</t>
  </si>
  <si>
    <t xml:space="preserve">धर्मचन्द पुत्र</t>
  </si>
  <si>
    <t xml:space="preserve">65-0</t>
  </si>
  <si>
    <t xml:space="preserve">26-1</t>
  </si>
  <si>
    <t xml:space="preserve">38-19</t>
  </si>
  <si>
    <r>
      <rPr>
        <sz val="12"/>
        <color rgb="FF000000"/>
        <rFont val="Calibri"/>
        <family val="2"/>
        <charset val="1"/>
      </rPr>
      <t xml:space="preserve">38-19 </t>
    </r>
    <r>
      <rPr>
        <sz val="12"/>
        <color rgb="FF000000"/>
        <rFont val="FreeSans"/>
        <family val="2"/>
      </rPr>
      <t xml:space="preserve">गै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FreeSans"/>
        <family val="2"/>
      </rPr>
      <t xml:space="preserve">मु</t>
    </r>
    <r>
      <rPr>
        <sz val="12"/>
        <color rgb="FF000000"/>
        <rFont val="Calibri"/>
        <family val="2"/>
        <charset val="1"/>
      </rPr>
      <t xml:space="preserve">.</t>
    </r>
  </si>
  <si>
    <r>
      <rPr>
        <sz val="12"/>
        <color rgb="FF000000"/>
        <rFont val="Calibri"/>
        <family val="2"/>
        <charset val="1"/>
      </rPr>
      <t xml:space="preserve">15-1 </t>
    </r>
    <r>
      <rPr>
        <sz val="12"/>
        <color rgb="FF000000"/>
        <rFont val="FreeSans"/>
        <family val="2"/>
      </rPr>
      <t xml:space="preserve">बारानी</t>
    </r>
  </si>
  <si>
    <t xml:space="preserve">owned</t>
  </si>
  <si>
    <t xml:space="preserve">occupied</t>
  </si>
  <si>
    <t xml:space="preserve">3/1</t>
  </si>
  <si>
    <t xml:space="preserve">District</t>
  </si>
  <si>
    <t xml:space="preserve">Tehsil</t>
  </si>
  <si>
    <t xml:space="preserve">CaseId</t>
  </si>
  <si>
    <t xml:space="preserve">CaseNo</t>
  </si>
  <si>
    <t xml:space="preserve">Court</t>
  </si>
  <si>
    <t xml:space="preserve">Petitioner</t>
  </si>
  <si>
    <t xml:space="preserve">Respondant</t>
  </si>
  <si>
    <t xml:space="preserve">Jamabandi Yr</t>
  </si>
  <si>
    <t xml:space="preserve">Mustil No</t>
  </si>
  <si>
    <t xml:space="preserve">Khasra</t>
  </si>
  <si>
    <t xml:space="preserve">Sirsa</t>
  </si>
  <si>
    <t xml:space="preserve">Taruana</t>
  </si>
  <si>
    <t xml:space="preserve">04107H2590115316</t>
  </si>
  <si>
    <t xml:space="preserve">70 HRA</t>
  </si>
  <si>
    <t xml:space="preserve">SDO(C) Kalanwali, Sirsa</t>
  </si>
  <si>
    <t xml:space="preserve">OBC, Kalanwali</t>
  </si>
  <si>
    <t xml:space="preserve">Jaswinder Singh</t>
  </si>
  <si>
    <t xml:space="preserve">2012-2013</t>
  </si>
  <si>
    <t xml:space="preserve">04113G2820025117</t>
  </si>
  <si>
    <t xml:space="preserve">207/NT</t>
  </si>
  <si>
    <t xml:space="preserve">Naib Tehsildar Kalanwali, Sirsa</t>
  </si>
  <si>
    <t xml:space="preserve">JAGVIR SINGH</t>
  </si>
  <si>
    <t xml:space="preserve">RULDU SINGH</t>
  </si>
  <si>
    <t xml:space="preserve">7/1/2</t>
  </si>
  <si>
    <t xml:space="preserve">04113G3600016217</t>
  </si>
  <si>
    <t xml:space="preserve">191-NT</t>
  </si>
  <si>
    <t xml:space="preserve">KULDEEP KAUR</t>
  </si>
  <si>
    <t xml:space="preserve">HARDUM SINGH</t>
  </si>
  <si>
    <t xml:space="preserve">04113Y2790026017</t>
  </si>
  <si>
    <t xml:space="preserve">340/NT</t>
  </si>
  <si>
    <t xml:space="preserve">MANJEET KAUR</t>
  </si>
  <si>
    <t xml:space="preserve">MANJEET SINGH</t>
  </si>
  <si>
    <t xml:space="preserve">04120H2590000617</t>
  </si>
  <si>
    <t xml:space="preserve">78 HRA</t>
  </si>
  <si>
    <t xml:space="preserve">O.B.I. KALANWALI</t>
  </si>
  <si>
    <t xml:space="preserve">HARMAL SINGH</t>
  </si>
  <si>
    <t xml:space="preserve">04113Y2790013817</t>
  </si>
  <si>
    <t xml:space="preserve">263-NT</t>
  </si>
  <si>
    <t xml:space="preserve">GURBACHAN SINGH</t>
  </si>
  <si>
    <t xml:space="preserve">GURDARSHAN SINGH</t>
  </si>
  <si>
    <t xml:space="preserve">12/2/2</t>
  </si>
  <si>
    <t xml:space="preserve">04113Y2790014417</t>
  </si>
  <si>
    <t xml:space="preserve">290-NT</t>
  </si>
  <si>
    <t xml:space="preserve">GURLAL SINGH</t>
  </si>
  <si>
    <t xml:space="preserve">HARPAL SINGH</t>
  </si>
  <si>
    <t xml:space="preserve">04113Y2790019917</t>
  </si>
  <si>
    <t xml:space="preserve">242-NT</t>
  </si>
  <si>
    <t xml:space="preserve">SAHYOG MHESWARI</t>
  </si>
  <si>
    <t xml:space="preserve">SURJEET SINGH</t>
  </si>
  <si>
    <t xml:space="preserve">2min</t>
  </si>
  <si>
    <t xml:space="preserve">04113Y2790012115</t>
  </si>
  <si>
    <t xml:space="preserve">221NT</t>
  </si>
  <si>
    <t xml:space="preserve">JASDEV SINGH</t>
  </si>
  <si>
    <t xml:space="preserve">JASWANT SINGH</t>
  </si>
  <si>
    <t xml:space="preserve">04113Y2790012315</t>
  </si>
  <si>
    <t xml:space="preserve">144NT</t>
  </si>
  <si>
    <t xml:space="preserve">SAWARANJEET KAUR</t>
  </si>
  <si>
    <t xml:space="preserve">DARSHAN SINGH</t>
  </si>
  <si>
    <t xml:space="preserve">616-625</t>
  </si>
  <si>
    <t xml:space="preserve">04113G3600022017</t>
  </si>
  <si>
    <t xml:space="preserve">201-NT</t>
  </si>
  <si>
    <t xml:space="preserve">BALBIR KAUR</t>
  </si>
  <si>
    <t xml:space="preserve">JAGNANDAN SINGH</t>
  </si>
  <si>
    <t xml:space="preserve">4/2</t>
  </si>
  <si>
    <t xml:space="preserve">11/2</t>
  </si>
  <si>
    <t xml:space="preserve">3/2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</si>
</sst>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General"/>
    <numFmt numFmtId="167" formatCode="0.00000"/>
    <numFmt numFmtId="168" formatCode="# ?/?"/>
    <numFmt numFmtId="169" formatCode="d\-mmm"/>
    <numFmt numFmtId="170" formatCode="mmm\-yy"/>
    <numFmt numFmtId="171" formatCode="@"/>
    <numFmt numFmtId="172" formatCode="0.00"/>
    <numFmt numFmtId="173" formatCode="m/d/yyyy"/>
  </numFmts>
  <fonts count="3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u val="single"/>
      <sz val="16"/>
      <color rgb="FF0000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Times New Roman"/>
      <family val="1"/>
      <charset val="1"/>
    </font>
    <font>
      <sz val="11"/>
      <color rgb="FFFF0000"/>
      <name val="Calibri"/>
      <family val="2"/>
      <charset val="1"/>
    </font>
    <font>
      <sz val="12"/>
      <color rgb="FFFF0000"/>
      <name val="Calibri"/>
      <family val="2"/>
      <charset val="1"/>
    </font>
    <font>
      <sz val="11"/>
      <color rgb="FF000000"/>
      <name val="FreeSans"/>
      <family val="2"/>
    </font>
    <font>
      <b val="true"/>
      <u val="single"/>
      <sz val="11"/>
      <color rgb="FF0000FF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4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4"/>
      <color rgb="FF7030A0"/>
      <name val="Calibri"/>
      <family val="2"/>
      <charset val="1"/>
    </font>
    <font>
      <sz val="12"/>
      <color rgb="FF000000"/>
      <name val="Mangal"/>
      <family val="0"/>
      <charset val="1"/>
    </font>
    <font>
      <b val="true"/>
      <sz val="11"/>
      <color rgb="FF000080"/>
      <name val="FreeSans"/>
      <family val="2"/>
    </font>
    <font>
      <b val="true"/>
      <sz val="11"/>
      <color rgb="FF000080"/>
      <name val="Calibri"/>
      <family val="2"/>
      <charset val="1"/>
    </font>
    <font>
      <b val="true"/>
      <sz val="11"/>
      <color rgb="FF00008B"/>
      <name val="FreeSans"/>
      <family val="2"/>
    </font>
    <font>
      <b val="true"/>
      <sz val="11"/>
      <color rgb="FF00008B"/>
      <name val="Calibri"/>
      <family val="2"/>
      <charset val="1"/>
    </font>
    <font>
      <b val="true"/>
      <sz val="11"/>
      <color rgb="FF000000"/>
      <name val="FreeSans"/>
      <family val="2"/>
    </font>
    <font>
      <b val="true"/>
      <sz val="14"/>
      <color rgb="FFFF0000"/>
      <name val="Arial"/>
      <family val="2"/>
      <charset val="1"/>
    </font>
    <font>
      <b val="true"/>
      <sz val="12"/>
      <color rgb="FF000000"/>
      <name val="FreeSans"/>
      <family val="2"/>
    </font>
    <font>
      <b val="true"/>
      <sz val="12"/>
      <color rgb="FF000000"/>
      <name val="Calibri"/>
      <family val="2"/>
      <charset val="1"/>
    </font>
    <font>
      <sz val="12"/>
      <color rgb="FF000000"/>
      <name val="FreeSans"/>
      <family val="2"/>
    </font>
    <font>
      <u val="single"/>
      <sz val="12"/>
      <color rgb="FF0000FF"/>
      <name val="Calibri"/>
      <family val="2"/>
      <charset val="1"/>
    </font>
    <font>
      <b val="true"/>
      <sz val="12"/>
      <name val="Calibri"/>
      <family val="2"/>
      <charset val="1"/>
    </font>
    <font>
      <sz val="11"/>
      <name val="Calibri"/>
      <family val="2"/>
      <charset val="1"/>
    </font>
    <font>
      <sz val="11"/>
      <color rgb="FF00B050"/>
      <name val="Calibri"/>
      <family val="2"/>
      <charset val="1"/>
    </font>
    <font>
      <sz val="16"/>
      <color rgb="FFFF0000"/>
      <name val="Calibri"/>
      <family val="2"/>
      <charset val="1"/>
    </font>
    <font>
      <sz val="8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2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12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B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sharedStrings" Target="sharedStrings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2.v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hyperlink" Target="javascript:__doPostBack(&apos;LinkButton1&apos;,&apos;&apos;)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5" zeroHeight="false" outlineLevelRow="0" outlineLevelCol="0"/>
  <sheetData>
    <row r="1" customFormat="false" ht="21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" hidden="false" customHeight="false" outlineLevel="0" collapsed="false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21" hidden="false" customHeight="false" outlineLevel="0" collapsed="false">
      <c r="A3" s="1"/>
      <c r="B3" s="2" t="s">
        <v>1</v>
      </c>
      <c r="C3" s="1"/>
      <c r="D3" s="2" t="s">
        <v>2</v>
      </c>
      <c r="E3" s="1"/>
      <c r="F3" s="2" t="s">
        <v>3</v>
      </c>
      <c r="G3" s="1"/>
      <c r="H3" s="1"/>
      <c r="I3" s="1"/>
      <c r="J3" s="1"/>
      <c r="K3" s="1"/>
      <c r="L3" s="1"/>
      <c r="M3" s="1"/>
      <c r="N3" s="1"/>
      <c r="O3" s="1"/>
    </row>
    <row r="4" customFormat="false" ht="21" hidden="false" customHeight="false" outlineLevel="0" collapsed="false">
      <c r="A4" s="1"/>
      <c r="B4" s="2" t="n">
        <v>83</v>
      </c>
      <c r="C4" s="1"/>
      <c r="D4" s="2" t="n">
        <v>528</v>
      </c>
      <c r="E4" s="1"/>
      <c r="F4" s="2" t="n">
        <v>1</v>
      </c>
      <c r="G4" s="1"/>
      <c r="H4" s="2" t="n">
        <v>356</v>
      </c>
      <c r="I4" s="1"/>
      <c r="J4" s="1"/>
      <c r="K4" s="1"/>
      <c r="L4" s="1"/>
      <c r="M4" s="1"/>
      <c r="N4" s="1"/>
      <c r="O4" s="1"/>
    </row>
    <row r="5" customFormat="false" ht="21" hidden="false" customHeight="false" outlineLevel="0" collapsed="false">
      <c r="A5" s="1"/>
      <c r="B5" s="2" t="n">
        <v>84</v>
      </c>
      <c r="C5" s="1"/>
      <c r="D5" s="2" t="n">
        <v>529</v>
      </c>
      <c r="E5" s="1"/>
      <c r="F5" s="2" t="n">
        <v>5</v>
      </c>
      <c r="G5" s="1"/>
      <c r="H5" s="2" t="n">
        <v>358</v>
      </c>
      <c r="I5" s="1"/>
      <c r="J5" s="1"/>
      <c r="K5" s="1"/>
      <c r="L5" s="1"/>
      <c r="M5" s="1"/>
      <c r="N5" s="1"/>
      <c r="O5" s="1"/>
    </row>
    <row r="6" customFormat="false" ht="21" hidden="false" customHeight="false" outlineLevel="0" collapsed="false">
      <c r="A6" s="1"/>
      <c r="B6" s="2" t="n">
        <v>85</v>
      </c>
      <c r="C6" s="1"/>
      <c r="D6" s="2" t="n">
        <v>530</v>
      </c>
      <c r="E6" s="1"/>
      <c r="F6" s="2" t="n">
        <v>208</v>
      </c>
      <c r="G6" s="1"/>
      <c r="H6" s="2" t="n">
        <v>359</v>
      </c>
      <c r="I6" s="1"/>
      <c r="J6" s="1"/>
      <c r="K6" s="1"/>
      <c r="L6" s="1"/>
      <c r="M6" s="1"/>
      <c r="N6" s="1"/>
      <c r="O6" s="1"/>
    </row>
    <row r="7" customFormat="false" ht="21" hidden="false" customHeight="false" outlineLevel="0" collapsed="false">
      <c r="A7" s="1"/>
      <c r="B7" s="2" t="n">
        <v>187</v>
      </c>
      <c r="C7" s="1"/>
      <c r="D7" s="2" t="n">
        <v>531</v>
      </c>
      <c r="E7" s="1"/>
      <c r="F7" s="2" t="n">
        <v>216</v>
      </c>
      <c r="G7" s="1"/>
      <c r="H7" s="2" t="n">
        <v>362</v>
      </c>
      <c r="I7" s="1"/>
      <c r="J7" s="1"/>
      <c r="K7" s="1"/>
      <c r="L7" s="1"/>
      <c r="M7" s="1"/>
      <c r="N7" s="1"/>
      <c r="O7" s="1"/>
    </row>
    <row r="8" customFormat="false" ht="21" hidden="false" customHeight="false" outlineLevel="0" collapsed="false">
      <c r="A8" s="1"/>
      <c r="B8" s="2" t="n">
        <v>188</v>
      </c>
      <c r="C8" s="1"/>
      <c r="D8" s="1"/>
      <c r="E8" s="1"/>
      <c r="F8" s="2" t="n">
        <v>217</v>
      </c>
      <c r="G8" s="1"/>
      <c r="H8" s="2" t="n">
        <v>394</v>
      </c>
      <c r="I8" s="1"/>
      <c r="J8" s="1"/>
      <c r="K8" s="1"/>
      <c r="L8" s="1"/>
      <c r="M8" s="1"/>
      <c r="N8" s="1"/>
      <c r="O8" s="1"/>
    </row>
    <row r="9" customFormat="false" ht="21" hidden="false" customHeight="false" outlineLevel="0" collapsed="false">
      <c r="A9" s="1"/>
      <c r="B9" s="1"/>
      <c r="C9" s="1"/>
      <c r="D9" s="1"/>
      <c r="E9" s="1"/>
      <c r="F9" s="2" t="n">
        <v>218</v>
      </c>
      <c r="G9" s="1"/>
      <c r="H9" s="2" t="n">
        <v>406</v>
      </c>
      <c r="I9" s="1"/>
      <c r="J9" s="1"/>
      <c r="K9" s="1"/>
      <c r="L9" s="1"/>
      <c r="M9" s="1"/>
      <c r="N9" s="1"/>
      <c r="O9" s="1"/>
    </row>
    <row r="10" customFormat="false" ht="21" hidden="false" customHeight="false" outlineLevel="0" collapsed="false">
      <c r="A10" s="1"/>
      <c r="B10" s="3" t="s">
        <v>4</v>
      </c>
      <c r="C10" s="1"/>
      <c r="D10" s="1"/>
      <c r="E10" s="1"/>
      <c r="F10" s="2" t="n">
        <v>265</v>
      </c>
      <c r="G10" s="1"/>
      <c r="H10" s="1"/>
      <c r="I10" s="1"/>
      <c r="J10" s="1"/>
      <c r="K10" s="1"/>
      <c r="L10" s="1"/>
      <c r="M10" s="1"/>
      <c r="N10" s="1"/>
      <c r="O10" s="1"/>
    </row>
    <row r="11" customFormat="false" ht="21" hidden="false" customHeight="false" outlineLevel="0" collapsed="false">
      <c r="A11" s="1"/>
      <c r="B11" s="1"/>
      <c r="C11" s="1"/>
      <c r="D11" s="1"/>
      <c r="E11" s="1"/>
      <c r="F11" s="2" t="n">
        <v>336</v>
      </c>
      <c r="G11" s="1"/>
      <c r="H11" s="1"/>
      <c r="I11" s="1"/>
      <c r="J11" s="1"/>
      <c r="K11" s="1"/>
      <c r="L11" s="1"/>
      <c r="M11" s="1"/>
      <c r="N11" s="1"/>
      <c r="O11" s="1"/>
    </row>
    <row r="12" customFormat="false" ht="21" hidden="false" customHeight="false" outlineLevel="0" collapsed="false">
      <c r="A12" s="1"/>
      <c r="B12" s="1"/>
      <c r="C12" s="1"/>
      <c r="D12" s="1"/>
      <c r="E12" s="1"/>
      <c r="F12" s="2" t="n">
        <v>339</v>
      </c>
      <c r="G12" s="1"/>
      <c r="H12" s="1"/>
      <c r="I12" s="1"/>
      <c r="J12" s="1"/>
      <c r="K12" s="1"/>
      <c r="L12" s="1"/>
      <c r="M12" s="1"/>
      <c r="N12" s="1"/>
      <c r="O12" s="1"/>
    </row>
    <row r="13" customFormat="false" ht="21" hidden="false" customHeight="false" outlineLevel="0" collapsed="false">
      <c r="A13" s="1"/>
      <c r="B13" s="1"/>
      <c r="C13" s="1"/>
      <c r="D13" s="1"/>
      <c r="E13" s="1"/>
      <c r="F13" s="2" t="n">
        <v>340</v>
      </c>
      <c r="G13" s="1"/>
      <c r="H13" s="1"/>
      <c r="I13" s="1"/>
      <c r="J13" s="1"/>
      <c r="K13" s="1"/>
      <c r="L13" s="1"/>
      <c r="M13" s="1"/>
      <c r="N13" s="1"/>
      <c r="O13" s="1"/>
    </row>
    <row r="14" customFormat="false" ht="21" hidden="false" customHeight="false" outlineLevel="0" collapsed="false">
      <c r="A14" s="1"/>
      <c r="B14" s="1"/>
      <c r="C14" s="1"/>
      <c r="D14" s="1"/>
      <c r="E14" s="1"/>
      <c r="F14" s="2" t="n">
        <v>344</v>
      </c>
      <c r="G14" s="1"/>
      <c r="H14" s="1"/>
      <c r="I14" s="1"/>
      <c r="J14" s="1"/>
      <c r="K14" s="1"/>
      <c r="L14" s="1"/>
      <c r="M14" s="1"/>
      <c r="N14" s="1"/>
      <c r="O14" s="1"/>
    </row>
    <row r="15" customFormat="false" ht="21" hidden="false" customHeight="false" outlineLevel="0" collapsed="false">
      <c r="A15" s="1"/>
      <c r="B15" s="1"/>
      <c r="C15" s="1"/>
      <c r="D15" s="1"/>
      <c r="E15" s="1"/>
      <c r="F15" s="2" t="n">
        <v>345</v>
      </c>
      <c r="G15" s="1"/>
      <c r="H15" s="1"/>
      <c r="I15" s="1"/>
      <c r="J15" s="1"/>
      <c r="K15" s="1"/>
      <c r="L15" s="1"/>
      <c r="M15" s="1"/>
      <c r="N15" s="1"/>
      <c r="O15" s="1"/>
    </row>
    <row r="16" customFormat="false" ht="21" hidden="false" customHeight="false" outlineLevel="0" collapsed="false">
      <c r="A16" s="1"/>
      <c r="B16" s="1"/>
      <c r="C16" s="1"/>
      <c r="D16" s="1"/>
      <c r="E16" s="1"/>
      <c r="F16" s="2" t="n">
        <v>347</v>
      </c>
      <c r="G16" s="1"/>
      <c r="H16" s="1"/>
      <c r="I16" s="1"/>
      <c r="J16" s="1"/>
      <c r="K16" s="1"/>
      <c r="L16" s="1"/>
      <c r="M16" s="1"/>
      <c r="N16" s="1"/>
      <c r="O16" s="1"/>
    </row>
    <row r="17" customFormat="false" ht="21" hidden="false" customHeight="false" outlineLevel="0" collapsed="false">
      <c r="A17" s="1"/>
      <c r="B17" s="1"/>
      <c r="C17" s="1"/>
      <c r="D17" s="1"/>
      <c r="E17" s="1"/>
      <c r="F17" s="2" t="n">
        <v>349</v>
      </c>
      <c r="G17" s="1"/>
      <c r="H17" s="1"/>
      <c r="I17" s="1"/>
      <c r="J17" s="1"/>
      <c r="K17" s="1"/>
      <c r="L17" s="1"/>
      <c r="M17" s="1"/>
      <c r="N17" s="1"/>
      <c r="O17" s="1"/>
    </row>
    <row r="18" customFormat="false" ht="21" hidden="false" customHeight="false" outlineLevel="0" collapsed="false">
      <c r="A18" s="1"/>
      <c r="B18" s="1"/>
      <c r="C18" s="1"/>
      <c r="D18" s="1"/>
      <c r="E18" s="1"/>
      <c r="F18" s="2" t="n">
        <v>353</v>
      </c>
      <c r="G18" s="1"/>
      <c r="H18" s="1"/>
      <c r="I18" s="1"/>
      <c r="J18" s="1"/>
      <c r="K18" s="1"/>
      <c r="L18" s="1"/>
      <c r="M18" s="1"/>
      <c r="N18" s="1"/>
      <c r="O18" s="1"/>
    </row>
    <row r="19" customFormat="false" ht="21" hidden="false" customHeight="false" outlineLevel="0" collapsed="false">
      <c r="A19" s="1"/>
      <c r="B19" s="1"/>
      <c r="C19" s="1"/>
      <c r="D19" s="1"/>
      <c r="E19" s="1"/>
      <c r="F19" s="2" t="n">
        <v>354</v>
      </c>
      <c r="G19" s="1"/>
      <c r="H19" s="1"/>
      <c r="I19" s="1"/>
      <c r="J19" s="1"/>
      <c r="K19" s="1"/>
      <c r="L19" s="1"/>
      <c r="M19" s="1"/>
      <c r="N19" s="1"/>
      <c r="O19" s="1"/>
    </row>
    <row r="20" customFormat="false" ht="21" hidden="false" customHeight="false" outlineLevel="0" collapsed="false">
      <c r="A20" s="1"/>
      <c r="B20" s="1"/>
      <c r="C20" s="1"/>
      <c r="D20" s="1"/>
      <c r="E20" s="1"/>
      <c r="F20" s="2" t="n">
        <v>355</v>
      </c>
      <c r="G20" s="1"/>
      <c r="H20" s="1"/>
      <c r="I20" s="1"/>
      <c r="J20" s="1"/>
      <c r="K20" s="1"/>
      <c r="L20" s="1"/>
      <c r="M20" s="1"/>
      <c r="N20" s="1"/>
      <c r="O20" s="1"/>
    </row>
    <row r="21" customFormat="false" ht="21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21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21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21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21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hyperlinks>
    <hyperlink ref="B3" location="Khatra!A1" display="Khatra"/>
    <hyperlink ref="D3" location="Kalanwali!A1" display="Kalanwali"/>
    <hyperlink ref="F3" location="Taruana!A1" display="taruana"/>
    <hyperlink ref="B4" location="'83'!A1" display="#'83'.A1"/>
    <hyperlink ref="D4" location="'528'!A1" display="#'528'.A1"/>
    <hyperlink ref="F4" location="'1'!A1" display="#'1'.A1"/>
    <hyperlink ref="H4" location="'356'!A1" display="#'356'.A1"/>
    <hyperlink ref="B5" location="'84'!A1" display="#'84'.A1"/>
    <hyperlink ref="D5" location="'529'!A1" display="#'529'.A1"/>
    <hyperlink ref="F5" location="'5'!A1" display="#'5'.A1"/>
    <hyperlink ref="H5" location="'358'!A1" display="#'358'.A1"/>
    <hyperlink ref="B6" location="'85'!A1" display="#'85'.A1"/>
    <hyperlink ref="D6" location="'530'!A1" display="#'530'.A1"/>
    <hyperlink ref="F6" location="'208'!A1" display="#'208'.A1"/>
    <hyperlink ref="H6" location="'359'!A1" display="#'359'.A1"/>
    <hyperlink ref="B7" location="'187'!A1" display="#'187'.A1"/>
    <hyperlink ref="D7" location="'531'!A1" display="#'531'.A1"/>
    <hyperlink ref="F7" location="'216'!A1" display="#'216'.A1"/>
    <hyperlink ref="H7" location="'362'!A1" display="#'362'.A1"/>
    <hyperlink ref="B8" location="'188'!A1" display="#'188'.A1"/>
    <hyperlink ref="F8" location="'217'!A1" display="#'217'.A1"/>
    <hyperlink ref="H8" location="'394'!A1" display="#'394'.A1"/>
    <hyperlink ref="F9" location="'218'!A1" display="#'218'.A1"/>
    <hyperlink ref="H9" location="'406'!A1" display="#'406'.A1"/>
    <hyperlink ref="B10" location="khatoni!A1" display="Khatouni"/>
    <hyperlink ref="F10" location="'265'!A1" display="#'265'.A1"/>
    <hyperlink ref="F11" location="'336'!A1" display="#'336'.A1"/>
    <hyperlink ref="F12" location="'339'!A1" display="#'339'.A1"/>
    <hyperlink ref="F13" location="'340'!A1" display="#'340'.A1"/>
    <hyperlink ref="F14" location="'344'!A1" display="#'344'.A1"/>
    <hyperlink ref="F15" location="'345'!A1" display="#'345'.A1"/>
    <hyperlink ref="F16" location="'347'!A1" display="#'347'.A1"/>
    <hyperlink ref="F17" location="'349'!A1" display="#'349'.A1"/>
    <hyperlink ref="F18" location="'353'!A1" display="#'353'.A1"/>
    <hyperlink ref="F19" location="'354'!A1" display="#'354'.A1"/>
    <hyperlink ref="F20" location="'355'!A1" display="#'355'.A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2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D12" activeCellId="0" sqref="D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2.57"/>
    <col collapsed="false" customWidth="true" hidden="false" outlineLevel="0" max="4" min="4" style="0" width="10"/>
    <col collapsed="false" customWidth="true" hidden="false" outlineLevel="0" max="5" min="5" style="0" width="9.14"/>
  </cols>
  <sheetData>
    <row r="2" customFormat="false" ht="15" hidden="false" customHeight="false" outlineLevel="0" collapsed="false">
      <c r="A2" s="4" t="s">
        <v>5</v>
      </c>
    </row>
    <row r="3" customFormat="false" ht="15" hidden="false" customHeight="false" outlineLevel="0" collapsed="false">
      <c r="C3" s="0" t="s">
        <v>6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s">
        <v>9</v>
      </c>
    </row>
    <row r="5" customFormat="false" ht="15" hidden="false" customHeight="false" outlineLevel="0" collapsed="false">
      <c r="A5" s="0" t="n">
        <v>16.5</v>
      </c>
      <c r="B5" s="0" t="n">
        <v>240</v>
      </c>
      <c r="C5" s="0" t="n">
        <v>100</v>
      </c>
      <c r="D5" s="0" t="s">
        <v>10</v>
      </c>
    </row>
    <row r="6" customFormat="false" ht="15" hidden="false" customHeight="false" outlineLevel="0" collapsed="false">
      <c r="C6" s="0" t="n">
        <v>123.6</v>
      </c>
      <c r="D6" s="0" t="s">
        <v>6</v>
      </c>
    </row>
    <row r="7" customFormat="false" ht="15" hidden="false" customHeight="false" outlineLevel="0" collapsed="false">
      <c r="B7" s="0" t="s">
        <v>11</v>
      </c>
      <c r="C7" s="0" t="n">
        <v>122</v>
      </c>
      <c r="D7" s="0" t="s">
        <v>12</v>
      </c>
    </row>
    <row r="8" customFormat="false" ht="15" hidden="false" customHeight="false" outlineLevel="0" collapsed="false">
      <c r="C8" s="0" t="s">
        <v>6</v>
      </c>
    </row>
    <row r="9" customFormat="false" ht="15" hidden="false" customHeight="false" outlineLevel="0" collapsed="false">
      <c r="A9" s="4" t="s">
        <v>7</v>
      </c>
      <c r="B9" s="4" t="s">
        <v>8</v>
      </c>
      <c r="C9" s="4" t="s">
        <v>9</v>
      </c>
    </row>
    <row r="10" customFormat="false" ht="15" hidden="false" customHeight="false" outlineLevel="0" collapsed="false">
      <c r="A10" s="0" t="n">
        <v>16.5</v>
      </c>
      <c r="B10" s="0" t="n">
        <v>384</v>
      </c>
      <c r="C10" s="0" t="n">
        <v>55</v>
      </c>
      <c r="D10" s="0" t="s">
        <v>13</v>
      </c>
    </row>
    <row r="13" customFormat="false" ht="15" hidden="false" customHeight="false" outlineLevel="0" collapsed="false">
      <c r="A13" s="4" t="s">
        <v>14</v>
      </c>
    </row>
    <row r="14" customFormat="false" ht="15" hidden="false" customHeight="false" outlineLevel="0" collapsed="false">
      <c r="A14" s="4" t="s">
        <v>15</v>
      </c>
      <c r="B14" s="0" t="n">
        <v>121</v>
      </c>
      <c r="D14" s="0" t="s">
        <v>12</v>
      </c>
      <c r="E14" s="0" t="s">
        <v>12</v>
      </c>
    </row>
    <row r="15" customFormat="false" ht="15" hidden="false" customHeight="false" outlineLevel="0" collapsed="false">
      <c r="A15" s="4" t="s">
        <v>7</v>
      </c>
      <c r="B15" s="4" t="s">
        <v>8</v>
      </c>
      <c r="C15" s="4" t="s">
        <v>9</v>
      </c>
    </row>
    <row r="16" customFormat="false" ht="15" hidden="false" customHeight="false" outlineLevel="0" collapsed="false">
      <c r="A16" s="4"/>
      <c r="B16" s="4" t="n">
        <v>198</v>
      </c>
      <c r="C16" s="4" t="n">
        <v>121</v>
      </c>
    </row>
    <row r="17" customFormat="false" ht="15" hidden="false" customHeight="false" outlineLevel="0" collapsed="false">
      <c r="C17" s="0" t="s">
        <v>16</v>
      </c>
      <c r="D17" s="0" t="n">
        <v>3</v>
      </c>
    </row>
    <row r="18" customFormat="false" ht="15" hidden="false" customHeight="false" outlineLevel="0" collapsed="false">
      <c r="C18" s="0" t="s">
        <v>17</v>
      </c>
      <c r="D18" s="0" t="n">
        <v>30</v>
      </c>
    </row>
    <row r="19" customFormat="false" ht="15" hidden="false" customHeight="false" outlineLevel="0" collapsed="false">
      <c r="C19" s="0" t="s">
        <v>18</v>
      </c>
      <c r="D19" s="0" t="n">
        <v>30</v>
      </c>
    </row>
    <row r="20" customFormat="false" ht="15" hidden="false" customHeight="false" outlineLevel="0" collapsed="false">
      <c r="C20" s="0" t="s">
        <v>19</v>
      </c>
      <c r="D20" s="0" t="n">
        <v>30</v>
      </c>
    </row>
    <row r="21" customFormat="false" ht="15" hidden="false" customHeight="false" outlineLevel="0" collapsed="false">
      <c r="C21" s="0" t="s">
        <v>20</v>
      </c>
      <c r="D21" s="0" t="n">
        <v>30</v>
      </c>
    </row>
    <row r="23" customFormat="false" ht="15" hidden="false" customHeight="false" outlineLevel="0" collapsed="false">
      <c r="A23" s="4" t="s">
        <v>21</v>
      </c>
      <c r="C23" s="0" t="s">
        <v>22</v>
      </c>
      <c r="D23" s="0" t="s">
        <v>23</v>
      </c>
    </row>
    <row r="24" customFormat="false" ht="15" hidden="false" customHeight="false" outlineLevel="0" collapsed="false">
      <c r="A24" s="4" t="s">
        <v>7</v>
      </c>
      <c r="B24" s="4" t="s">
        <v>8</v>
      </c>
      <c r="C24" s="4" t="s">
        <v>9</v>
      </c>
    </row>
    <row r="25" customFormat="false" ht="15" hidden="false" customHeight="false" outlineLevel="0" collapsed="false">
      <c r="B25" s="0" t="n">
        <v>80</v>
      </c>
      <c r="C25" s="0" t="n">
        <v>22.5</v>
      </c>
    </row>
    <row r="26" customFormat="false" ht="15" hidden="false" customHeight="false" outlineLevel="0" collapsed="false">
      <c r="B26" s="0" t="s">
        <v>24</v>
      </c>
      <c r="C26" s="0" t="n">
        <v>71</v>
      </c>
    </row>
    <row r="27" customFormat="false" ht="15" hidden="false" customHeight="false" outlineLevel="0" collapsed="false">
      <c r="B27" s="0" t="s">
        <v>16</v>
      </c>
      <c r="C27" s="0" t="n">
        <v>4</v>
      </c>
      <c r="D27" s="0" t="s">
        <v>25</v>
      </c>
    </row>
    <row r="29" customFormat="false" ht="15" hidden="false" customHeight="false" outlineLevel="0" collapsed="false">
      <c r="A29" s="4" t="s">
        <v>26</v>
      </c>
    </row>
    <row r="30" customFormat="false" ht="15" hidden="false" customHeight="false" outlineLevel="0" collapsed="false">
      <c r="B30" s="0" t="s">
        <v>27</v>
      </c>
      <c r="C30" s="0" t="s">
        <v>28</v>
      </c>
    </row>
    <row r="32" customFormat="false" ht="15" hidden="false" customHeight="false" outlineLevel="0" collapsed="false">
      <c r="C32" s="0" t="s">
        <v>29</v>
      </c>
      <c r="D32" s="0" t="n">
        <v>90</v>
      </c>
      <c r="E32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K48" activeCellId="0" sqref="K4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57"/>
    <col collapsed="false" customWidth="true" hidden="false" outlineLevel="0" max="3" min="3" style="0" width="9.29"/>
    <col collapsed="false" customWidth="true" hidden="false" outlineLevel="0" max="4" min="4" style="0" width="13.15"/>
    <col collapsed="false" customWidth="true" hidden="false" outlineLevel="0" max="5" min="5" style="0" width="11.57"/>
    <col collapsed="false" customWidth="true" hidden="false" outlineLevel="0" max="6" min="6" style="0" width="19.14"/>
    <col collapsed="false" customWidth="true" hidden="false" outlineLevel="0" max="7" min="7" style="0" width="12"/>
    <col collapsed="false" customWidth="true" hidden="false" outlineLevel="0" max="8" min="8" style="0" width="11.85"/>
    <col collapsed="false" customWidth="true" hidden="false" outlineLevel="0" max="9" min="9" style="0" width="9.57"/>
    <col collapsed="false" customWidth="true" hidden="false" outlineLevel="0" max="10" min="10" style="0" width="9.42"/>
    <col collapsed="false" customWidth="true" hidden="false" outlineLevel="0" max="11" min="11" style="0" width="10.57"/>
  </cols>
  <sheetData>
    <row r="1" customFormat="false" ht="15.75" hidden="false" customHeight="false" outlineLevel="0" collapsed="false">
      <c r="D1" s="5" t="s">
        <v>31</v>
      </c>
    </row>
    <row r="2" customFormat="false" ht="15.75" hidden="false" customHeight="false" outlineLevel="0" collapsed="false">
      <c r="C2" s="6" t="s">
        <v>32</v>
      </c>
    </row>
    <row r="3" customFormat="false" ht="15.75" hidden="false" customHeight="false" outlineLevel="0" collapsed="false">
      <c r="A3" s="7" t="s">
        <v>33</v>
      </c>
      <c r="B3" s="8"/>
      <c r="C3" s="8"/>
      <c r="D3" s="8"/>
      <c r="E3" s="7" t="s">
        <v>34</v>
      </c>
      <c r="F3" s="7" t="s">
        <v>35</v>
      </c>
      <c r="G3" s="7" t="s">
        <v>36</v>
      </c>
      <c r="H3" s="7" t="s">
        <v>37</v>
      </c>
      <c r="I3" s="8"/>
      <c r="J3" s="8"/>
      <c r="K3" s="0" t="n">
        <f aca="false">33*36*5.5</f>
        <v>6534</v>
      </c>
    </row>
    <row r="4" customFormat="false" ht="15.75" hidden="false" customHeight="false" outlineLevel="0" collapsed="false">
      <c r="A4" s="8"/>
      <c r="B4" s="8"/>
      <c r="C4" s="8"/>
      <c r="D4" s="8"/>
      <c r="E4" s="7" t="s">
        <v>38</v>
      </c>
      <c r="F4" s="7" t="s">
        <v>38</v>
      </c>
      <c r="G4" s="7" t="s">
        <v>38</v>
      </c>
      <c r="H4" s="7" t="s">
        <v>38</v>
      </c>
      <c r="I4" s="8"/>
      <c r="J4" s="8"/>
    </row>
    <row r="5" customFormat="false" ht="15.75" hidden="false" customHeight="false" outlineLevel="0" collapsed="false">
      <c r="A5" s="9" t="s">
        <v>39</v>
      </c>
      <c r="B5" s="10"/>
      <c r="C5" s="9" t="s">
        <v>40</v>
      </c>
      <c r="D5" s="9" t="n">
        <v>2.81031696</v>
      </c>
      <c r="E5" s="9" t="n">
        <v>2.322576</v>
      </c>
      <c r="F5" s="9" t="n">
        <v>2.13306025</v>
      </c>
      <c r="G5" s="9" t="n">
        <v>1.88128656</v>
      </c>
      <c r="H5" s="10"/>
      <c r="I5" s="10"/>
      <c r="J5" s="10"/>
    </row>
    <row r="6" customFormat="false" ht="15.75" hidden="false" customHeight="false" outlineLevel="0" collapsed="false">
      <c r="A6" s="9" t="s">
        <v>41</v>
      </c>
      <c r="B6" s="10"/>
      <c r="C6" s="9" t="s">
        <v>40</v>
      </c>
      <c r="D6" s="9" t="n">
        <v>5.62063392</v>
      </c>
      <c r="E6" s="9" t="n">
        <v>4.645152</v>
      </c>
      <c r="F6" s="9" t="n">
        <v>4.2661205</v>
      </c>
      <c r="G6" s="9" t="n">
        <v>3.76257312</v>
      </c>
      <c r="H6" s="10"/>
      <c r="I6" s="10"/>
      <c r="J6" s="10"/>
    </row>
    <row r="7" customFormat="false" ht="15.75" hidden="false" customHeight="false" outlineLevel="0" collapsed="false">
      <c r="A7" s="9" t="s">
        <v>42</v>
      </c>
      <c r="B7" s="10"/>
      <c r="C7" s="10"/>
      <c r="D7" s="9" t="s">
        <v>40</v>
      </c>
      <c r="E7" s="9" t="n">
        <v>8.43095088</v>
      </c>
      <c r="F7" s="9" t="n">
        <v>6.967728</v>
      </c>
      <c r="G7" s="9" t="n">
        <v>6.39918075</v>
      </c>
      <c r="H7" s="9" t="n">
        <v>5.64385968</v>
      </c>
      <c r="I7" s="10"/>
      <c r="J7" s="10"/>
    </row>
    <row r="8" customFormat="false" ht="15.75" hidden="false" customHeight="false" outlineLevel="0" collapsed="false">
      <c r="A8" s="9" t="n">
        <v>4</v>
      </c>
      <c r="B8" s="9" t="s">
        <v>43</v>
      </c>
      <c r="C8" s="10"/>
      <c r="D8" s="10"/>
      <c r="E8" s="9" t="s">
        <v>40</v>
      </c>
      <c r="F8" s="9" t="n">
        <v>11.24126784</v>
      </c>
      <c r="G8" s="9" t="n">
        <v>9.290304</v>
      </c>
      <c r="H8" s="9" t="n">
        <v>8.532241</v>
      </c>
      <c r="I8" s="9" t="n">
        <v>7.52514624</v>
      </c>
      <c r="J8" s="10"/>
    </row>
    <row r="9" customFormat="false" ht="15.75" hidden="false" customHeight="false" outlineLevel="0" collapsed="false">
      <c r="A9" s="9" t="n">
        <v>5</v>
      </c>
      <c r="B9" s="9" t="s">
        <v>43</v>
      </c>
      <c r="C9" s="10"/>
      <c r="D9" s="10"/>
      <c r="E9" s="9" t="s">
        <v>40</v>
      </c>
      <c r="F9" s="9" t="n">
        <v>14.051588</v>
      </c>
      <c r="G9" s="9" t="n">
        <v>11.61288</v>
      </c>
      <c r="H9" s="9" t="n">
        <v>10.66530125</v>
      </c>
      <c r="I9" s="9" t="n">
        <v>9.4064328</v>
      </c>
      <c r="J9" s="10"/>
    </row>
    <row r="10" customFormat="false" ht="15.75" hidden="false" customHeight="false" outlineLevel="0" collapsed="false">
      <c r="A10" s="9" t="n">
        <v>6</v>
      </c>
      <c r="B10" s="9" t="s">
        <v>43</v>
      </c>
      <c r="C10" s="10"/>
      <c r="D10" s="10"/>
      <c r="E10" s="9" t="s">
        <v>40</v>
      </c>
      <c r="F10" s="9" t="n">
        <v>16.86190176</v>
      </c>
      <c r="G10" s="9" t="n">
        <v>13.935456</v>
      </c>
      <c r="H10" s="9" t="n">
        <v>12.7983625</v>
      </c>
      <c r="I10" s="9" t="n">
        <v>11.28771936</v>
      </c>
      <c r="J10" s="10"/>
    </row>
    <row r="11" customFormat="false" ht="15.75" hidden="false" customHeight="false" outlineLevel="0" collapsed="false">
      <c r="A11" s="9" t="n">
        <v>7</v>
      </c>
      <c r="B11" s="9" t="s">
        <v>43</v>
      </c>
      <c r="C11" s="10"/>
      <c r="D11" s="10"/>
      <c r="E11" s="9" t="s">
        <v>40</v>
      </c>
      <c r="F11" s="9" t="n">
        <v>19.67221872</v>
      </c>
      <c r="G11" s="9" t="n">
        <v>16.258032</v>
      </c>
      <c r="H11" s="9" t="n">
        <v>14.93142175</v>
      </c>
      <c r="I11" s="9" t="n">
        <v>13.16900592</v>
      </c>
      <c r="J11" s="10"/>
    </row>
    <row r="12" customFormat="false" ht="15.75" hidden="false" customHeight="false" outlineLevel="0" collapsed="false">
      <c r="A12" s="9" t="n">
        <v>8</v>
      </c>
      <c r="B12" s="9" t="s">
        <v>43</v>
      </c>
      <c r="C12" s="10"/>
      <c r="D12" s="10"/>
      <c r="E12" s="9" t="s">
        <v>40</v>
      </c>
      <c r="F12" s="9" t="n">
        <v>22.48253568</v>
      </c>
      <c r="G12" s="9" t="n">
        <v>18.580608</v>
      </c>
      <c r="H12" s="9" t="n">
        <v>17.064482</v>
      </c>
      <c r="I12" s="9" t="n">
        <v>15.05029248</v>
      </c>
      <c r="J12" s="10"/>
    </row>
    <row r="13" customFormat="false" ht="15.75" hidden="false" customHeight="false" outlineLevel="0" collapsed="false">
      <c r="A13" s="9" t="s">
        <v>44</v>
      </c>
      <c r="B13" s="10"/>
      <c r="C13" s="9" t="s">
        <v>40</v>
      </c>
      <c r="D13" s="11" t="n">
        <v>25.29285264</v>
      </c>
      <c r="E13" s="11" t="n">
        <v>20.903184</v>
      </c>
      <c r="F13" s="11" t="n">
        <v>19.19754225</v>
      </c>
      <c r="G13" s="9" t="n">
        <v>16.93157904</v>
      </c>
      <c r="H13" s="10"/>
      <c r="I13" s="10"/>
      <c r="J13" s="10"/>
    </row>
    <row r="14" customFormat="false" ht="15.75" hidden="false" customHeight="false" outlineLevel="0" collapsed="false">
      <c r="A14" s="9" t="n">
        <v>2</v>
      </c>
      <c r="B14" s="9" t="s">
        <v>43</v>
      </c>
      <c r="C14" s="10"/>
      <c r="D14" s="10"/>
      <c r="E14" s="9" t="s">
        <v>40</v>
      </c>
      <c r="F14" s="9" t="n">
        <v>50.58570528</v>
      </c>
      <c r="G14" s="9" t="n">
        <v>41.806368</v>
      </c>
      <c r="H14" s="9" t="n">
        <v>38.3950845</v>
      </c>
      <c r="I14" s="9" t="n">
        <v>33.86315808</v>
      </c>
      <c r="J14" s="10"/>
    </row>
    <row r="15" customFormat="false" ht="15.75" hidden="false" customHeight="false" outlineLevel="0" collapsed="false">
      <c r="A15" s="9" t="n">
        <v>3</v>
      </c>
      <c r="B15" s="9" t="s">
        <v>43</v>
      </c>
      <c r="C15" s="10"/>
      <c r="D15" s="10"/>
      <c r="E15" s="9" t="s">
        <v>40</v>
      </c>
      <c r="F15" s="9" t="n">
        <v>75.87855792</v>
      </c>
      <c r="G15" s="9" t="n">
        <v>62.709552</v>
      </c>
      <c r="H15" s="9" t="n">
        <v>57.59262675</v>
      </c>
      <c r="I15" s="9" t="n">
        <v>50.79473712</v>
      </c>
      <c r="J15" s="10"/>
    </row>
    <row r="16" customFormat="false" ht="15.75" hidden="false" customHeight="false" outlineLevel="0" collapsed="false">
      <c r="A16" s="9" t="n">
        <v>4</v>
      </c>
      <c r="B16" s="9" t="s">
        <v>43</v>
      </c>
      <c r="C16" s="10"/>
      <c r="D16" s="10"/>
      <c r="E16" s="9" t="s">
        <v>40</v>
      </c>
      <c r="F16" s="9" t="n">
        <v>101.17141056</v>
      </c>
      <c r="G16" s="9" t="n">
        <v>83.612736</v>
      </c>
      <c r="H16" s="9" t="n">
        <v>76.790169</v>
      </c>
      <c r="I16" s="9" t="n">
        <v>67.72631616</v>
      </c>
      <c r="J16" s="10"/>
    </row>
    <row r="17" customFormat="false" ht="15.75" hidden="false" customHeight="false" outlineLevel="0" collapsed="false">
      <c r="A17" s="9" t="n">
        <v>5</v>
      </c>
      <c r="B17" s="9" t="s">
        <v>43</v>
      </c>
      <c r="C17" s="10"/>
      <c r="D17" s="10"/>
      <c r="E17" s="9" t="s">
        <v>40</v>
      </c>
      <c r="F17" s="9" t="n">
        <v>126.4642632</v>
      </c>
      <c r="G17" s="9" t="n">
        <v>104.51592</v>
      </c>
      <c r="H17" s="9" t="n">
        <v>95.98771125</v>
      </c>
      <c r="I17" s="9" t="n">
        <v>84.6578952</v>
      </c>
      <c r="J17" s="10"/>
    </row>
    <row r="18" customFormat="false" ht="15.75" hidden="false" customHeight="false" outlineLevel="0" collapsed="false">
      <c r="A18" s="9" t="n">
        <v>6</v>
      </c>
      <c r="B18" s="9" t="s">
        <v>43</v>
      </c>
      <c r="C18" s="10"/>
      <c r="D18" s="10"/>
      <c r="E18" s="9" t="s">
        <v>40</v>
      </c>
      <c r="F18" s="9" t="n">
        <v>151.75711584</v>
      </c>
      <c r="G18" s="9" t="n">
        <v>125.419104</v>
      </c>
      <c r="H18" s="9" t="n">
        <v>115.1852535</v>
      </c>
      <c r="I18" s="9" t="n">
        <v>101.58947424</v>
      </c>
      <c r="J18" s="10"/>
    </row>
    <row r="19" customFormat="false" ht="15.75" hidden="false" customHeight="false" outlineLevel="0" collapsed="false">
      <c r="A19" s="9" t="n">
        <v>7</v>
      </c>
      <c r="B19" s="9" t="s">
        <v>43</v>
      </c>
      <c r="C19" s="10"/>
      <c r="D19" s="10"/>
      <c r="E19" s="9" t="s">
        <v>40</v>
      </c>
      <c r="F19" s="9" t="n">
        <v>177.04996848</v>
      </c>
      <c r="G19" s="9" t="n">
        <v>146.322288</v>
      </c>
      <c r="H19" s="9" t="n">
        <v>134.38279575</v>
      </c>
      <c r="I19" s="9" t="n">
        <v>118.52105318</v>
      </c>
      <c r="J19" s="10"/>
    </row>
    <row r="20" customFormat="false" ht="15.75" hidden="false" customHeight="false" outlineLevel="0" collapsed="false">
      <c r="A20" s="9" t="n">
        <v>8</v>
      </c>
      <c r="B20" s="9" t="s">
        <v>43</v>
      </c>
      <c r="C20" s="10"/>
      <c r="D20" s="10"/>
      <c r="E20" s="9" t="s">
        <v>40</v>
      </c>
      <c r="F20" s="9" t="n">
        <v>202.34282112</v>
      </c>
      <c r="G20" s="9" t="n">
        <v>167.225472</v>
      </c>
      <c r="H20" s="9" t="n">
        <v>153.580338</v>
      </c>
      <c r="I20" s="9" t="n">
        <v>135.45263232</v>
      </c>
      <c r="J20" s="10"/>
    </row>
    <row r="21" customFormat="false" ht="15.75" hidden="false" customHeight="false" outlineLevel="0" collapsed="false">
      <c r="A21" s="9" t="n">
        <v>9</v>
      </c>
      <c r="B21" s="9" t="s">
        <v>43</v>
      </c>
      <c r="C21" s="10"/>
      <c r="D21" s="10"/>
      <c r="E21" s="9" t="s">
        <v>45</v>
      </c>
      <c r="F21" s="9" t="n">
        <v>188.128656</v>
      </c>
      <c r="G21" s="9" t="n">
        <v>172.77788025</v>
      </c>
      <c r="H21" s="9" t="n">
        <v>152.38321136</v>
      </c>
      <c r="I21" s="10"/>
      <c r="J21" s="10"/>
    </row>
    <row r="22" customFormat="false" ht="15.75" hidden="false" customHeight="false" outlineLevel="0" collapsed="false">
      <c r="A22" s="9" t="n">
        <v>10</v>
      </c>
      <c r="B22" s="9" t="s">
        <v>43</v>
      </c>
      <c r="C22" s="10"/>
      <c r="D22" s="10"/>
      <c r="E22" s="9" t="s">
        <v>40</v>
      </c>
      <c r="F22" s="9" t="n">
        <v>252.9285264</v>
      </c>
      <c r="G22" s="9" t="n">
        <v>209.03184</v>
      </c>
      <c r="H22" s="9" t="n">
        <v>191.9754225</v>
      </c>
      <c r="I22" s="9" t="n">
        <v>169.3157904</v>
      </c>
      <c r="J22" s="10"/>
    </row>
    <row r="23" customFormat="false" ht="15.75" hidden="false" customHeight="false" outlineLevel="0" collapsed="false">
      <c r="A23" s="9" t="n">
        <v>11</v>
      </c>
      <c r="B23" s="9" t="s">
        <v>43</v>
      </c>
      <c r="C23" s="10"/>
      <c r="D23" s="10"/>
      <c r="E23" s="9" t="s">
        <v>40</v>
      </c>
      <c r="F23" s="9" t="n">
        <v>278.22137904</v>
      </c>
      <c r="G23" s="9" t="n">
        <v>229.935024</v>
      </c>
      <c r="H23" s="9" t="n">
        <v>211.17296475</v>
      </c>
      <c r="I23" s="9" t="n">
        <v>186.24736944</v>
      </c>
      <c r="J23" s="10"/>
    </row>
    <row r="24" customFormat="false" ht="15.75" hidden="false" customHeight="false" outlineLevel="0" collapsed="false">
      <c r="A24" s="9" t="n">
        <v>12</v>
      </c>
      <c r="B24" s="9" t="s">
        <v>43</v>
      </c>
      <c r="C24" s="10"/>
      <c r="D24" s="10"/>
      <c r="E24" s="9" t="s">
        <v>40</v>
      </c>
      <c r="F24" s="9" t="n">
        <v>303.51423168</v>
      </c>
      <c r="G24" s="9" t="n">
        <v>250.838208</v>
      </c>
      <c r="H24" s="9" t="n">
        <v>230.370507</v>
      </c>
      <c r="I24" s="9" t="n">
        <v>203.17894848</v>
      </c>
      <c r="J24" s="10"/>
    </row>
    <row r="25" customFormat="false" ht="15.75" hidden="false" customHeight="false" outlineLevel="0" collapsed="false">
      <c r="A25" s="9" t="n">
        <v>13</v>
      </c>
      <c r="B25" s="9" t="s">
        <v>43</v>
      </c>
      <c r="C25" s="10"/>
      <c r="D25" s="10"/>
      <c r="E25" s="9" t="s">
        <v>40</v>
      </c>
      <c r="F25" s="9" t="n">
        <v>328.80708432</v>
      </c>
      <c r="G25" s="9" t="n">
        <v>271.741392</v>
      </c>
      <c r="H25" s="9" t="n">
        <v>249.56804925</v>
      </c>
      <c r="I25" s="9" t="n">
        <v>220.11052752</v>
      </c>
      <c r="J25" s="10"/>
    </row>
    <row r="26" customFormat="false" ht="15.75" hidden="false" customHeight="false" outlineLevel="0" collapsed="false">
      <c r="A26" s="9" t="n">
        <v>14</v>
      </c>
      <c r="B26" s="9" t="s">
        <v>43</v>
      </c>
      <c r="C26" s="10"/>
      <c r="D26" s="10"/>
      <c r="E26" s="9" t="s">
        <v>40</v>
      </c>
      <c r="F26" s="9" t="n">
        <v>354.09993696</v>
      </c>
      <c r="G26" s="9" t="n">
        <v>292.644576</v>
      </c>
      <c r="H26" s="9" t="n">
        <v>268.7655915</v>
      </c>
      <c r="I26" s="9" t="n">
        <v>237.04210656</v>
      </c>
      <c r="J26" s="10"/>
    </row>
    <row r="27" customFormat="false" ht="15.75" hidden="false" customHeight="false" outlineLevel="0" collapsed="false">
      <c r="A27" s="9" t="n">
        <v>15</v>
      </c>
      <c r="B27" s="9" t="s">
        <v>43</v>
      </c>
      <c r="C27" s="10"/>
      <c r="D27" s="10"/>
      <c r="E27" s="9" t="s">
        <v>40</v>
      </c>
      <c r="F27" s="9" t="n">
        <v>379.3927896</v>
      </c>
      <c r="G27" s="9" t="n">
        <v>313.54776</v>
      </c>
      <c r="H27" s="9" t="n">
        <v>287.96313375</v>
      </c>
      <c r="I27" s="9" t="n">
        <v>253.9736856</v>
      </c>
      <c r="J27" s="10"/>
    </row>
    <row r="28" customFormat="false" ht="15.75" hidden="false" customHeight="false" outlineLevel="0" collapsed="false">
      <c r="A28" s="9" t="n">
        <v>16</v>
      </c>
      <c r="B28" s="9" t="s">
        <v>43</v>
      </c>
      <c r="C28" s="10"/>
      <c r="D28" s="10"/>
      <c r="E28" s="9" t="s">
        <v>40</v>
      </c>
      <c r="F28" s="9" t="n">
        <v>404.68564224</v>
      </c>
      <c r="G28" s="9" t="n">
        <v>334.450944</v>
      </c>
      <c r="H28" s="9" t="n">
        <v>307.35821825</v>
      </c>
      <c r="I28" s="9" t="n">
        <v>287.83684368</v>
      </c>
      <c r="J28" s="10"/>
    </row>
    <row r="29" customFormat="false" ht="15.75" hidden="false" customHeight="false" outlineLevel="0" collapsed="false">
      <c r="A29" s="9" t="n">
        <v>17</v>
      </c>
      <c r="B29" s="9" t="s">
        <v>46</v>
      </c>
      <c r="C29" s="10"/>
      <c r="D29" s="9" t="s">
        <v>40</v>
      </c>
      <c r="E29" s="9" t="n">
        <v>429.97849488</v>
      </c>
      <c r="F29" s="9" t="n">
        <v>355.354128</v>
      </c>
      <c r="G29" s="9" t="n">
        <v>326.35821825</v>
      </c>
      <c r="H29" s="9" t="n">
        <v>287.83684368</v>
      </c>
      <c r="I29" s="10"/>
      <c r="J29" s="10"/>
    </row>
    <row r="30" customFormat="false" ht="15.75" hidden="false" customHeight="false" outlineLevel="0" collapsed="false">
      <c r="A30" s="9" t="n">
        <v>18</v>
      </c>
      <c r="B30" s="9" t="s">
        <v>43</v>
      </c>
      <c r="C30" s="10"/>
      <c r="D30" s="10"/>
      <c r="E30" s="9" t="s">
        <v>40</v>
      </c>
      <c r="F30" s="9" t="n">
        <v>455.27134752</v>
      </c>
      <c r="G30" s="9" t="n">
        <v>376.257312</v>
      </c>
      <c r="H30" s="9" t="n">
        <v>345.5557605</v>
      </c>
      <c r="I30" s="9" t="n">
        <v>304.76842272</v>
      </c>
      <c r="J30" s="10"/>
    </row>
    <row r="31" customFormat="false" ht="15.75" hidden="false" customHeight="false" outlineLevel="0" collapsed="false">
      <c r="A31" s="9" t="n">
        <v>19</v>
      </c>
      <c r="B31" s="9" t="s">
        <v>43</v>
      </c>
      <c r="C31" s="10"/>
      <c r="D31" s="10"/>
      <c r="E31" s="9" t="s">
        <v>40</v>
      </c>
      <c r="F31" s="9" t="n">
        <v>480.56420016</v>
      </c>
      <c r="G31" s="9" t="n">
        <v>397.160496</v>
      </c>
      <c r="H31" s="9" t="n">
        <v>364.75330275</v>
      </c>
      <c r="I31" s="9" t="n">
        <v>321.70000176</v>
      </c>
      <c r="J31" s="10"/>
    </row>
    <row r="32" customFormat="false" ht="15.75" hidden="false" customHeight="false" outlineLevel="0" collapsed="false">
      <c r="A32" s="9" t="s">
        <v>47</v>
      </c>
      <c r="B32" s="10"/>
      <c r="C32" s="9" t="s">
        <v>40</v>
      </c>
      <c r="D32" s="11" t="n">
        <v>505.8570528</v>
      </c>
      <c r="E32" s="9" t="n">
        <v>418.06368</v>
      </c>
      <c r="F32" s="11" t="n">
        <v>383.950845</v>
      </c>
      <c r="G32" s="9" t="n">
        <v>338.6315808</v>
      </c>
      <c r="H32" s="10"/>
      <c r="I32" s="10"/>
      <c r="J32" s="10"/>
      <c r="K32" s="0" t="n">
        <f aca="false">D13*20</f>
        <v>505.8570528</v>
      </c>
    </row>
    <row r="33" customFormat="false" ht="15.75" hidden="false" customHeight="false" outlineLevel="0" collapsed="false">
      <c r="A33" s="9" t="s">
        <v>48</v>
      </c>
      <c r="B33" s="10"/>
      <c r="C33" s="9" t="s">
        <v>40</v>
      </c>
      <c r="D33" s="9" t="n">
        <v>1011.7141056</v>
      </c>
      <c r="E33" s="9" t="n">
        <v>836.12736</v>
      </c>
      <c r="F33" s="9" t="n">
        <v>767.90169</v>
      </c>
      <c r="G33" s="9" t="n">
        <v>677.2631616</v>
      </c>
      <c r="H33" s="10"/>
      <c r="I33" s="10"/>
      <c r="J33" s="10"/>
    </row>
    <row r="34" customFormat="false" ht="15.75" hidden="false" customHeight="false" outlineLevel="0" collapsed="false">
      <c r="A34" s="9" t="n">
        <v>3</v>
      </c>
      <c r="B34" s="9" t="s">
        <v>43</v>
      </c>
      <c r="C34" s="10"/>
      <c r="D34" s="10"/>
      <c r="E34" s="9" t="s">
        <v>40</v>
      </c>
      <c r="F34" s="9" t="n">
        <v>1517.5711584</v>
      </c>
      <c r="G34" s="9" t="n">
        <v>1254.19104</v>
      </c>
      <c r="H34" s="9" t="s">
        <v>49</v>
      </c>
      <c r="I34" s="10"/>
      <c r="J34" s="10"/>
    </row>
    <row r="35" customFormat="false" ht="15.75" hidden="false" customHeight="false" outlineLevel="0" collapsed="false">
      <c r="A35" s="9" t="n">
        <v>4</v>
      </c>
      <c r="B35" s="9" t="s">
        <v>43</v>
      </c>
      <c r="C35" s="10"/>
      <c r="D35" s="10"/>
      <c r="E35" s="9" t="s">
        <v>40</v>
      </c>
      <c r="F35" s="9" t="n">
        <v>2023.4282112</v>
      </c>
      <c r="G35" s="9" t="n">
        <v>1672.25472</v>
      </c>
      <c r="H35" s="9" t="s">
        <v>50</v>
      </c>
      <c r="I35" s="10"/>
      <c r="J35" s="10"/>
    </row>
    <row r="36" customFormat="false" ht="15.75" hidden="false" customHeight="false" outlineLevel="0" collapsed="false">
      <c r="A36" s="9" t="n">
        <v>5</v>
      </c>
      <c r="B36" s="9" t="s">
        <v>43</v>
      </c>
      <c r="C36" s="10"/>
      <c r="D36" s="10"/>
      <c r="E36" s="9" t="s">
        <v>40</v>
      </c>
      <c r="F36" s="9" t="n">
        <v>2529.285264</v>
      </c>
      <c r="G36" s="9" t="n">
        <v>2090.3184</v>
      </c>
      <c r="H36" s="9" t="s">
        <v>51</v>
      </c>
      <c r="I36" s="10"/>
      <c r="J36" s="10"/>
    </row>
    <row r="37" customFormat="false" ht="15.75" hidden="false" customHeight="false" outlineLevel="0" collapsed="false">
      <c r="A37" s="9" t="n">
        <v>6</v>
      </c>
      <c r="B37" s="9" t="s">
        <v>43</v>
      </c>
      <c r="C37" s="10"/>
      <c r="D37" s="10"/>
      <c r="E37" s="9" t="s">
        <v>40</v>
      </c>
      <c r="F37" s="9" t="n">
        <v>30351423168</v>
      </c>
      <c r="G37" s="9" t="n">
        <v>2508.38208</v>
      </c>
      <c r="H37" s="9" t="s">
        <v>52</v>
      </c>
      <c r="I37" s="10"/>
      <c r="J37" s="10"/>
    </row>
    <row r="38" customFormat="false" ht="15.75" hidden="false" customHeight="false" outlineLevel="0" collapsed="false">
      <c r="A38" s="9" t="n">
        <v>7</v>
      </c>
      <c r="B38" s="9" t="s">
        <v>43</v>
      </c>
      <c r="C38" s="10"/>
      <c r="D38" s="10"/>
      <c r="E38" s="9" t="s">
        <v>40</v>
      </c>
      <c r="F38" s="9" t="n">
        <v>3540.9993696</v>
      </c>
      <c r="G38" s="9" t="n">
        <v>2926.44576</v>
      </c>
      <c r="H38" s="9" t="s">
        <v>53</v>
      </c>
      <c r="I38" s="10"/>
      <c r="J38" s="10"/>
    </row>
    <row r="39" customFormat="false" ht="15.75" hidden="false" customHeight="false" outlineLevel="0" collapsed="false">
      <c r="A39" s="9" t="s">
        <v>54</v>
      </c>
      <c r="B39" s="10"/>
      <c r="C39" s="9" t="s">
        <v>40</v>
      </c>
      <c r="D39" s="11" t="n">
        <v>4046.8564224</v>
      </c>
      <c r="E39" s="9" t="n">
        <v>3344.50944</v>
      </c>
      <c r="F39" s="12" t="n">
        <f aca="false">F32*8</f>
        <v>3071.60676</v>
      </c>
      <c r="G39" s="9" t="n">
        <v>2709.0526464</v>
      </c>
      <c r="H39" s="10"/>
      <c r="I39" s="10"/>
      <c r="J39" s="10"/>
      <c r="K39" s="13" t="n">
        <f aca="false">D32*8</f>
        <v>4046.8564224</v>
      </c>
    </row>
    <row r="40" customFormat="false" ht="15.75" hidden="false" customHeight="false" outlineLevel="0" collapsed="false">
      <c r="A40" s="9" t="s">
        <v>55</v>
      </c>
      <c r="B40" s="10"/>
      <c r="C40" s="9" t="s">
        <v>40</v>
      </c>
      <c r="D40" s="9" t="n">
        <v>8093.7128448</v>
      </c>
      <c r="E40" s="9" t="n">
        <v>6689.01888</v>
      </c>
      <c r="F40" s="9" t="s">
        <v>56</v>
      </c>
      <c r="G40" s="10"/>
      <c r="H40" s="10"/>
      <c r="I40" s="10"/>
      <c r="J40" s="10"/>
    </row>
    <row r="41" customFormat="false" ht="15.75" hidden="false" customHeight="false" outlineLevel="0" collapsed="false">
      <c r="A41" s="9" t="n">
        <v>3</v>
      </c>
      <c r="B41" s="9" t="s">
        <v>43</v>
      </c>
      <c r="C41" s="10"/>
      <c r="D41" s="10"/>
      <c r="E41" s="9" t="s">
        <v>57</v>
      </c>
      <c r="F41" s="9" t="n">
        <v>10033.52832</v>
      </c>
      <c r="G41" s="9" t="s">
        <v>58</v>
      </c>
      <c r="H41" s="10"/>
      <c r="I41" s="10"/>
      <c r="J41" s="10"/>
    </row>
    <row r="42" customFormat="false" ht="15.75" hidden="false" customHeight="false" outlineLevel="0" collapsed="false">
      <c r="A42" s="9" t="n">
        <v>4</v>
      </c>
      <c r="B42" s="9" t="s">
        <v>43</v>
      </c>
      <c r="C42" s="10"/>
      <c r="D42" s="10"/>
      <c r="E42" s="9" t="s">
        <v>59</v>
      </c>
      <c r="F42" s="9" t="n">
        <v>13378.03776</v>
      </c>
      <c r="G42" s="9" t="s">
        <v>60</v>
      </c>
      <c r="H42" s="10"/>
      <c r="I42" s="10"/>
      <c r="J42" s="10"/>
    </row>
    <row r="43" customFormat="false" ht="15.75" hidden="false" customHeight="false" outlineLevel="0" collapsed="false">
      <c r="A43" s="9" t="n">
        <v>5</v>
      </c>
      <c r="B43" s="9" t="s">
        <v>43</v>
      </c>
      <c r="C43" s="10"/>
      <c r="D43" s="10"/>
      <c r="E43" s="9" t="s">
        <v>61</v>
      </c>
      <c r="F43" s="9" t="n">
        <v>16722.5472</v>
      </c>
      <c r="G43" s="9" t="n">
        <v>15358.0338</v>
      </c>
      <c r="H43" s="9" t="n">
        <v>13545.263232</v>
      </c>
      <c r="I43" s="10"/>
      <c r="J43" s="10"/>
    </row>
    <row r="44" customFormat="false" ht="15.75" hidden="false" customHeight="false" outlineLevel="0" collapsed="false">
      <c r="A44" s="9" t="n">
        <v>6</v>
      </c>
      <c r="B44" s="9" t="s">
        <v>43</v>
      </c>
      <c r="C44" s="10"/>
      <c r="D44" s="10"/>
      <c r="E44" s="9" t="s">
        <v>62</v>
      </c>
      <c r="F44" s="9" t="n">
        <v>20067.05664</v>
      </c>
      <c r="G44" s="9" t="n">
        <v>18429.64056</v>
      </c>
      <c r="H44" s="9" t="n">
        <v>16254.3158784</v>
      </c>
      <c r="I44" s="10"/>
      <c r="J44" s="10"/>
    </row>
    <row r="45" customFormat="false" ht="15.75" hidden="false" customHeight="false" outlineLevel="0" collapsed="false">
      <c r="A45" s="9" t="n">
        <v>7</v>
      </c>
      <c r="B45" s="9" t="s">
        <v>43</v>
      </c>
      <c r="C45" s="10"/>
      <c r="D45" s="10"/>
      <c r="E45" s="9" t="s">
        <v>63</v>
      </c>
      <c r="F45" s="9" t="n">
        <v>23411.56608</v>
      </c>
      <c r="G45" s="9" t="n">
        <v>21501.24732</v>
      </c>
      <c r="H45" s="9" t="n">
        <v>18963.3685248</v>
      </c>
      <c r="I45" s="10"/>
      <c r="J45" s="10"/>
    </row>
    <row r="46" customFormat="false" ht="15.75" hidden="false" customHeight="false" outlineLevel="0" collapsed="false">
      <c r="A46" s="9" t="n">
        <v>8</v>
      </c>
      <c r="B46" s="9" t="s">
        <v>43</v>
      </c>
      <c r="C46" s="10"/>
      <c r="D46" s="10"/>
      <c r="E46" s="9" t="s">
        <v>64</v>
      </c>
      <c r="F46" s="9" t="n">
        <v>26756.07552</v>
      </c>
      <c r="G46" s="9" t="n">
        <v>24572.85408</v>
      </c>
      <c r="H46" s="9" t="n">
        <v>21672.4211712</v>
      </c>
      <c r="I46" s="10"/>
      <c r="J46" s="10"/>
    </row>
    <row r="47" customFormat="false" ht="15.75" hidden="false" customHeight="false" outlineLevel="0" collapsed="false">
      <c r="A47" s="9" t="n">
        <v>9</v>
      </c>
      <c r="B47" s="9" t="s">
        <v>43</v>
      </c>
      <c r="C47" s="10"/>
      <c r="D47" s="10"/>
      <c r="E47" s="9" t="s">
        <v>65</v>
      </c>
      <c r="F47" s="9" t="n">
        <v>30100.58496</v>
      </c>
      <c r="G47" s="9" t="n">
        <v>27644.46084</v>
      </c>
      <c r="H47" s="9" t="n">
        <v>24381.4738176</v>
      </c>
      <c r="I47" s="10"/>
      <c r="J47" s="10"/>
    </row>
    <row r="48" customFormat="false" ht="15.75" hidden="false" customHeight="false" outlineLevel="0" collapsed="false">
      <c r="A48" s="9" t="n">
        <v>10</v>
      </c>
      <c r="B48" s="9" t="s">
        <v>43</v>
      </c>
      <c r="C48" s="10"/>
      <c r="D48" s="10"/>
      <c r="E48" s="9" t="s">
        <v>66</v>
      </c>
      <c r="F48" s="9" t="n">
        <v>33445.0944</v>
      </c>
      <c r="G48" s="9" t="n">
        <v>30716.0676</v>
      </c>
      <c r="H48" s="9" t="n">
        <v>27090.526464</v>
      </c>
      <c r="I48" s="10"/>
      <c r="J48" s="10"/>
    </row>
    <row r="49" customFormat="false" ht="15.75" hidden="false" customHeight="false" outlineLevel="0" collapsed="false">
      <c r="A49" s="9" t="s">
        <v>67</v>
      </c>
      <c r="B49" s="10"/>
      <c r="C49" s="10"/>
      <c r="D49" s="10"/>
      <c r="E49" s="10"/>
      <c r="F49" s="10"/>
      <c r="G49" s="10"/>
      <c r="H49" s="10"/>
      <c r="I49" s="10"/>
      <c r="J49" s="10"/>
    </row>
    <row r="50" customFormat="false" ht="15.75" hidden="false" customHeight="false" outlineLevel="0" collapsed="false">
      <c r="A50" s="14" t="s">
        <v>68</v>
      </c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5.75" hidden="false" customHeight="false" outlineLevel="0" collapsed="false">
      <c r="A51" s="9" t="s">
        <v>69</v>
      </c>
      <c r="B51" s="10"/>
      <c r="C51" s="10"/>
      <c r="D51" s="9" t="s">
        <v>70</v>
      </c>
      <c r="E51" s="10"/>
      <c r="F51" s="9" t="s">
        <v>71</v>
      </c>
      <c r="G51" s="9" t="s">
        <v>72</v>
      </c>
      <c r="H51" s="10"/>
      <c r="I51" s="10"/>
      <c r="J51" s="10"/>
    </row>
    <row r="52" customFormat="false" ht="15.75" hidden="false" customHeight="false" outlineLevel="0" collapsed="false">
      <c r="A52" s="10"/>
      <c r="B52" s="10"/>
      <c r="C52" s="10"/>
      <c r="D52" s="9" t="s">
        <v>73</v>
      </c>
      <c r="E52" s="10"/>
      <c r="F52" s="9" t="s">
        <v>73</v>
      </c>
      <c r="G52" s="9" t="s">
        <v>74</v>
      </c>
      <c r="H52" s="10"/>
      <c r="I52" s="10"/>
      <c r="J52" s="10"/>
    </row>
    <row r="53" customFormat="false" ht="15.75" hidden="false" customHeight="false" outlineLevel="0" collapsed="false">
      <c r="A53" s="9" t="n">
        <v>6</v>
      </c>
      <c r="B53" s="10"/>
      <c r="C53" s="10"/>
      <c r="D53" s="9" t="n">
        <v>7</v>
      </c>
      <c r="E53" s="10"/>
      <c r="F53" s="10"/>
      <c r="G53" s="9" t="n">
        <v>8</v>
      </c>
      <c r="H53" s="10"/>
      <c r="I53" s="9" t="s">
        <v>75</v>
      </c>
      <c r="J53" s="9" t="n">
        <v>9</v>
      </c>
    </row>
    <row r="54" customFormat="false" ht="15.75" hidden="false" customHeight="false" outlineLevel="0" collapsed="false">
      <c r="A54" s="9" t="n">
        <v>1</v>
      </c>
      <c r="B54" s="9" t="s">
        <v>76</v>
      </c>
      <c r="C54" s="9" t="n">
        <v>6.32321316</v>
      </c>
      <c r="D54" s="10"/>
      <c r="E54" s="9" t="n">
        <v>2.322576</v>
      </c>
      <c r="F54" s="9" t="n">
        <v>2.1076878</v>
      </c>
      <c r="G54" s="10"/>
      <c r="H54" s="10"/>
      <c r="I54" s="10"/>
      <c r="J54" s="10"/>
    </row>
    <row r="55" customFormat="false" ht="15.75" hidden="false" customHeight="false" outlineLevel="0" collapsed="false">
      <c r="A55" s="9" t="n">
        <v>2</v>
      </c>
      <c r="B55" s="9" t="s">
        <v>77</v>
      </c>
      <c r="C55" s="9" t="n">
        <v>12.64642632</v>
      </c>
      <c r="D55" s="10"/>
      <c r="E55" s="9" t="n">
        <v>4.645152</v>
      </c>
      <c r="F55" s="9" t="n">
        <v>4.2153756</v>
      </c>
      <c r="G55" s="10"/>
      <c r="H55" s="10"/>
      <c r="I55" s="10"/>
      <c r="J55" s="10"/>
    </row>
    <row r="56" customFormat="false" ht="15.75" hidden="false" customHeight="false" outlineLevel="0" collapsed="false">
      <c r="A56" s="9" t="n">
        <v>3</v>
      </c>
      <c r="B56" s="9" t="s">
        <v>78</v>
      </c>
      <c r="C56" s="10"/>
      <c r="D56" s="9" t="n">
        <v>18.96963948</v>
      </c>
      <c r="E56" s="10"/>
      <c r="F56" s="9" t="n">
        <v>6.967728</v>
      </c>
      <c r="G56" s="9" t="n">
        <v>6.3230634</v>
      </c>
      <c r="H56" s="10"/>
      <c r="I56" s="10"/>
      <c r="J56" s="10"/>
    </row>
    <row r="57" customFormat="false" ht="15.75" hidden="false" customHeight="false" outlineLevel="0" collapsed="false">
      <c r="A57" s="9" t="n">
        <v>4</v>
      </c>
      <c r="B57" s="9" t="s">
        <v>78</v>
      </c>
      <c r="C57" s="10"/>
      <c r="D57" s="9" t="n">
        <v>25.29285264</v>
      </c>
      <c r="E57" s="10"/>
      <c r="F57" s="9" t="n">
        <v>9.290304</v>
      </c>
      <c r="G57" s="9" t="n">
        <v>8.4307512</v>
      </c>
      <c r="H57" s="10"/>
      <c r="I57" s="10"/>
      <c r="J57" s="10"/>
    </row>
    <row r="58" customFormat="false" ht="15.75" hidden="false" customHeight="false" outlineLevel="0" collapsed="false">
      <c r="A58" s="9" t="n">
        <v>5</v>
      </c>
      <c r="B58" s="9" t="s">
        <v>78</v>
      </c>
      <c r="C58" s="10"/>
      <c r="D58" s="9" t="n">
        <v>31.6160658</v>
      </c>
      <c r="E58" s="10"/>
      <c r="F58" s="9" t="n">
        <v>11.61288</v>
      </c>
      <c r="G58" s="9" t="n">
        <v>10.538439</v>
      </c>
      <c r="H58" s="10"/>
      <c r="I58" s="10"/>
      <c r="J58" s="10"/>
    </row>
    <row r="59" customFormat="false" ht="15.75" hidden="false" customHeight="false" outlineLevel="0" collapsed="false">
      <c r="A59" s="9" t="n">
        <v>6</v>
      </c>
      <c r="B59" s="9" t="s">
        <v>78</v>
      </c>
      <c r="C59" s="10"/>
      <c r="D59" s="9" t="n">
        <v>37.93927896</v>
      </c>
      <c r="E59" s="10"/>
      <c r="F59" s="9" t="n">
        <v>13.935456</v>
      </c>
      <c r="G59" s="9" t="n">
        <v>12.6461268</v>
      </c>
      <c r="H59" s="10"/>
      <c r="I59" s="10"/>
      <c r="J59" s="10"/>
    </row>
    <row r="60" customFormat="false" ht="15.75" hidden="false" customHeight="false" outlineLevel="0" collapsed="false">
      <c r="A60" s="9" t="n">
        <v>7</v>
      </c>
      <c r="B60" s="9" t="s">
        <v>78</v>
      </c>
      <c r="C60" s="10"/>
      <c r="D60" s="9" t="n">
        <v>44.62249212</v>
      </c>
      <c r="E60" s="10"/>
      <c r="F60" s="9" t="n">
        <v>16.258032</v>
      </c>
      <c r="G60" s="9" t="n">
        <v>14.7538146</v>
      </c>
      <c r="H60" s="10"/>
      <c r="I60" s="10"/>
      <c r="J60" s="10"/>
    </row>
    <row r="61" customFormat="false" ht="15.75" hidden="false" customHeight="false" outlineLevel="0" collapsed="false">
      <c r="A61" s="9" t="n">
        <v>8</v>
      </c>
      <c r="B61" s="9" t="s">
        <v>78</v>
      </c>
      <c r="C61" s="10"/>
      <c r="D61" s="9" t="n">
        <v>50.58570528</v>
      </c>
      <c r="E61" s="10"/>
      <c r="F61" s="9" t="n">
        <v>18.580608</v>
      </c>
      <c r="G61" s="9" t="n">
        <v>16.8615024</v>
      </c>
      <c r="H61" s="10"/>
      <c r="I61" s="10"/>
      <c r="J61" s="10"/>
    </row>
    <row r="62" customFormat="false" ht="15.75" hidden="false" customHeight="false" outlineLevel="0" collapsed="false">
      <c r="A62" s="9" t="n">
        <v>9</v>
      </c>
      <c r="B62" s="9" t="s">
        <v>78</v>
      </c>
      <c r="C62" s="10"/>
      <c r="D62" s="9" t="n">
        <v>56.90891844</v>
      </c>
      <c r="E62" s="10"/>
      <c r="F62" s="9" t="n">
        <v>20.903184</v>
      </c>
      <c r="G62" s="9" t="n">
        <v>18.9691902</v>
      </c>
      <c r="H62" s="10"/>
      <c r="I62" s="10"/>
      <c r="J62" s="10"/>
    </row>
    <row r="63" customFormat="false" ht="15.75" hidden="false" customHeight="false" outlineLevel="0" collapsed="false">
      <c r="A63" s="9" t="n">
        <v>10</v>
      </c>
      <c r="B63" s="9" t="s">
        <v>78</v>
      </c>
      <c r="C63" s="10"/>
      <c r="D63" s="9" t="n">
        <v>63.2321316</v>
      </c>
      <c r="E63" s="10"/>
      <c r="F63" s="9" t="n">
        <v>23.22576</v>
      </c>
      <c r="G63" s="9" t="n">
        <v>21.076878</v>
      </c>
      <c r="H63" s="10"/>
      <c r="I63" s="10"/>
      <c r="J63" s="10"/>
    </row>
    <row r="64" customFormat="false" ht="15.75" hidden="false" customHeight="false" outlineLevel="0" collapsed="false">
      <c r="A64" s="9" t="n">
        <v>11</v>
      </c>
      <c r="B64" s="9" t="s">
        <v>78</v>
      </c>
      <c r="C64" s="10"/>
      <c r="D64" s="9" t="n">
        <v>69.55534476</v>
      </c>
      <c r="E64" s="10"/>
      <c r="F64" s="9" t="n">
        <v>25.548336</v>
      </c>
      <c r="G64" s="9" t="n">
        <v>23.1845658</v>
      </c>
      <c r="H64" s="10"/>
      <c r="I64" s="10"/>
      <c r="J64" s="10"/>
    </row>
    <row r="65" customFormat="false" ht="15.75" hidden="false" customHeight="false" outlineLevel="0" collapsed="false">
      <c r="A65" s="9" t="n">
        <v>12</v>
      </c>
      <c r="B65" s="9" t="s">
        <v>78</v>
      </c>
      <c r="C65" s="10"/>
      <c r="D65" s="9" t="n">
        <v>75.87855792</v>
      </c>
      <c r="E65" s="10"/>
      <c r="F65" s="9" t="n">
        <v>27.870912</v>
      </c>
      <c r="G65" s="9" t="n">
        <v>25.2922536</v>
      </c>
      <c r="H65" s="10"/>
      <c r="I65" s="10"/>
      <c r="J65" s="10"/>
    </row>
    <row r="66" customFormat="false" ht="15.75" hidden="false" customHeight="false" outlineLevel="0" collapsed="false">
      <c r="A66" s="9" t="n">
        <v>13</v>
      </c>
      <c r="B66" s="9" t="s">
        <v>78</v>
      </c>
      <c r="C66" s="10"/>
      <c r="D66" s="9" t="n">
        <v>82.20177108</v>
      </c>
      <c r="E66" s="10"/>
      <c r="F66" s="9" t="n">
        <v>30.193488</v>
      </c>
      <c r="G66" s="9" t="n">
        <v>27.3999414</v>
      </c>
      <c r="H66" s="10"/>
      <c r="I66" s="10"/>
      <c r="J66" s="10"/>
    </row>
    <row r="67" customFormat="false" ht="15.75" hidden="false" customHeight="false" outlineLevel="0" collapsed="false">
      <c r="A67" s="9" t="n">
        <v>14</v>
      </c>
      <c r="B67" s="9" t="s">
        <v>78</v>
      </c>
      <c r="C67" s="10"/>
      <c r="D67" s="9" t="n">
        <v>88.52498424</v>
      </c>
      <c r="E67" s="10"/>
      <c r="F67" s="9" t="n">
        <v>32.516064</v>
      </c>
      <c r="G67" s="9" t="n">
        <v>29.5076292</v>
      </c>
      <c r="H67" s="10"/>
      <c r="I67" s="10"/>
      <c r="J67" s="10"/>
    </row>
    <row r="68" customFormat="false" ht="15.75" hidden="false" customHeight="false" outlineLevel="0" collapsed="false">
      <c r="A68" s="9" t="n">
        <v>15</v>
      </c>
      <c r="B68" s="9" t="s">
        <v>78</v>
      </c>
      <c r="C68" s="10"/>
      <c r="D68" s="9" t="n">
        <v>94.8481974</v>
      </c>
      <c r="E68" s="10"/>
      <c r="F68" s="9" t="n">
        <v>34.83864</v>
      </c>
      <c r="G68" s="9" t="n">
        <v>31.615317</v>
      </c>
      <c r="H68" s="10"/>
      <c r="I68" s="10"/>
      <c r="J68" s="10"/>
    </row>
    <row r="69" customFormat="false" ht="15.75" hidden="false" customHeight="false" outlineLevel="0" collapsed="false">
      <c r="A69" s="9" t="n">
        <v>16</v>
      </c>
      <c r="B69" s="9" t="s">
        <v>78</v>
      </c>
      <c r="C69" s="10"/>
      <c r="D69" s="9" t="n">
        <v>101.1714056</v>
      </c>
      <c r="E69" s="10"/>
      <c r="F69" s="9" t="n">
        <v>37.161216</v>
      </c>
      <c r="G69" s="9" t="n">
        <v>33.7230048</v>
      </c>
      <c r="H69" s="10"/>
      <c r="I69" s="10"/>
      <c r="J69" s="10"/>
    </row>
    <row r="70" customFormat="false" ht="15.75" hidden="false" customHeight="false" outlineLevel="0" collapsed="false">
      <c r="A70" s="9" t="n">
        <v>17</v>
      </c>
      <c r="B70" s="9" t="s">
        <v>78</v>
      </c>
      <c r="C70" s="10"/>
      <c r="D70" s="9" t="n">
        <v>107.49462372</v>
      </c>
      <c r="E70" s="10"/>
      <c r="F70" s="9" t="n">
        <v>39.483792</v>
      </c>
      <c r="G70" s="9" t="n">
        <v>35.8306926</v>
      </c>
      <c r="H70" s="10"/>
      <c r="I70" s="10"/>
      <c r="J70" s="10"/>
    </row>
    <row r="71" customFormat="false" ht="15.75" hidden="false" customHeight="false" outlineLevel="0" collapsed="false">
      <c r="A71" s="9" t="n">
        <v>18</v>
      </c>
      <c r="B71" s="9" t="s">
        <v>78</v>
      </c>
      <c r="C71" s="10"/>
      <c r="D71" s="9" t="n">
        <v>13.81783688</v>
      </c>
      <c r="E71" s="10"/>
      <c r="F71" s="9" t="n">
        <v>41.806368</v>
      </c>
      <c r="G71" s="9" t="n">
        <v>37.9383804</v>
      </c>
      <c r="H71" s="10"/>
      <c r="I71" s="10"/>
      <c r="J71" s="10"/>
    </row>
    <row r="72" customFormat="false" ht="15.75" hidden="false" customHeight="false" outlineLevel="0" collapsed="false">
      <c r="A72" s="9" t="n">
        <v>19</v>
      </c>
      <c r="B72" s="9" t="s">
        <v>78</v>
      </c>
      <c r="C72" s="10"/>
      <c r="D72" s="9" t="n">
        <v>120.14105004</v>
      </c>
      <c r="E72" s="10"/>
      <c r="F72" s="9" t="n">
        <v>44.128944</v>
      </c>
      <c r="G72" s="9" t="n">
        <v>40.0460682</v>
      </c>
      <c r="H72" s="10"/>
      <c r="I72" s="10"/>
      <c r="J72" s="10"/>
    </row>
    <row r="73" customFormat="false" ht="15.75" hidden="false" customHeight="false" outlineLevel="0" collapsed="false">
      <c r="A73" s="15"/>
      <c r="B73" s="16"/>
      <c r="C73" s="16"/>
      <c r="D73" s="16"/>
      <c r="E73" s="16"/>
      <c r="F73" s="16"/>
      <c r="G73" s="16"/>
      <c r="H73" s="16"/>
      <c r="I73" s="16"/>
      <c r="J73" s="16"/>
    </row>
    <row r="74" customFormat="false" ht="15.75" hidden="false" customHeight="false" outlineLevel="0" collapsed="false">
      <c r="A74" s="15" t="n">
        <v>1</v>
      </c>
      <c r="B74" s="15" t="s">
        <v>79</v>
      </c>
      <c r="C74" s="16"/>
      <c r="D74" s="15" t="n">
        <v>126.4642632</v>
      </c>
      <c r="E74" s="16"/>
      <c r="F74" s="15" t="n">
        <v>46.45152</v>
      </c>
      <c r="G74" s="15" t="n">
        <v>42.153756</v>
      </c>
      <c r="H74" s="16"/>
      <c r="I74" s="16"/>
      <c r="J74" s="16"/>
    </row>
    <row r="75" customFormat="false" ht="15.75" hidden="false" customHeight="false" outlineLevel="0" collapsed="false">
      <c r="A75" s="15" t="n">
        <v>2</v>
      </c>
      <c r="B75" s="15" t="s">
        <v>78</v>
      </c>
      <c r="C75" s="16"/>
      <c r="D75" s="15" t="n">
        <v>252.9285264</v>
      </c>
      <c r="E75" s="16"/>
      <c r="F75" s="15" t="n">
        <v>92.90304</v>
      </c>
      <c r="G75" s="15" t="n">
        <v>84.307512</v>
      </c>
      <c r="H75" s="16"/>
      <c r="I75" s="16"/>
      <c r="J75" s="16"/>
    </row>
    <row r="76" customFormat="false" ht="15.75" hidden="false" customHeight="false" outlineLevel="0" collapsed="false">
      <c r="A76" s="15" t="n">
        <v>3</v>
      </c>
      <c r="B76" s="15" t="s">
        <v>78</v>
      </c>
      <c r="C76" s="16"/>
      <c r="D76" s="15" t="n">
        <v>379.3927896</v>
      </c>
      <c r="E76" s="16"/>
      <c r="F76" s="15" t="n">
        <v>139.35466</v>
      </c>
      <c r="G76" s="15" t="n">
        <v>126.461268</v>
      </c>
      <c r="H76" s="16"/>
      <c r="I76" s="16"/>
      <c r="J76" s="16"/>
    </row>
    <row r="77" customFormat="false" ht="15.75" hidden="false" customHeight="false" outlineLevel="0" collapsed="false">
      <c r="A77" s="15" t="n">
        <v>4</v>
      </c>
      <c r="B77" s="15" t="s">
        <v>78</v>
      </c>
      <c r="C77" s="16"/>
      <c r="D77" s="15" t="n">
        <v>505.8570528</v>
      </c>
      <c r="E77" s="16"/>
      <c r="F77" s="15" t="n">
        <v>185.80608</v>
      </c>
      <c r="G77" s="15" t="n">
        <v>168.615024</v>
      </c>
      <c r="H77" s="16"/>
      <c r="I77" s="16"/>
      <c r="J77" s="16"/>
    </row>
    <row r="78" customFormat="false" ht="15.75" hidden="false" customHeight="false" outlineLevel="0" collapsed="false">
      <c r="A78" s="15" t="n">
        <v>5</v>
      </c>
      <c r="B78" s="15" t="s">
        <v>78</v>
      </c>
      <c r="C78" s="16"/>
      <c r="D78" s="15" t="n">
        <v>632.321316</v>
      </c>
      <c r="E78" s="16"/>
      <c r="F78" s="15" t="n">
        <v>232.2576</v>
      </c>
      <c r="G78" s="15" t="n">
        <v>210.76878</v>
      </c>
      <c r="H78" s="16"/>
      <c r="I78" s="16"/>
      <c r="J78" s="16"/>
    </row>
    <row r="79" customFormat="false" ht="15.75" hidden="false" customHeight="false" outlineLevel="0" collapsed="false">
      <c r="A79" s="15" t="n">
        <v>6</v>
      </c>
      <c r="B79" s="15" t="s">
        <v>78</v>
      </c>
      <c r="C79" s="16"/>
      <c r="D79" s="15" t="n">
        <v>758.7855792</v>
      </c>
      <c r="E79" s="16"/>
      <c r="F79" s="15" t="n">
        <v>278.70912</v>
      </c>
      <c r="G79" s="15" t="n">
        <v>525.922536</v>
      </c>
      <c r="H79" s="16"/>
      <c r="I79" s="16"/>
      <c r="J79" s="16"/>
    </row>
    <row r="80" customFormat="false" ht="15.75" hidden="false" customHeight="false" outlineLevel="0" collapsed="false">
      <c r="A80" s="15" t="n">
        <v>7</v>
      </c>
      <c r="B80" s="15" t="s">
        <v>78</v>
      </c>
      <c r="C80" s="16"/>
      <c r="D80" s="15" t="n">
        <v>885.2498424</v>
      </c>
      <c r="E80" s="16"/>
      <c r="F80" s="15" t="n">
        <v>325.16064</v>
      </c>
      <c r="G80" s="15" t="n">
        <v>295.076292</v>
      </c>
      <c r="H80" s="16"/>
      <c r="I80" s="16"/>
      <c r="J80" s="16"/>
    </row>
    <row r="81" customFormat="false" ht="15.75" hidden="false" customHeight="false" outlineLevel="0" collapsed="false">
      <c r="A81" s="15" t="n">
        <v>8</v>
      </c>
      <c r="B81" s="15" t="s">
        <v>78</v>
      </c>
      <c r="C81" s="16"/>
      <c r="D81" s="15" t="n">
        <v>1011.7141056</v>
      </c>
      <c r="E81" s="16"/>
      <c r="F81" s="15" t="n">
        <v>371.61216</v>
      </c>
      <c r="G81" s="15" t="n">
        <v>337.230048</v>
      </c>
      <c r="H81" s="16"/>
      <c r="I81" s="16"/>
      <c r="J81" s="16"/>
    </row>
    <row r="82" customFormat="false" ht="15.75" hidden="false" customHeight="false" outlineLevel="0" collapsed="false">
      <c r="A82" s="15" t="n">
        <v>9</v>
      </c>
      <c r="B82" s="15" t="s">
        <v>78</v>
      </c>
      <c r="C82" s="16"/>
      <c r="D82" s="15" t="n">
        <v>1138.1783688</v>
      </c>
      <c r="E82" s="16"/>
      <c r="F82" s="15" t="n">
        <v>418.06368</v>
      </c>
      <c r="G82" s="15" t="n">
        <v>379.383804</v>
      </c>
      <c r="H82" s="16"/>
      <c r="I82" s="16"/>
      <c r="J82" s="16"/>
    </row>
    <row r="83" customFormat="false" ht="15.75" hidden="false" customHeight="false" outlineLevel="0" collapsed="false">
      <c r="A83" s="15" t="n">
        <v>10</v>
      </c>
      <c r="B83" s="15" t="s">
        <v>78</v>
      </c>
      <c r="C83" s="16"/>
      <c r="D83" s="15" t="n">
        <v>1264.642632</v>
      </c>
      <c r="E83" s="16"/>
      <c r="F83" s="15" t="n">
        <v>464.5152</v>
      </c>
      <c r="G83" s="15" t="n">
        <v>421.53756</v>
      </c>
      <c r="H83" s="16"/>
      <c r="I83" s="16"/>
      <c r="J83" s="16"/>
    </row>
    <row r="84" customFormat="false" ht="15.75" hidden="false" customHeight="false" outlineLevel="0" collapsed="false">
      <c r="A84" s="15" t="n">
        <v>11</v>
      </c>
      <c r="B84" s="15" t="s">
        <v>78</v>
      </c>
      <c r="C84" s="16"/>
      <c r="D84" s="15" t="n">
        <v>1391.1068952</v>
      </c>
      <c r="E84" s="16"/>
      <c r="F84" s="15" t="n">
        <v>510.96672</v>
      </c>
      <c r="G84" s="15" t="n">
        <v>463.691316</v>
      </c>
      <c r="H84" s="16"/>
      <c r="I84" s="16"/>
      <c r="J84" s="16"/>
    </row>
    <row r="85" customFormat="false" ht="15.75" hidden="false" customHeight="false" outlineLevel="0" collapsed="false">
      <c r="A85" s="15" t="n">
        <v>12</v>
      </c>
      <c r="B85" s="15" t="s">
        <v>78</v>
      </c>
      <c r="C85" s="16"/>
      <c r="D85" s="15" t="n">
        <v>1517.5711584</v>
      </c>
      <c r="E85" s="16"/>
      <c r="F85" s="15" t="n">
        <v>557.41824</v>
      </c>
      <c r="G85" s="15" t="n">
        <v>505.845072</v>
      </c>
      <c r="H85" s="16"/>
      <c r="I85" s="16"/>
      <c r="J85" s="16"/>
    </row>
    <row r="86" customFormat="false" ht="15.75" hidden="false" customHeight="false" outlineLevel="0" collapsed="false">
      <c r="A86" s="15" t="n">
        <v>13</v>
      </c>
      <c r="B86" s="15" t="s">
        <v>78</v>
      </c>
      <c r="C86" s="16"/>
      <c r="D86" s="15" t="n">
        <v>1644.0354216</v>
      </c>
      <c r="E86" s="16"/>
      <c r="F86" s="15" t="n">
        <v>603.86976</v>
      </c>
      <c r="G86" s="15" t="n">
        <v>547.998828</v>
      </c>
      <c r="H86" s="16"/>
      <c r="I86" s="16"/>
      <c r="J86" s="16"/>
    </row>
    <row r="87" customFormat="false" ht="15.75" hidden="false" customHeight="false" outlineLevel="0" collapsed="false">
      <c r="A87" s="15" t="n">
        <v>14</v>
      </c>
      <c r="B87" s="15" t="s">
        <v>78</v>
      </c>
      <c r="C87" s="16"/>
      <c r="D87" s="15" t="n">
        <v>1770.4996848</v>
      </c>
      <c r="E87" s="16"/>
      <c r="F87" s="15" t="n">
        <v>650.32128</v>
      </c>
      <c r="G87" s="15" t="n">
        <v>590.152584</v>
      </c>
      <c r="H87" s="16"/>
      <c r="I87" s="16"/>
      <c r="J87" s="16"/>
    </row>
    <row r="88" customFormat="false" ht="15.75" hidden="false" customHeight="false" outlineLevel="0" collapsed="false">
      <c r="A88" s="15" t="n">
        <v>15</v>
      </c>
      <c r="B88" s="15" t="s">
        <v>78</v>
      </c>
      <c r="C88" s="16"/>
      <c r="D88" s="15" t="n">
        <v>1896.963948</v>
      </c>
      <c r="E88" s="16"/>
      <c r="F88" s="15" t="n">
        <v>696.7728</v>
      </c>
      <c r="G88" s="15" t="n">
        <v>632.30634</v>
      </c>
      <c r="H88" s="16"/>
      <c r="I88" s="16"/>
      <c r="J88" s="16"/>
    </row>
    <row r="89" customFormat="false" ht="15.75" hidden="false" customHeight="false" outlineLevel="0" collapsed="false">
      <c r="A89" s="15" t="n">
        <v>16</v>
      </c>
      <c r="B89" s="15" t="s">
        <v>78</v>
      </c>
      <c r="C89" s="16"/>
      <c r="D89" s="15" t="n">
        <v>2023.4282112</v>
      </c>
      <c r="E89" s="16"/>
      <c r="F89" s="15" t="n">
        <v>743.22432</v>
      </c>
      <c r="G89" s="15" t="n">
        <v>674.460096</v>
      </c>
      <c r="H89" s="16"/>
      <c r="I89" s="16"/>
      <c r="J89" s="16"/>
    </row>
    <row r="90" customFormat="false" ht="15.75" hidden="false" customHeight="false" outlineLevel="0" collapsed="false">
      <c r="A90" s="15" t="n">
        <v>17</v>
      </c>
      <c r="B90" s="15" t="s">
        <v>78</v>
      </c>
      <c r="C90" s="16"/>
      <c r="D90" s="15" t="n">
        <v>2149.8924744</v>
      </c>
      <c r="E90" s="16"/>
      <c r="F90" s="15" t="n">
        <v>789.67584</v>
      </c>
      <c r="G90" s="15" t="n">
        <v>716.613852</v>
      </c>
      <c r="H90" s="16"/>
      <c r="I90" s="16"/>
      <c r="J90" s="16"/>
    </row>
    <row r="91" customFormat="false" ht="15.75" hidden="false" customHeight="false" outlineLevel="0" collapsed="false">
      <c r="A91" s="15" t="n">
        <v>18</v>
      </c>
      <c r="B91" s="15" t="s">
        <v>78</v>
      </c>
      <c r="C91" s="16"/>
      <c r="D91" s="15" t="n">
        <v>2276.3567376</v>
      </c>
      <c r="E91" s="16"/>
      <c r="F91" s="15" t="n">
        <v>836.12736</v>
      </c>
      <c r="G91" s="15" t="n">
        <v>758.763608</v>
      </c>
      <c r="H91" s="16"/>
      <c r="I91" s="16"/>
      <c r="J91" s="16"/>
    </row>
    <row r="92" customFormat="false" ht="15.75" hidden="false" customHeight="false" outlineLevel="0" collapsed="false">
      <c r="A92" s="15" t="n">
        <v>19</v>
      </c>
      <c r="B92" s="15" t="s">
        <v>78</v>
      </c>
      <c r="C92" s="16"/>
      <c r="D92" s="15" t="n">
        <v>2402.8210008</v>
      </c>
      <c r="E92" s="16"/>
      <c r="F92" s="15" t="n">
        <v>882.57888</v>
      </c>
      <c r="G92" s="15" t="n">
        <v>800.921364</v>
      </c>
      <c r="H92" s="16"/>
      <c r="I92" s="16"/>
      <c r="J92" s="16"/>
    </row>
    <row r="93" customFormat="false" ht="15.75" hidden="false" customHeight="false" outlineLevel="0" collapsed="false">
      <c r="A93" s="15"/>
      <c r="B93" s="16"/>
      <c r="C93" s="16"/>
      <c r="D93" s="16"/>
      <c r="E93" s="16"/>
      <c r="F93" s="16"/>
      <c r="G93" s="16"/>
      <c r="H93" s="16"/>
      <c r="I93" s="16"/>
      <c r="J93" s="16"/>
    </row>
    <row r="94" customFormat="false" ht="15.75" hidden="false" customHeight="false" outlineLevel="0" collapsed="false">
      <c r="A94" s="17" t="s">
        <v>69</v>
      </c>
      <c r="B94" s="18"/>
      <c r="C94" s="18"/>
      <c r="D94" s="17" t="s">
        <v>70</v>
      </c>
      <c r="E94" s="18"/>
      <c r="F94" s="17" t="s">
        <v>71</v>
      </c>
      <c r="G94" s="17" t="s">
        <v>72</v>
      </c>
      <c r="H94" s="16"/>
      <c r="I94" s="16"/>
      <c r="J94" s="16"/>
    </row>
    <row r="95" customFormat="false" ht="15.75" hidden="false" customHeight="false" outlineLevel="0" collapsed="false">
      <c r="A95" s="18"/>
      <c r="B95" s="18"/>
      <c r="C95" s="18"/>
      <c r="D95" s="17" t="s">
        <v>73</v>
      </c>
      <c r="E95" s="18"/>
      <c r="F95" s="17" t="s">
        <v>73</v>
      </c>
      <c r="G95" s="17" t="s">
        <v>74</v>
      </c>
      <c r="H95" s="16"/>
      <c r="I95" s="16"/>
      <c r="J95" s="16"/>
    </row>
    <row r="96" customFormat="false" ht="15.75" hidden="false" customHeight="false" outlineLevel="0" collapsed="false">
      <c r="A96" s="15" t="n">
        <v>6</v>
      </c>
      <c r="B96" s="16"/>
      <c r="C96" s="16"/>
      <c r="D96" s="15" t="n">
        <v>7</v>
      </c>
      <c r="E96" s="16"/>
      <c r="F96" s="16"/>
      <c r="G96" s="15" t="n">
        <v>8</v>
      </c>
      <c r="H96" s="16"/>
      <c r="I96" s="15" t="s">
        <v>75</v>
      </c>
      <c r="J96" s="15" t="n">
        <v>9</v>
      </c>
    </row>
    <row r="97" customFormat="false" ht="15.75" hidden="false" customHeight="false" outlineLevel="0" collapsed="false">
      <c r="A97" s="15"/>
      <c r="B97" s="16"/>
      <c r="C97" s="16"/>
      <c r="D97" s="16"/>
      <c r="E97" s="16"/>
      <c r="F97" s="16"/>
      <c r="G97" s="16"/>
      <c r="H97" s="16"/>
      <c r="I97" s="16"/>
      <c r="J97" s="16"/>
    </row>
    <row r="98" customFormat="false" ht="15.75" hidden="false" customHeight="false" outlineLevel="0" collapsed="false">
      <c r="A98" s="15" t="n">
        <v>1</v>
      </c>
      <c r="B98" s="15" t="s">
        <v>80</v>
      </c>
      <c r="C98" s="16"/>
      <c r="D98" s="15" t="n">
        <v>2529.285264</v>
      </c>
      <c r="E98" s="16"/>
      <c r="F98" s="15" t="n">
        <v>929.0304</v>
      </c>
      <c r="G98" s="15" t="n">
        <v>843.07512</v>
      </c>
      <c r="H98" s="16"/>
      <c r="I98" s="16"/>
      <c r="J98" s="16"/>
    </row>
    <row r="99" customFormat="false" ht="15.75" hidden="false" customHeight="false" outlineLevel="0" collapsed="false">
      <c r="A99" s="15" t="n">
        <v>2</v>
      </c>
      <c r="B99" s="15" t="s">
        <v>78</v>
      </c>
      <c r="C99" s="16"/>
      <c r="D99" s="15" t="n">
        <v>5059.570528</v>
      </c>
      <c r="E99" s="16"/>
      <c r="F99" s="15" t="n">
        <v>1858.0608</v>
      </c>
      <c r="G99" s="15" t="n">
        <v>1686.15024</v>
      </c>
      <c r="H99" s="16"/>
      <c r="I99" s="16"/>
      <c r="J99" s="16"/>
    </row>
    <row r="100" customFormat="false" ht="15.75" hidden="false" customHeight="false" outlineLevel="0" collapsed="false">
      <c r="A100" s="15" t="n">
        <v>3</v>
      </c>
      <c r="B100" s="15" t="s">
        <v>78</v>
      </c>
      <c r="C100" s="16"/>
      <c r="D100" s="15" t="n">
        <v>7587.855792</v>
      </c>
      <c r="E100" s="16"/>
      <c r="F100" s="15" t="n">
        <v>2787.0912</v>
      </c>
      <c r="G100" s="15" t="n">
        <v>2529.22536</v>
      </c>
      <c r="H100" s="16"/>
      <c r="I100" s="16"/>
      <c r="J100" s="16"/>
    </row>
    <row r="101" customFormat="false" ht="15.75" hidden="false" customHeight="false" outlineLevel="0" collapsed="false">
      <c r="A101" s="15" t="n">
        <v>4</v>
      </c>
      <c r="B101" s="15" t="s">
        <v>78</v>
      </c>
      <c r="C101" s="16"/>
      <c r="D101" s="15" t="n">
        <v>10117.141056</v>
      </c>
      <c r="E101" s="16"/>
      <c r="F101" s="15" t="n">
        <v>3716.126</v>
      </c>
      <c r="G101" s="15" t="n">
        <v>3372.30048</v>
      </c>
      <c r="H101" s="16"/>
      <c r="I101" s="16"/>
      <c r="J101" s="16"/>
    </row>
    <row r="102" customFormat="false" ht="15.75" hidden="false" customHeight="false" outlineLevel="0" collapsed="false">
      <c r="A102" s="15" t="n">
        <v>5</v>
      </c>
      <c r="B102" s="15" t="s">
        <v>78</v>
      </c>
      <c r="C102" s="16"/>
      <c r="D102" s="15" t="n">
        <v>12646.42632</v>
      </c>
      <c r="E102" s="16"/>
      <c r="F102" s="15" t="n">
        <v>4645.152</v>
      </c>
      <c r="G102" s="15" t="n">
        <v>4215.3756</v>
      </c>
      <c r="H102" s="16"/>
      <c r="I102" s="16"/>
      <c r="J102" s="16"/>
    </row>
    <row r="103" customFormat="false" ht="15.75" hidden="false" customHeight="false" outlineLevel="0" collapsed="false">
      <c r="A103" s="15" t="n">
        <v>6</v>
      </c>
      <c r="B103" s="15" t="s">
        <v>78</v>
      </c>
      <c r="C103" s="16"/>
      <c r="D103" s="15" t="n">
        <v>15157.711584</v>
      </c>
      <c r="E103" s="16"/>
      <c r="F103" s="15" t="n">
        <v>5574.1824</v>
      </c>
      <c r="G103" s="15" t="n">
        <v>5058.45072</v>
      </c>
      <c r="H103" s="16"/>
      <c r="I103" s="16"/>
      <c r="J103" s="16"/>
    </row>
    <row r="104" customFormat="false" ht="15.75" hidden="false" customHeight="false" outlineLevel="0" collapsed="false">
      <c r="A104" s="15" t="n">
        <v>7</v>
      </c>
      <c r="B104" s="15" t="s">
        <v>78</v>
      </c>
      <c r="C104" s="16"/>
      <c r="D104" s="15" t="n">
        <v>17704.996848</v>
      </c>
      <c r="E104" s="16"/>
      <c r="F104" s="15" t="n">
        <v>6503.2128</v>
      </c>
      <c r="G104" s="15" t="n">
        <v>5901.52584</v>
      </c>
      <c r="H104" s="16"/>
      <c r="I104" s="16"/>
      <c r="J104" s="16"/>
    </row>
    <row r="105" customFormat="false" ht="15.75" hidden="false" customHeight="false" outlineLevel="0" collapsed="false">
      <c r="A105" s="15" t="n">
        <v>8</v>
      </c>
      <c r="B105" s="15" t="s">
        <v>78</v>
      </c>
      <c r="C105" s="16"/>
      <c r="D105" s="15" t="n">
        <v>20234.282112</v>
      </c>
      <c r="E105" s="16"/>
      <c r="F105" s="15" t="n">
        <v>7432.2432</v>
      </c>
      <c r="G105" s="15" t="n">
        <v>6744.60096</v>
      </c>
      <c r="H105" s="16"/>
      <c r="I105" s="16"/>
      <c r="J105" s="16"/>
    </row>
    <row r="106" customFormat="false" ht="15.75" hidden="false" customHeight="false" outlineLevel="0" collapsed="false">
      <c r="A106" s="15" t="n">
        <v>9</v>
      </c>
      <c r="B106" s="15" t="s">
        <v>78</v>
      </c>
      <c r="C106" s="16"/>
      <c r="D106" s="15" t="n">
        <v>22763.567376</v>
      </c>
      <c r="E106" s="16"/>
      <c r="F106" s="15" t="n">
        <v>8361.2736</v>
      </c>
      <c r="G106" s="15" t="n">
        <v>7587.67608</v>
      </c>
      <c r="H106" s="16"/>
      <c r="I106" s="16"/>
      <c r="J106" s="16"/>
    </row>
    <row r="107" customFormat="false" ht="15.75" hidden="false" customHeight="false" outlineLevel="0" collapsed="false">
      <c r="A107" s="15" t="n">
        <v>10</v>
      </c>
      <c r="B107" s="15" t="s">
        <v>78</v>
      </c>
      <c r="C107" s="16"/>
      <c r="D107" s="15" t="n">
        <v>25292.85264</v>
      </c>
      <c r="E107" s="16"/>
      <c r="F107" s="15" t="n">
        <v>9290.304</v>
      </c>
      <c r="G107" s="15" t="n">
        <v>8430.751264</v>
      </c>
      <c r="H107" s="16"/>
      <c r="I107" s="16"/>
      <c r="J107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87" activePane="bottomRight" state="frozen"/>
      <selection pane="topLeft" activeCell="A1" activeCellId="0" sqref="A1"/>
      <selection pane="topRight" activeCell="D1" activeCellId="0" sqref="D1"/>
      <selection pane="bottomLeft" activeCell="A87" activeCellId="0" sqref="A87"/>
      <selection pane="bottomRigh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31.71"/>
  </cols>
  <sheetData>
    <row r="1" customFormat="false" ht="15" hidden="false" customHeight="false" outlineLevel="0" collapsed="false">
      <c r="F1" s="19"/>
      <c r="G1" s="19"/>
      <c r="H1" s="20" t="s">
        <v>81</v>
      </c>
      <c r="M1" s="21" t="s">
        <v>82</v>
      </c>
    </row>
    <row r="2" customFormat="false" ht="15" hidden="false" customHeight="false" outlineLevel="0" collapsed="false">
      <c r="A2" s="0" t="s">
        <v>83</v>
      </c>
      <c r="F2" s="19"/>
      <c r="G2" s="19"/>
      <c r="H2" s="20" t="s">
        <v>84</v>
      </c>
    </row>
    <row r="3" customFormat="false" ht="15" hidden="false" customHeight="false" outlineLevel="0" collapsed="false">
      <c r="A3" s="20" t="s">
        <v>85</v>
      </c>
      <c r="F3" s="19"/>
      <c r="G3" s="19"/>
    </row>
    <row r="4" customFormat="false" ht="15" hidden="false" customHeight="false" outlineLevel="0" collapsed="false">
      <c r="F4" s="19"/>
      <c r="G4" s="19"/>
    </row>
    <row r="5" customFormat="false" ht="15" hidden="false" customHeight="false" outlineLevel="0" collapsed="false">
      <c r="A5" s="22" t="s">
        <v>86</v>
      </c>
      <c r="B5" s="23"/>
      <c r="C5" s="24" t="s">
        <v>87</v>
      </c>
      <c r="D5" s="24" t="s">
        <v>88</v>
      </c>
      <c r="E5" s="24" t="s">
        <v>89</v>
      </c>
      <c r="F5" s="25"/>
      <c r="G5" s="25"/>
      <c r="H5" s="24" t="s">
        <v>89</v>
      </c>
      <c r="I5" s="24" t="s">
        <v>90</v>
      </c>
      <c r="J5" s="23"/>
      <c r="K5" s="24" t="s">
        <v>91</v>
      </c>
      <c r="L5" s="24" t="s">
        <v>92</v>
      </c>
      <c r="M5" s="26" t="s">
        <v>93</v>
      </c>
      <c r="N5" s="23"/>
      <c r="O5" s="24" t="s">
        <v>94</v>
      </c>
      <c r="P5" s="24" t="s">
        <v>95</v>
      </c>
      <c r="Q5" s="24" t="s">
        <v>96</v>
      </c>
      <c r="R5" s="27" t="s">
        <v>97</v>
      </c>
    </row>
    <row r="6" customFormat="false" ht="15" hidden="false" customHeight="false" outlineLevel="0" collapsed="false">
      <c r="A6" s="28" t="s">
        <v>98</v>
      </c>
      <c r="B6" s="26"/>
      <c r="C6" s="26" t="s">
        <v>99</v>
      </c>
      <c r="D6" s="26" t="s">
        <v>100</v>
      </c>
      <c r="E6" s="26" t="s">
        <v>101</v>
      </c>
      <c r="F6" s="29"/>
      <c r="G6" s="29"/>
      <c r="H6" s="26" t="s">
        <v>101</v>
      </c>
      <c r="I6" s="26" t="s">
        <v>102</v>
      </c>
      <c r="J6" s="26"/>
      <c r="K6" s="26" t="s">
        <v>103</v>
      </c>
      <c r="L6" s="26" t="s">
        <v>104</v>
      </c>
      <c r="M6" s="30" t="s">
        <v>105</v>
      </c>
      <c r="N6" s="26"/>
      <c r="O6" s="26" t="s">
        <v>106</v>
      </c>
      <c r="P6" s="26" t="s">
        <v>107</v>
      </c>
      <c r="Q6" s="26" t="s">
        <v>108</v>
      </c>
      <c r="R6" s="31"/>
    </row>
    <row r="7" customFormat="false" ht="15" hidden="false" customHeight="false" outlineLevel="0" collapsed="false">
      <c r="A7" s="28" t="s">
        <v>99</v>
      </c>
      <c r="B7" s="32" t="s">
        <v>109</v>
      </c>
      <c r="C7" s="32"/>
      <c r="D7" s="26" t="s">
        <v>110</v>
      </c>
      <c r="E7" s="26" t="s">
        <v>111</v>
      </c>
      <c r="F7" s="33" t="s">
        <v>112</v>
      </c>
      <c r="G7" s="33"/>
      <c r="H7" s="26" t="s">
        <v>113</v>
      </c>
      <c r="I7" s="26" t="s">
        <v>114</v>
      </c>
      <c r="J7" s="32"/>
      <c r="K7" s="26" t="s">
        <v>115</v>
      </c>
      <c r="L7" s="32"/>
      <c r="M7" s="32"/>
      <c r="N7" s="32"/>
      <c r="O7" s="26" t="s">
        <v>116</v>
      </c>
      <c r="P7" s="26" t="s">
        <v>117</v>
      </c>
      <c r="Q7" s="26" t="s">
        <v>118</v>
      </c>
      <c r="R7" s="31"/>
    </row>
    <row r="8" customFormat="false" ht="15" hidden="false" customHeight="false" outlineLevel="0" collapsed="false">
      <c r="A8" s="34"/>
      <c r="B8" s="30"/>
      <c r="C8" s="30"/>
      <c r="D8" s="30"/>
      <c r="E8" s="30" t="s">
        <v>88</v>
      </c>
      <c r="F8" s="35"/>
      <c r="G8" s="35"/>
      <c r="H8" s="30"/>
      <c r="I8" s="30" t="s">
        <v>119</v>
      </c>
      <c r="J8" s="36" t="s">
        <v>120</v>
      </c>
      <c r="K8" s="30" t="s">
        <v>121</v>
      </c>
      <c r="L8" s="36" t="s">
        <v>122</v>
      </c>
      <c r="M8" s="36" t="s">
        <v>123</v>
      </c>
      <c r="N8" s="36" t="s">
        <v>124</v>
      </c>
      <c r="O8" s="30" t="s">
        <v>125</v>
      </c>
      <c r="P8" s="30" t="s">
        <v>126</v>
      </c>
      <c r="Q8" s="30" t="s">
        <v>127</v>
      </c>
      <c r="R8" s="37"/>
    </row>
    <row r="9" customFormat="false" ht="15" hidden="false" customHeight="false" outlineLevel="0" collapsed="false">
      <c r="A9" s="34"/>
      <c r="B9" s="36"/>
      <c r="C9" s="36"/>
      <c r="D9" s="38" t="s">
        <v>128</v>
      </c>
      <c r="E9" s="36"/>
      <c r="F9" s="35"/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</row>
    <row r="10" customFormat="false" ht="30" hidden="false" customHeight="false" outlineLevel="0" collapsed="false">
      <c r="A10" s="39" t="n">
        <v>84</v>
      </c>
      <c r="B10" s="39" t="n">
        <v>82</v>
      </c>
      <c r="C10" s="39" t="n">
        <v>157</v>
      </c>
      <c r="D10" s="39"/>
      <c r="E10" s="40" t="s">
        <v>129</v>
      </c>
      <c r="F10" s="41" t="s">
        <v>130</v>
      </c>
      <c r="G10" s="41" t="n">
        <v>83</v>
      </c>
      <c r="H10" s="39" t="s">
        <v>131</v>
      </c>
      <c r="I10" s="39"/>
      <c r="J10" s="39" t="n">
        <v>1</v>
      </c>
      <c r="K10" s="39" t="n">
        <v>25</v>
      </c>
      <c r="L10" s="39" t="n">
        <v>2</v>
      </c>
      <c r="M10" s="39" t="n">
        <v>18</v>
      </c>
      <c r="N10" s="39"/>
      <c r="O10" s="39"/>
      <c r="P10" s="39"/>
      <c r="Q10" s="39" t="s">
        <v>132</v>
      </c>
      <c r="R10" s="39"/>
    </row>
    <row r="11" customFormat="false" ht="30" hidden="false" customHeight="false" outlineLevel="0" collapsed="false">
      <c r="A11" s="39"/>
      <c r="B11" s="39"/>
      <c r="C11" s="39"/>
      <c r="D11" s="39"/>
      <c r="E11" s="40" t="s">
        <v>133</v>
      </c>
      <c r="F11" s="41" t="s">
        <v>134</v>
      </c>
      <c r="G11" s="41" t="n">
        <v>101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</row>
    <row r="12" customFormat="false" ht="45" hidden="false" customHeight="false" outlineLevel="0" collapsed="false">
      <c r="A12" s="39"/>
      <c r="B12" s="39"/>
      <c r="C12" s="39"/>
      <c r="D12" s="39"/>
      <c r="E12" s="40" t="s">
        <v>135</v>
      </c>
      <c r="F12" s="41" t="s">
        <v>136</v>
      </c>
      <c r="G12" s="41" t="n">
        <v>57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</row>
    <row r="13" customFormat="false" ht="30" hidden="false" customHeight="false" outlineLevel="0" collapsed="false">
      <c r="A13" s="39"/>
      <c r="B13" s="39"/>
      <c r="C13" s="39"/>
      <c r="D13" s="39"/>
      <c r="E13" s="42" t="s">
        <v>137</v>
      </c>
      <c r="F13" s="41" t="s">
        <v>138</v>
      </c>
      <c r="G13" s="41" t="n">
        <v>25</v>
      </c>
      <c r="H13" s="39"/>
      <c r="I13" s="39"/>
      <c r="J13" s="39"/>
      <c r="K13" s="39"/>
      <c r="L13" s="39"/>
      <c r="M13" s="39"/>
      <c r="N13" s="39"/>
      <c r="O13" s="39"/>
      <c r="P13" s="39"/>
      <c r="Q13" s="39" t="s">
        <v>139</v>
      </c>
      <c r="R13" s="39"/>
    </row>
    <row r="14" customFormat="false" ht="30" hidden="false" customHeight="false" outlineLevel="0" collapsed="false">
      <c r="A14" s="39"/>
      <c r="B14" s="39"/>
      <c r="C14" s="39"/>
      <c r="D14" s="39"/>
      <c r="E14" s="42" t="s">
        <v>140</v>
      </c>
      <c r="F14" s="41" t="s">
        <v>138</v>
      </c>
      <c r="G14" s="41" t="n">
        <v>25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</row>
    <row r="15" customFormat="false" ht="30" hidden="false" customHeight="false" outlineLevel="0" collapsed="false">
      <c r="A15" s="39"/>
      <c r="B15" s="39"/>
      <c r="C15" s="39"/>
      <c r="D15" s="39"/>
      <c r="E15" s="42" t="s">
        <v>141</v>
      </c>
      <c r="F15" s="41" t="s">
        <v>138</v>
      </c>
      <c r="G15" s="41" t="n">
        <v>25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</row>
    <row r="16" customFormat="false" ht="30" hidden="false" customHeight="false" outlineLevel="0" collapsed="false">
      <c r="A16" s="39"/>
      <c r="B16" s="39"/>
      <c r="C16" s="39"/>
      <c r="D16" s="39"/>
      <c r="E16" s="42" t="s">
        <v>142</v>
      </c>
      <c r="F16" s="41" t="s">
        <v>143</v>
      </c>
      <c r="G16" s="41" t="n">
        <v>27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</row>
    <row r="17" customFormat="false" ht="30" hidden="false" customHeight="false" outlineLevel="0" collapsed="false">
      <c r="A17" s="39"/>
      <c r="B17" s="39"/>
      <c r="C17" s="39"/>
      <c r="D17" s="39"/>
      <c r="E17" s="42" t="s">
        <v>144</v>
      </c>
      <c r="F17" s="41" t="s">
        <v>145</v>
      </c>
      <c r="G17" s="41" t="n">
        <f aca="false">5*2</f>
        <v>10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</row>
    <row r="18" customFormat="false" ht="30" hidden="false" customHeight="false" outlineLevel="0" collapsed="false">
      <c r="A18" s="39"/>
      <c r="B18" s="39"/>
      <c r="C18" s="39"/>
      <c r="D18" s="39"/>
      <c r="E18" s="42" t="s">
        <v>146</v>
      </c>
      <c r="F18" s="41" t="s">
        <v>147</v>
      </c>
      <c r="G18" s="41" t="n">
        <f aca="false">9*2</f>
        <v>18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</row>
    <row r="19" customFormat="false" ht="15" hidden="false" customHeight="false" outlineLevel="0" collapsed="false">
      <c r="A19" s="39"/>
      <c r="B19" s="39"/>
      <c r="C19" s="39"/>
      <c r="D19" s="39"/>
      <c r="E19" s="42"/>
      <c r="F19" s="41"/>
      <c r="G19" s="43" t="n">
        <f aca="false">SUM(G10:G18)</f>
        <v>371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</row>
    <row r="20" customFormat="false" ht="15" hidden="false" customHeight="false" outlineLevel="0" collapsed="false">
      <c r="A20" s="39"/>
      <c r="B20" s="39"/>
      <c r="C20" s="39"/>
      <c r="D20" s="39"/>
      <c r="E20" s="42"/>
      <c r="F20" s="41"/>
      <c r="G20" s="41"/>
      <c r="H20" s="44" t="s">
        <v>148</v>
      </c>
      <c r="I20" s="39"/>
      <c r="J20" s="39" t="n">
        <v>10</v>
      </c>
      <c r="K20" s="39" t="n">
        <v>4</v>
      </c>
      <c r="L20" s="39" t="n">
        <v>5</v>
      </c>
      <c r="M20" s="39" t="n">
        <v>14</v>
      </c>
      <c r="N20" s="39"/>
      <c r="O20" s="39"/>
      <c r="P20" s="39"/>
      <c r="Q20" s="39"/>
      <c r="R20" s="39"/>
    </row>
    <row r="21" customFormat="false" ht="15" hidden="false" customHeight="false" outlineLevel="0" collapsed="false">
      <c r="A21" s="39"/>
      <c r="B21" s="39"/>
      <c r="C21" s="39"/>
      <c r="D21" s="39"/>
      <c r="E21" s="42"/>
      <c r="F21" s="41"/>
      <c r="G21" s="41"/>
      <c r="H21" s="39"/>
      <c r="I21" s="39"/>
      <c r="J21" s="39"/>
      <c r="K21" s="39" t="s">
        <v>149</v>
      </c>
      <c r="L21" s="39" t="n">
        <v>5</v>
      </c>
      <c r="M21" s="39" t="n">
        <v>2</v>
      </c>
      <c r="N21" s="39"/>
      <c r="O21" s="39"/>
      <c r="P21" s="39"/>
      <c r="Q21" s="39"/>
      <c r="R21" s="39"/>
    </row>
    <row r="22" customFormat="false" ht="15" hidden="false" customHeight="false" outlineLevel="0" collapsed="false">
      <c r="A22" s="39"/>
      <c r="B22" s="39"/>
      <c r="C22" s="39"/>
      <c r="D22" s="39"/>
      <c r="E22" s="42"/>
      <c r="F22" s="41"/>
      <c r="G22" s="41"/>
      <c r="H22" s="39"/>
      <c r="I22" s="39"/>
      <c r="J22" s="39"/>
      <c r="K22" s="39" t="s">
        <v>150</v>
      </c>
      <c r="L22" s="39" t="n">
        <v>0</v>
      </c>
      <c r="M22" s="39" t="n">
        <v>12</v>
      </c>
      <c r="N22" s="39"/>
      <c r="O22" s="39"/>
      <c r="P22" s="39"/>
      <c r="Q22" s="39"/>
      <c r="R22" s="39"/>
    </row>
    <row r="23" customFormat="false" ht="15" hidden="false" customHeight="false" outlineLevel="0" collapsed="false">
      <c r="A23" s="39"/>
      <c r="B23" s="39"/>
      <c r="C23" s="39"/>
      <c r="D23" s="39"/>
      <c r="E23" s="42"/>
      <c r="F23" s="41"/>
      <c r="G23" s="41"/>
      <c r="H23" s="39"/>
      <c r="I23" s="39"/>
      <c r="J23" s="39"/>
      <c r="K23" s="39"/>
      <c r="L23" s="45" t="n">
        <f aca="false">SUM(L20:L22)+1</f>
        <v>11</v>
      </c>
      <c r="M23" s="45" t="n">
        <f aca="false">SUM(M20:M22)-20</f>
        <v>8</v>
      </c>
      <c r="N23" s="39"/>
      <c r="O23" s="39"/>
      <c r="P23" s="39"/>
      <c r="Q23" s="39"/>
      <c r="R23" s="39"/>
    </row>
    <row r="24" customFormat="false" ht="15" hidden="false" customHeight="false" outlineLevel="0" collapsed="false">
      <c r="A24" s="39"/>
      <c r="B24" s="39"/>
      <c r="C24" s="39"/>
      <c r="D24" s="39"/>
      <c r="E24" s="42"/>
      <c r="F24" s="41"/>
      <c r="G24" s="41"/>
      <c r="H24" s="39" t="s">
        <v>142</v>
      </c>
      <c r="I24" s="39"/>
      <c r="J24" s="39" t="n">
        <v>10</v>
      </c>
      <c r="K24" s="39" t="n">
        <v>12</v>
      </c>
      <c r="L24" s="39" t="n">
        <v>3</v>
      </c>
      <c r="M24" s="39" t="n">
        <v>0</v>
      </c>
      <c r="N24" s="39"/>
      <c r="O24" s="39"/>
      <c r="P24" s="39"/>
      <c r="Q24" s="39"/>
      <c r="R24" s="39"/>
    </row>
    <row r="25" customFormat="false" ht="15" hidden="false" customHeight="false" outlineLevel="0" collapsed="false">
      <c r="A25" s="39"/>
      <c r="B25" s="39"/>
      <c r="C25" s="39"/>
      <c r="D25" s="39"/>
      <c r="E25" s="42"/>
      <c r="F25" s="41"/>
      <c r="G25" s="41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customFormat="false" ht="18.75" hidden="false" customHeight="false" outlineLevel="0" collapsed="false">
      <c r="A26" s="39"/>
      <c r="B26" s="39"/>
      <c r="C26" s="39"/>
      <c r="D26" s="39"/>
      <c r="E26" s="42"/>
      <c r="F26" s="41" t="s">
        <v>12</v>
      </c>
      <c r="G26" s="41"/>
      <c r="H26" s="39"/>
      <c r="I26" s="46" t="s">
        <v>151</v>
      </c>
      <c r="J26" s="39"/>
      <c r="K26" s="39"/>
      <c r="L26" s="46" t="n">
        <f aca="false">(L24+L10+L23)+1</f>
        <v>17</v>
      </c>
      <c r="M26" s="46" t="n">
        <f aca="false">(M24+M10+M23)-20</f>
        <v>6</v>
      </c>
      <c r="N26" s="39"/>
      <c r="O26" s="39"/>
      <c r="P26" s="39"/>
      <c r="Q26" s="39"/>
      <c r="R26" s="39"/>
    </row>
    <row r="27" customFormat="false" ht="18.75" hidden="false" customHeight="false" outlineLevel="0" collapsed="false">
      <c r="A27" s="39"/>
      <c r="B27" s="39"/>
      <c r="C27" s="39"/>
      <c r="D27" s="39"/>
      <c r="E27" s="42"/>
      <c r="F27" s="41"/>
      <c r="G27" s="29"/>
      <c r="H27" s="39"/>
      <c r="I27" s="46"/>
      <c r="J27" s="39"/>
      <c r="K27" s="39"/>
      <c r="L27" s="46" t="n">
        <f aca="false">L26*20+M26</f>
        <v>346</v>
      </c>
      <c r="M27" s="46"/>
      <c r="N27" s="39" t="n">
        <v>184</v>
      </c>
      <c r="O27" s="39"/>
      <c r="P27" s="39"/>
      <c r="Q27" s="39"/>
      <c r="R27" s="39"/>
      <c r="S27" s="47" t="n">
        <f aca="false">N27/4</f>
        <v>46</v>
      </c>
    </row>
    <row r="28" customFormat="false" ht="18.75" hidden="false" customHeight="false" outlineLevel="0" collapsed="false">
      <c r="A28" s="39"/>
      <c r="B28" s="39"/>
      <c r="C28" s="39"/>
      <c r="D28" s="39"/>
      <c r="E28" s="42"/>
      <c r="F28" s="41"/>
      <c r="G28" s="29"/>
      <c r="H28" s="39"/>
      <c r="I28" s="46"/>
      <c r="J28" s="39"/>
      <c r="K28" s="39"/>
      <c r="L28" s="46"/>
      <c r="M28" s="46"/>
      <c r="N28" s="39"/>
      <c r="O28" s="39"/>
      <c r="P28" s="39"/>
      <c r="Q28" s="39"/>
      <c r="R28" s="39"/>
    </row>
    <row r="29" customFormat="false" ht="18.75" hidden="false" customHeight="false" outlineLevel="0" collapsed="false">
      <c r="A29" s="39"/>
      <c r="B29" s="39"/>
      <c r="C29" s="39"/>
      <c r="D29" s="39"/>
      <c r="E29" s="42"/>
      <c r="F29" s="41"/>
      <c r="G29" s="29"/>
      <c r="H29" s="39"/>
      <c r="I29" s="46"/>
      <c r="J29" s="39"/>
      <c r="K29" s="39"/>
      <c r="L29" s="46"/>
      <c r="M29" s="46"/>
      <c r="N29" s="39"/>
      <c r="O29" s="39"/>
      <c r="P29" s="39"/>
      <c r="Q29" s="39"/>
      <c r="R29" s="39"/>
    </row>
    <row r="30" customFormat="false" ht="30" hidden="false" customHeight="false" outlineLevel="0" collapsed="false">
      <c r="A30" s="39" t="n">
        <v>85</v>
      </c>
      <c r="B30" s="39" t="n">
        <v>83</v>
      </c>
      <c r="C30" s="39" t="n">
        <v>160</v>
      </c>
      <c r="D30" s="39" t="s">
        <v>152</v>
      </c>
      <c r="E30" s="40" t="s">
        <v>129</v>
      </c>
      <c r="F30" s="41" t="s">
        <v>153</v>
      </c>
      <c r="G30" s="0" t="n">
        <v>321</v>
      </c>
      <c r="H30" s="39"/>
      <c r="I30" s="39"/>
      <c r="J30" s="39" t="n">
        <v>10</v>
      </c>
      <c r="K30" s="39" t="s">
        <v>154</v>
      </c>
      <c r="L30" s="39" t="n">
        <v>5</v>
      </c>
      <c r="M30" s="39" t="n">
        <v>6</v>
      </c>
      <c r="N30" s="39" t="s">
        <v>155</v>
      </c>
      <c r="O30" s="39"/>
      <c r="P30" s="39"/>
      <c r="Q30" s="39"/>
      <c r="R30" s="39"/>
    </row>
    <row r="31" customFormat="false" ht="30" hidden="false" customHeight="false" outlineLevel="0" collapsed="false">
      <c r="A31" s="39"/>
      <c r="B31" s="39"/>
      <c r="C31" s="39"/>
      <c r="D31" s="39"/>
      <c r="E31" s="42" t="s">
        <v>156</v>
      </c>
      <c r="F31" s="41" t="s">
        <v>157</v>
      </c>
      <c r="G31" s="41" t="n">
        <v>107</v>
      </c>
      <c r="H31" s="39"/>
      <c r="I31" s="39"/>
      <c r="J31" s="39"/>
      <c r="K31" s="39" t="s">
        <v>158</v>
      </c>
      <c r="L31" s="39" t="n">
        <v>2</v>
      </c>
      <c r="M31" s="39" t="n">
        <v>6</v>
      </c>
      <c r="N31" s="39" t="s">
        <v>155</v>
      </c>
      <c r="O31" s="39"/>
      <c r="P31" s="39"/>
      <c r="Q31" s="39"/>
      <c r="R31" s="39"/>
    </row>
    <row r="32" customFormat="false" ht="30" hidden="false" customHeight="false" outlineLevel="0" collapsed="false">
      <c r="A32" s="39"/>
      <c r="B32" s="39"/>
      <c r="C32" s="39"/>
      <c r="D32" s="39"/>
      <c r="E32" s="40" t="s">
        <v>159</v>
      </c>
      <c r="F32" s="41" t="s">
        <v>160</v>
      </c>
      <c r="G32" s="41" t="n">
        <v>224</v>
      </c>
      <c r="H32" s="39"/>
      <c r="I32" s="39"/>
      <c r="J32" s="39"/>
      <c r="K32" s="39" t="s">
        <v>161</v>
      </c>
      <c r="L32" s="39" t="n">
        <v>3</v>
      </c>
      <c r="M32" s="39" t="n">
        <v>12</v>
      </c>
      <c r="N32" s="39" t="s">
        <v>155</v>
      </c>
      <c r="O32" s="39"/>
      <c r="P32" s="39"/>
      <c r="Q32" s="39"/>
      <c r="R32" s="39"/>
    </row>
    <row r="33" customFormat="false" ht="15" hidden="false" customHeight="false" outlineLevel="0" collapsed="false">
      <c r="A33" s="39"/>
      <c r="B33" s="39"/>
      <c r="C33" s="39"/>
      <c r="D33" s="39"/>
      <c r="E33" s="42" t="s">
        <v>162</v>
      </c>
      <c r="F33" s="41" t="s">
        <v>163</v>
      </c>
      <c r="G33" s="41" t="n">
        <v>170</v>
      </c>
      <c r="H33" s="39"/>
      <c r="I33" s="39"/>
      <c r="J33" s="39"/>
      <c r="K33" s="39" t="s">
        <v>164</v>
      </c>
      <c r="L33" s="39" t="n">
        <v>4</v>
      </c>
      <c r="M33" s="39" t="n">
        <v>0</v>
      </c>
      <c r="N33" s="39" t="s">
        <v>155</v>
      </c>
      <c r="O33" s="39"/>
      <c r="P33" s="39"/>
      <c r="Q33" s="39"/>
      <c r="R33" s="39"/>
    </row>
    <row r="34" customFormat="false" ht="45" hidden="false" customHeight="false" outlineLevel="0" collapsed="false">
      <c r="A34" s="39"/>
      <c r="B34" s="39"/>
      <c r="C34" s="39"/>
      <c r="D34" s="39"/>
      <c r="E34" s="40" t="s">
        <v>135</v>
      </c>
      <c r="F34" s="41" t="s">
        <v>160</v>
      </c>
      <c r="G34" s="41" t="n">
        <v>224</v>
      </c>
      <c r="H34" s="39"/>
      <c r="I34" s="39"/>
      <c r="J34" s="39"/>
      <c r="K34" s="39" t="s">
        <v>165</v>
      </c>
      <c r="L34" s="39" t="n">
        <v>5</v>
      </c>
      <c r="M34" s="39" t="n">
        <v>0</v>
      </c>
      <c r="N34" s="39" t="s">
        <v>155</v>
      </c>
      <c r="O34" s="39"/>
      <c r="P34" s="39"/>
      <c r="Q34" s="39"/>
      <c r="R34" s="39"/>
    </row>
    <row r="35" customFormat="false" ht="15" hidden="false" customHeight="false" outlineLevel="0" collapsed="false">
      <c r="A35" s="39"/>
      <c r="B35" s="39"/>
      <c r="C35" s="39"/>
      <c r="D35" s="39"/>
      <c r="E35" s="42" t="s">
        <v>162</v>
      </c>
      <c r="F35" s="41" t="s">
        <v>160</v>
      </c>
      <c r="G35" s="41" t="n">
        <v>224</v>
      </c>
      <c r="H35" s="39"/>
      <c r="I35" s="39"/>
      <c r="J35" s="39"/>
      <c r="K35" s="39" t="s">
        <v>166</v>
      </c>
      <c r="L35" s="39" t="n">
        <v>4</v>
      </c>
      <c r="M35" s="39" t="n">
        <v>5</v>
      </c>
      <c r="N35" s="39" t="s">
        <v>155</v>
      </c>
      <c r="O35" s="39"/>
      <c r="P35" s="39"/>
      <c r="Q35" s="39"/>
      <c r="R35" s="39"/>
    </row>
    <row r="36" customFormat="false" ht="30" hidden="false" customHeight="false" outlineLevel="0" collapsed="false">
      <c r="A36" s="39"/>
      <c r="B36" s="39"/>
      <c r="C36" s="39"/>
      <c r="D36" s="39"/>
      <c r="E36" s="42" t="s">
        <v>140</v>
      </c>
      <c r="F36" s="41" t="s">
        <v>167</v>
      </c>
      <c r="G36" s="41" t="n">
        <v>98</v>
      </c>
      <c r="H36" s="39"/>
      <c r="I36" s="39"/>
      <c r="J36" s="39"/>
      <c r="K36" s="39" t="s">
        <v>168</v>
      </c>
      <c r="L36" s="39" t="n">
        <v>3</v>
      </c>
      <c r="M36" s="39" t="n">
        <v>15</v>
      </c>
      <c r="N36" s="39" t="s">
        <v>155</v>
      </c>
      <c r="O36" s="39"/>
      <c r="P36" s="39"/>
      <c r="Q36" s="39"/>
      <c r="R36" s="39"/>
    </row>
    <row r="37" customFormat="false" ht="30" hidden="false" customHeight="false" outlineLevel="0" collapsed="false">
      <c r="A37" s="39"/>
      <c r="B37" s="39"/>
      <c r="C37" s="39"/>
      <c r="D37" s="39"/>
      <c r="E37" s="42" t="s">
        <v>137</v>
      </c>
      <c r="F37" s="41" t="s">
        <v>167</v>
      </c>
      <c r="G37" s="41" t="n">
        <v>98</v>
      </c>
      <c r="H37" s="39"/>
      <c r="I37" s="39"/>
      <c r="J37" s="39"/>
      <c r="K37" s="39" t="n">
        <v>15</v>
      </c>
      <c r="L37" s="39" t="n">
        <v>7</v>
      </c>
      <c r="M37" s="39" t="n">
        <v>12</v>
      </c>
      <c r="N37" s="39" t="s">
        <v>155</v>
      </c>
      <c r="O37" s="39"/>
      <c r="P37" s="39"/>
      <c r="Q37" s="39"/>
      <c r="R37" s="39"/>
    </row>
    <row r="38" customFormat="false" ht="30" hidden="false" customHeight="false" outlineLevel="0" collapsed="false">
      <c r="A38" s="39"/>
      <c r="B38" s="39"/>
      <c r="C38" s="39"/>
      <c r="D38" s="39"/>
      <c r="E38" s="42" t="s">
        <v>142</v>
      </c>
      <c r="F38" s="41" t="s">
        <v>169</v>
      </c>
      <c r="G38" s="41" t="n">
        <v>106</v>
      </c>
      <c r="H38" s="39"/>
      <c r="I38" s="39"/>
      <c r="J38" s="39"/>
      <c r="K38" s="39" t="n">
        <v>17</v>
      </c>
      <c r="L38" s="39" t="n">
        <v>8</v>
      </c>
      <c r="M38" s="39" t="n">
        <v>0</v>
      </c>
      <c r="N38" s="39" t="s">
        <v>155</v>
      </c>
      <c r="O38" s="39"/>
      <c r="P38" s="39"/>
      <c r="Q38" s="39"/>
      <c r="R38" s="39"/>
    </row>
    <row r="39" customFormat="false" ht="45" hidden="false" customHeight="false" outlineLevel="0" collapsed="false">
      <c r="A39" s="39"/>
      <c r="B39" s="39"/>
      <c r="C39" s="39"/>
      <c r="D39" s="39"/>
      <c r="E39" s="42" t="s">
        <v>170</v>
      </c>
      <c r="F39" s="41" t="s">
        <v>171</v>
      </c>
      <c r="G39" s="41" t="n">
        <v>70</v>
      </c>
      <c r="H39" s="39"/>
      <c r="I39" s="39"/>
      <c r="J39" s="39"/>
      <c r="K39" s="39" t="n">
        <v>18</v>
      </c>
      <c r="L39" s="39" t="n">
        <v>8</v>
      </c>
      <c r="M39" s="39" t="n">
        <v>0</v>
      </c>
      <c r="N39" s="39" t="s">
        <v>155</v>
      </c>
      <c r="O39" s="39"/>
      <c r="P39" s="39"/>
      <c r="Q39" s="39"/>
      <c r="R39" s="39"/>
    </row>
    <row r="40" customFormat="false" ht="18.75" hidden="false" customHeight="false" outlineLevel="0" collapsed="false">
      <c r="A40" s="39"/>
      <c r="B40" s="39"/>
      <c r="C40" s="39"/>
      <c r="D40" s="39"/>
      <c r="E40" s="42" t="s">
        <v>12</v>
      </c>
      <c r="F40" s="41" t="s">
        <v>12</v>
      </c>
      <c r="G40" s="48" t="n">
        <f aca="false">SUM(G30:G39)</f>
        <v>1642</v>
      </c>
      <c r="H40" s="39"/>
      <c r="I40" s="39"/>
      <c r="J40" s="39"/>
      <c r="K40" s="39"/>
      <c r="L40" s="46" t="n">
        <f aca="false">SUM(L30:L39)+2</f>
        <v>51</v>
      </c>
      <c r="M40" s="46" t="n">
        <f aca="false">SUM(M30:M39)-40</f>
        <v>16</v>
      </c>
      <c r="N40" s="39"/>
      <c r="O40" s="39"/>
      <c r="P40" s="39"/>
      <c r="Q40" s="39"/>
      <c r="R40" s="39"/>
    </row>
    <row r="41" customFormat="false" ht="15.75" hidden="false" customHeight="false" outlineLevel="0" collapsed="false">
      <c r="A41" s="39"/>
      <c r="B41" s="39"/>
      <c r="C41" s="39"/>
      <c r="D41" s="39"/>
      <c r="E41" s="49" t="s">
        <v>172</v>
      </c>
      <c r="F41" s="41"/>
      <c r="G41" s="41" t="n">
        <v>1347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</row>
    <row r="42" customFormat="false" ht="15" hidden="false" customHeight="false" outlineLevel="0" collapsed="false">
      <c r="A42" s="39"/>
      <c r="B42" s="39"/>
      <c r="C42" s="39"/>
      <c r="D42" s="39"/>
      <c r="E42" s="42"/>
      <c r="F42" s="41" t="n">
        <f aca="false">G36+G31</f>
        <v>205</v>
      </c>
      <c r="G42" s="41" t="n">
        <f aca="false">G40-G41</f>
        <v>295</v>
      </c>
      <c r="H42" s="39" t="s">
        <v>173</v>
      </c>
      <c r="I42" s="39"/>
      <c r="J42" s="39" t="n">
        <v>10</v>
      </c>
      <c r="K42" s="39" t="s">
        <v>165</v>
      </c>
      <c r="L42" s="39" t="n">
        <v>3</v>
      </c>
      <c r="M42" s="39" t="n">
        <v>0</v>
      </c>
      <c r="N42" s="39" t="s">
        <v>155</v>
      </c>
      <c r="O42" s="39"/>
      <c r="P42" s="39"/>
      <c r="Q42" s="39"/>
      <c r="R42" s="39"/>
    </row>
    <row r="43" customFormat="false" ht="15" hidden="false" customHeight="false" outlineLevel="0" collapsed="false">
      <c r="A43" s="39"/>
      <c r="B43" s="39"/>
      <c r="C43" s="39"/>
      <c r="D43" s="39"/>
      <c r="E43" s="42"/>
      <c r="F43" s="41"/>
      <c r="G43" s="41"/>
      <c r="H43" s="39"/>
      <c r="I43" s="39"/>
      <c r="J43" s="39"/>
      <c r="K43" s="39" t="n">
        <v>13</v>
      </c>
      <c r="L43" s="39" t="n">
        <v>8</v>
      </c>
      <c r="M43" s="39" t="n">
        <v>0</v>
      </c>
      <c r="N43" s="39" t="s">
        <v>155</v>
      </c>
      <c r="O43" s="39"/>
      <c r="P43" s="39"/>
      <c r="Q43" s="39"/>
      <c r="R43" s="39"/>
    </row>
    <row r="44" customFormat="false" ht="15" hidden="false" customHeight="false" outlineLevel="0" collapsed="false">
      <c r="A44" s="39"/>
      <c r="B44" s="39"/>
      <c r="C44" s="39"/>
      <c r="D44" s="39"/>
      <c r="E44" s="42"/>
      <c r="F44" s="41"/>
      <c r="G44" s="41"/>
      <c r="H44" s="39"/>
      <c r="I44" s="39"/>
      <c r="J44" s="39"/>
      <c r="K44" s="39"/>
      <c r="L44" s="50" t="s">
        <v>12</v>
      </c>
      <c r="M44" s="50" t="s">
        <v>12</v>
      </c>
      <c r="N44" s="39"/>
      <c r="O44" s="39"/>
      <c r="P44" s="39"/>
      <c r="Q44" s="39"/>
      <c r="R44" s="39"/>
    </row>
    <row r="45" customFormat="false" ht="15" hidden="false" customHeight="false" outlineLevel="0" collapsed="false">
      <c r="A45" s="39"/>
      <c r="B45" s="39"/>
      <c r="C45" s="39"/>
      <c r="D45" s="39"/>
      <c r="E45" s="42"/>
      <c r="F45" s="41"/>
      <c r="G45" s="41"/>
      <c r="H45" s="39" t="s">
        <v>174</v>
      </c>
      <c r="I45" s="39"/>
      <c r="J45" s="39" t="n">
        <v>10</v>
      </c>
      <c r="K45" s="39" t="s">
        <v>175</v>
      </c>
      <c r="L45" s="39" t="n">
        <v>1</v>
      </c>
      <c r="M45" s="39" t="n">
        <v>19</v>
      </c>
      <c r="N45" s="39" t="s">
        <v>155</v>
      </c>
      <c r="O45" s="39"/>
      <c r="P45" s="39"/>
      <c r="Q45" s="39"/>
      <c r="R45" s="39"/>
    </row>
    <row r="46" customFormat="false" ht="15" hidden="false" customHeight="false" outlineLevel="0" collapsed="false">
      <c r="A46" s="39"/>
      <c r="B46" s="39"/>
      <c r="C46" s="39"/>
      <c r="D46" s="39"/>
      <c r="E46" s="42"/>
      <c r="F46" s="41"/>
      <c r="G46" s="41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</row>
    <row r="47" customFormat="false" ht="15" hidden="false" customHeight="false" outlineLevel="0" collapsed="false">
      <c r="A47" s="39"/>
      <c r="B47" s="39"/>
      <c r="C47" s="39"/>
      <c r="D47" s="39"/>
      <c r="E47" s="42"/>
      <c r="F47" s="41"/>
      <c r="G47" s="41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</row>
    <row r="48" customFormat="false" ht="15" hidden="false" customHeight="false" outlineLevel="0" collapsed="false">
      <c r="A48" s="39"/>
      <c r="B48" s="39"/>
      <c r="C48" s="39"/>
      <c r="D48" s="39"/>
      <c r="E48" s="42"/>
      <c r="F48" s="41"/>
      <c r="G48" s="41"/>
      <c r="H48" s="39" t="s">
        <v>170</v>
      </c>
      <c r="I48" s="39"/>
      <c r="J48" s="39" t="n">
        <v>10</v>
      </c>
      <c r="K48" s="39" t="s">
        <v>175</v>
      </c>
      <c r="L48" s="39" t="n">
        <v>2</v>
      </c>
      <c r="M48" s="39" t="n">
        <v>12</v>
      </c>
      <c r="N48" s="39" t="s">
        <v>155</v>
      </c>
      <c r="O48" s="39"/>
      <c r="P48" s="39"/>
      <c r="Q48" s="39"/>
      <c r="R48" s="39"/>
    </row>
    <row r="49" customFormat="false" ht="15" hidden="false" customHeight="false" outlineLevel="0" collapsed="false">
      <c r="A49" s="39"/>
      <c r="B49" s="39"/>
      <c r="C49" s="39"/>
      <c r="D49" s="39"/>
      <c r="E49" s="42"/>
      <c r="F49" s="41"/>
      <c r="G49" s="41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</row>
    <row r="50" customFormat="false" ht="18.75" hidden="false" customHeight="false" outlineLevel="0" collapsed="false">
      <c r="A50" s="39"/>
      <c r="B50" s="39"/>
      <c r="C50" s="39"/>
      <c r="D50" s="39"/>
      <c r="E50" s="42"/>
      <c r="F50" s="41"/>
      <c r="G50" s="41"/>
      <c r="H50" s="39"/>
      <c r="I50" s="46" t="s">
        <v>151</v>
      </c>
      <c r="J50" s="39"/>
      <c r="K50" s="39"/>
      <c r="L50" s="51" t="n">
        <f aca="false">SUM(L40:L49)+2</f>
        <v>67</v>
      </c>
      <c r="M50" s="51" t="n">
        <f aca="false">SUM(M40:M49)-40</f>
        <v>7</v>
      </c>
      <c r="N50" s="39"/>
      <c r="O50" s="39"/>
      <c r="P50" s="39"/>
      <c r="Q50" s="39"/>
      <c r="R50" s="39"/>
    </row>
    <row r="51" customFormat="false" ht="15" hidden="false" customHeight="false" outlineLevel="0" collapsed="false">
      <c r="A51" s="39"/>
      <c r="B51" s="39"/>
      <c r="C51" s="39"/>
      <c r="D51" s="39"/>
      <c r="E51" s="42"/>
      <c r="F51" s="41"/>
      <c r="G51" s="41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</row>
    <row r="52" customFormat="false" ht="18.75" hidden="false" customHeight="false" outlineLevel="0" collapsed="false">
      <c r="A52" s="39"/>
      <c r="B52" s="39"/>
      <c r="C52" s="39"/>
      <c r="D52" s="39"/>
      <c r="E52" s="42"/>
      <c r="F52" s="41"/>
      <c r="G52" s="41"/>
      <c r="H52" s="39"/>
      <c r="I52" s="39"/>
      <c r="J52" s="39"/>
      <c r="K52" s="39" t="s">
        <v>123</v>
      </c>
      <c r="L52" s="46" t="n">
        <f aca="false">L50*20+M50</f>
        <v>1347</v>
      </c>
      <c r="M52" s="39"/>
      <c r="N52" s="39" t="n">
        <f aca="false">321+224</f>
        <v>545</v>
      </c>
      <c r="O52" s="39"/>
      <c r="P52" s="39"/>
      <c r="Q52" s="39"/>
      <c r="R52" s="39"/>
      <c r="S52" s="0" t="n">
        <f aca="false">545/4</f>
        <v>136.25</v>
      </c>
    </row>
    <row r="53" customFormat="false" ht="15" hidden="false" customHeight="false" outlineLevel="0" collapsed="false">
      <c r="A53" s="39"/>
      <c r="B53" s="39"/>
      <c r="C53" s="39"/>
      <c r="D53" s="39"/>
      <c r="E53" s="42"/>
      <c r="F53" s="41"/>
      <c r="G53" s="41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customFormat="false" ht="15" hidden="false" customHeight="false" outlineLevel="0" collapsed="false">
      <c r="A54" s="39"/>
      <c r="B54" s="39"/>
      <c r="C54" s="39"/>
      <c r="D54" s="39"/>
      <c r="E54" s="42"/>
      <c r="F54" s="41"/>
      <c r="G54" s="41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  <row r="55" customFormat="false" ht="15" hidden="false" customHeight="false" outlineLevel="0" collapsed="false">
      <c r="A55" s="50" t="n">
        <v>187</v>
      </c>
      <c r="B55" s="50" t="n">
        <v>176</v>
      </c>
      <c r="C55" s="50" t="n">
        <v>343</v>
      </c>
      <c r="D55" s="50" t="s">
        <v>176</v>
      </c>
      <c r="E55" s="40" t="s">
        <v>177</v>
      </c>
      <c r="F55" s="41" t="s">
        <v>178</v>
      </c>
      <c r="G55" s="41" t="n">
        <f aca="false">35*3</f>
        <v>105</v>
      </c>
      <c r="H55" s="39"/>
      <c r="I55" s="39"/>
      <c r="J55" s="39" t="n">
        <v>12</v>
      </c>
      <c r="K55" s="39" t="n">
        <v>3</v>
      </c>
      <c r="L55" s="39" t="n">
        <v>8</v>
      </c>
      <c r="M55" s="39" t="n">
        <v>0</v>
      </c>
      <c r="N55" s="39"/>
      <c r="O55" s="39"/>
      <c r="P55" s="39"/>
      <c r="Q55" s="39"/>
      <c r="R55" s="39"/>
    </row>
    <row r="56" customFormat="false" ht="30" hidden="false" customHeight="false" outlineLevel="0" collapsed="false">
      <c r="A56" s="39"/>
      <c r="B56" s="39"/>
      <c r="C56" s="39"/>
      <c r="D56" s="39"/>
      <c r="E56" s="42" t="s">
        <v>142</v>
      </c>
      <c r="F56" s="41" t="s">
        <v>179</v>
      </c>
      <c r="G56" s="41" t="n">
        <v>35</v>
      </c>
      <c r="H56" s="39"/>
      <c r="I56" s="39"/>
      <c r="J56" s="39"/>
      <c r="K56" s="39" t="s">
        <v>180</v>
      </c>
      <c r="L56" s="39" t="n">
        <v>4</v>
      </c>
      <c r="M56" s="39" t="n">
        <v>4</v>
      </c>
      <c r="N56" s="39"/>
      <c r="O56" s="39"/>
      <c r="P56" s="39"/>
      <c r="Q56" s="39"/>
      <c r="R56" s="39"/>
    </row>
    <row r="57" customFormat="false" ht="30" hidden="false" customHeight="false" outlineLevel="0" collapsed="false">
      <c r="A57" s="39"/>
      <c r="B57" s="39"/>
      <c r="C57" s="39"/>
      <c r="D57" s="39"/>
      <c r="E57" s="42" t="s">
        <v>144</v>
      </c>
      <c r="F57" s="41" t="s">
        <v>181</v>
      </c>
      <c r="G57" s="41" t="n">
        <f aca="false">4*3</f>
        <v>12</v>
      </c>
      <c r="H57" s="39"/>
      <c r="I57" s="39"/>
      <c r="J57" s="39"/>
      <c r="K57" s="39"/>
      <c r="L57" s="50" t="n">
        <f aca="false">SUM(L55:L56)</f>
        <v>12</v>
      </c>
      <c r="M57" s="50" t="n">
        <f aca="false">SUM(M55:M56)</f>
        <v>4</v>
      </c>
      <c r="N57" s="39"/>
      <c r="O57" s="39"/>
      <c r="P57" s="39"/>
      <c r="Q57" s="39"/>
      <c r="R57" s="39"/>
    </row>
    <row r="58" customFormat="false" ht="30" hidden="false" customHeight="false" outlineLevel="0" collapsed="false">
      <c r="A58" s="39"/>
      <c r="B58" s="39"/>
      <c r="C58" s="39"/>
      <c r="D58" s="39"/>
      <c r="E58" s="42" t="s">
        <v>146</v>
      </c>
      <c r="F58" s="41" t="s">
        <v>182</v>
      </c>
      <c r="G58" s="41" t="n">
        <v>23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</row>
    <row r="59" customFormat="false" ht="30" hidden="false" customHeight="false" outlineLevel="0" collapsed="false">
      <c r="A59" s="39"/>
      <c r="B59" s="39"/>
      <c r="C59" s="39"/>
      <c r="D59" s="39"/>
      <c r="E59" s="42" t="s">
        <v>183</v>
      </c>
      <c r="F59" s="41" t="s">
        <v>184</v>
      </c>
      <c r="G59" s="41" t="n">
        <v>122</v>
      </c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</row>
    <row r="60" customFormat="false" ht="15" hidden="false" customHeight="false" outlineLevel="0" collapsed="false">
      <c r="A60" s="39"/>
      <c r="B60" s="39"/>
      <c r="C60" s="39"/>
      <c r="D60" s="39"/>
      <c r="E60" s="42"/>
      <c r="F60" s="41"/>
      <c r="G60" s="48" t="n">
        <f aca="false">SUM(G55:G59)</f>
        <v>297</v>
      </c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</row>
    <row r="61" customFormat="false" ht="15" hidden="false" customHeight="false" outlineLevel="0" collapsed="false">
      <c r="A61" s="39"/>
      <c r="B61" s="39"/>
      <c r="C61" s="39"/>
      <c r="D61" s="39"/>
      <c r="E61" s="42"/>
      <c r="F61" s="41"/>
      <c r="G61" s="41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</row>
    <row r="62" customFormat="false" ht="15" hidden="false" customHeight="false" outlineLevel="0" collapsed="false">
      <c r="A62" s="39"/>
      <c r="B62" s="39"/>
      <c r="C62" s="39"/>
      <c r="D62" s="39"/>
      <c r="E62" s="42"/>
      <c r="F62" s="41"/>
      <c r="G62" s="41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</row>
    <row r="63" customFormat="false" ht="15" hidden="false" customHeight="false" outlineLevel="0" collapsed="false">
      <c r="A63" s="39"/>
      <c r="B63" s="39"/>
      <c r="C63" s="39" t="n">
        <v>344</v>
      </c>
      <c r="D63" s="39"/>
      <c r="E63" s="42"/>
      <c r="F63" s="41"/>
      <c r="G63" s="41"/>
      <c r="H63" s="39" t="s">
        <v>185</v>
      </c>
      <c r="I63" s="39"/>
      <c r="J63" s="39" t="n">
        <v>11</v>
      </c>
      <c r="K63" s="39" t="n">
        <v>5</v>
      </c>
      <c r="L63" s="39" t="n">
        <v>1</v>
      </c>
      <c r="M63" s="39" t="n">
        <v>12</v>
      </c>
      <c r="N63" s="39"/>
      <c r="O63" s="39"/>
      <c r="P63" s="39"/>
      <c r="Q63" s="39"/>
      <c r="R63" s="39"/>
    </row>
    <row r="64" customFormat="false" ht="15" hidden="false" customHeight="false" outlineLevel="0" collapsed="false">
      <c r="A64" s="39"/>
      <c r="B64" s="39"/>
      <c r="C64" s="39"/>
      <c r="D64" s="39"/>
      <c r="E64" s="42"/>
      <c r="F64" s="41"/>
      <c r="G64" s="41"/>
      <c r="H64" s="39"/>
      <c r="I64" s="39"/>
      <c r="J64" s="39" t="n">
        <v>12</v>
      </c>
      <c r="K64" s="39" t="n">
        <v>1</v>
      </c>
      <c r="L64" s="39" t="n">
        <v>7</v>
      </c>
      <c r="M64" s="39" t="n">
        <v>18</v>
      </c>
      <c r="N64" s="39"/>
      <c r="O64" s="39"/>
      <c r="P64" s="39"/>
      <c r="Q64" s="39"/>
      <c r="R64" s="39"/>
    </row>
    <row r="65" customFormat="false" ht="15" hidden="false" customHeight="false" outlineLevel="0" collapsed="false">
      <c r="A65" s="39"/>
      <c r="B65" s="39"/>
      <c r="C65" s="39"/>
      <c r="D65" s="39"/>
      <c r="E65" s="42"/>
      <c r="F65" s="41"/>
      <c r="G65" s="41"/>
      <c r="H65" s="39"/>
      <c r="I65" s="39"/>
      <c r="J65" s="39"/>
      <c r="K65" s="39" t="n">
        <v>2</v>
      </c>
      <c r="L65" s="39" t="n">
        <v>8</v>
      </c>
      <c r="M65" s="39" t="n">
        <v>0</v>
      </c>
      <c r="N65" s="39"/>
      <c r="O65" s="39"/>
      <c r="P65" s="39"/>
      <c r="Q65" s="39"/>
      <c r="R65" s="39"/>
    </row>
    <row r="66" customFormat="false" ht="15" hidden="false" customHeight="false" outlineLevel="0" collapsed="false">
      <c r="A66" s="39"/>
      <c r="B66" s="39"/>
      <c r="C66" s="39"/>
      <c r="D66" s="39"/>
      <c r="E66" s="42"/>
      <c r="F66" s="41"/>
      <c r="G66" s="41"/>
      <c r="H66" s="39"/>
      <c r="I66" s="39"/>
      <c r="J66" s="39"/>
      <c r="K66" s="39"/>
      <c r="L66" s="50" t="n">
        <f aca="false">SUM(L63:L65)+1</f>
        <v>17</v>
      </c>
      <c r="M66" s="50" t="n">
        <f aca="false">SUM(M63:M65)-20</f>
        <v>10</v>
      </c>
      <c r="N66" s="39"/>
      <c r="O66" s="39"/>
      <c r="P66" s="39"/>
      <c r="Q66" s="39"/>
      <c r="R66" s="39"/>
    </row>
    <row r="67" customFormat="false" ht="15" hidden="false" customHeight="false" outlineLevel="0" collapsed="false">
      <c r="A67" s="39"/>
      <c r="B67" s="39"/>
      <c r="C67" s="39"/>
      <c r="D67" s="39"/>
      <c r="E67" s="42"/>
      <c r="F67" s="41"/>
      <c r="G67" s="41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</row>
    <row r="68" customFormat="false" ht="18.75" hidden="false" customHeight="false" outlineLevel="0" collapsed="false">
      <c r="A68" s="39"/>
      <c r="B68" s="39"/>
      <c r="C68" s="39"/>
      <c r="D68" s="39"/>
      <c r="E68" s="42"/>
      <c r="F68" s="41"/>
      <c r="G68" s="41"/>
      <c r="H68" s="39"/>
      <c r="I68" s="46" t="s">
        <v>151</v>
      </c>
      <c r="J68" s="39"/>
      <c r="K68" s="39"/>
      <c r="L68" s="51" t="n">
        <f aca="false">L57+L66</f>
        <v>29</v>
      </c>
      <c r="M68" s="51" t="n">
        <f aca="false">M57+M66</f>
        <v>14</v>
      </c>
      <c r="N68" s="39"/>
      <c r="O68" s="39"/>
      <c r="P68" s="39"/>
      <c r="Q68" s="39"/>
      <c r="R68" s="39"/>
    </row>
    <row r="69" customFormat="false" ht="15" hidden="false" customHeight="false" outlineLevel="0" collapsed="false">
      <c r="A69" s="39"/>
      <c r="B69" s="39"/>
      <c r="C69" s="39"/>
      <c r="D69" s="39"/>
      <c r="E69" s="42"/>
      <c r="F69" s="41"/>
      <c r="G69" s="41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</row>
    <row r="70" customFormat="false" ht="15" hidden="false" customHeight="false" outlineLevel="0" collapsed="false">
      <c r="A70" s="39"/>
      <c r="B70" s="39"/>
      <c r="C70" s="39"/>
      <c r="D70" s="39"/>
      <c r="E70" s="42"/>
      <c r="F70" s="41"/>
      <c r="G70" s="41"/>
      <c r="H70" s="39"/>
      <c r="I70" s="39"/>
      <c r="J70" s="39" t="s">
        <v>123</v>
      </c>
      <c r="K70" s="39"/>
      <c r="L70" s="39" t="n">
        <f aca="false">L68*20+M68</f>
        <v>594</v>
      </c>
      <c r="M70" s="39"/>
      <c r="N70" s="39" t="n">
        <v>105</v>
      </c>
      <c r="O70" s="39"/>
      <c r="P70" s="39"/>
      <c r="Q70" s="39"/>
      <c r="R70" s="39"/>
      <c r="S70" s="0" t="n">
        <f aca="false">N70/4</f>
        <v>26.25</v>
      </c>
    </row>
    <row r="71" customFormat="false" ht="15" hidden="false" customHeight="false" outlineLevel="0" collapsed="false">
      <c r="A71" s="39"/>
      <c r="B71" s="39"/>
      <c r="C71" s="39"/>
      <c r="D71" s="39"/>
      <c r="E71" s="42"/>
      <c r="F71" s="41"/>
      <c r="G71" s="41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</row>
    <row r="72" customFormat="false" ht="15" hidden="false" customHeight="false" outlineLevel="0" collapsed="false">
      <c r="A72" s="39"/>
      <c r="B72" s="39"/>
      <c r="C72" s="39"/>
      <c r="D72" s="39"/>
      <c r="E72" s="39"/>
      <c r="F72" s="41"/>
      <c r="G72" s="41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</row>
    <row r="73" customFormat="false" ht="15" hidden="false" customHeight="false" outlineLevel="0" collapsed="false">
      <c r="A73" s="39"/>
      <c r="B73" s="39"/>
      <c r="C73" s="39"/>
      <c r="D73" s="39"/>
      <c r="E73" s="39"/>
      <c r="F73" s="41"/>
      <c r="G73" s="41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</row>
    <row r="74" customFormat="false" ht="26.25" hidden="false" customHeight="false" outlineLevel="0" collapsed="false">
      <c r="A74" s="39" t="n">
        <v>188</v>
      </c>
      <c r="B74" s="52" t="s">
        <v>186</v>
      </c>
      <c r="C74" s="39" t="n">
        <v>345</v>
      </c>
      <c r="D74" s="39"/>
      <c r="E74" s="53" t="s">
        <v>187</v>
      </c>
      <c r="F74" s="54" t="s">
        <v>188</v>
      </c>
      <c r="G74" s="53"/>
      <c r="H74" s="53" t="n">
        <v>0</v>
      </c>
      <c r="I74" s="53" t="n">
        <v>9</v>
      </c>
      <c r="J74" s="39"/>
      <c r="K74" s="39"/>
      <c r="L74" s="39"/>
      <c r="M74" s="39"/>
      <c r="N74" s="39"/>
      <c r="O74" s="39"/>
      <c r="P74" s="39"/>
      <c r="Q74" s="39"/>
      <c r="R74" s="39"/>
    </row>
    <row r="75" customFormat="false" ht="26.25" hidden="false" customHeight="false" outlineLevel="0" collapsed="false">
      <c r="A75" s="39"/>
      <c r="B75" s="39"/>
      <c r="C75" s="39"/>
      <c r="D75" s="39"/>
      <c r="E75" s="55" t="s">
        <v>189</v>
      </c>
      <c r="F75" s="56" t="s">
        <v>188</v>
      </c>
      <c r="G75" s="55"/>
      <c r="H75" s="55" t="n">
        <v>1</v>
      </c>
      <c r="I75" s="55" t="n">
        <v>16</v>
      </c>
      <c r="J75" s="39"/>
      <c r="K75" s="39"/>
      <c r="L75" s="39"/>
      <c r="M75" s="39"/>
      <c r="N75" s="39"/>
      <c r="O75" s="39"/>
      <c r="P75" s="39"/>
      <c r="Q75" s="39"/>
      <c r="R75" s="39"/>
    </row>
    <row r="76" customFormat="false" ht="26.25" hidden="false" customHeight="false" outlineLevel="0" collapsed="false">
      <c r="A76" s="39"/>
      <c r="B76" s="39"/>
      <c r="C76" s="39"/>
      <c r="D76" s="39"/>
      <c r="E76" s="53" t="s">
        <v>190</v>
      </c>
      <c r="F76" s="54" t="s">
        <v>191</v>
      </c>
      <c r="G76" s="53"/>
      <c r="H76" s="53" t="n">
        <v>0</v>
      </c>
      <c r="I76" s="53" t="n">
        <v>5</v>
      </c>
      <c r="J76" s="39"/>
      <c r="K76" s="39"/>
      <c r="L76" s="39"/>
      <c r="M76" s="39"/>
      <c r="N76" s="39"/>
      <c r="O76" s="39"/>
      <c r="P76" s="39"/>
      <c r="Q76" s="39"/>
      <c r="R76" s="39"/>
    </row>
    <row r="77" customFormat="false" ht="15" hidden="false" customHeight="false" outlineLevel="0" collapsed="false">
      <c r="A77" s="39"/>
      <c r="B77" s="39"/>
      <c r="C77" s="39"/>
      <c r="D77" s="39"/>
      <c r="E77" s="39"/>
      <c r="F77" s="41"/>
      <c r="G77" s="41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</row>
    <row r="78" customFormat="false" ht="15" hidden="false" customHeight="false" outlineLevel="0" collapsed="false">
      <c r="A78" s="39"/>
      <c r="B78" s="39"/>
      <c r="C78" s="39"/>
      <c r="D78" s="39"/>
      <c r="E78" s="39"/>
      <c r="F78" s="41"/>
      <c r="G78" s="41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</row>
    <row r="79" customFormat="false" ht="18.75" hidden="false" customHeight="false" outlineLevel="0" collapsed="false">
      <c r="A79" s="39"/>
      <c r="B79" s="39"/>
      <c r="C79" s="39"/>
      <c r="D79" s="39"/>
      <c r="E79" s="39"/>
      <c r="F79" s="41"/>
      <c r="G79" s="41"/>
      <c r="H79" s="39"/>
      <c r="I79" s="46" t="s">
        <v>151</v>
      </c>
      <c r="J79" s="39"/>
      <c r="K79" s="39"/>
      <c r="L79" s="51" t="n">
        <v>2</v>
      </c>
      <c r="M79" s="51" t="n">
        <v>10</v>
      </c>
      <c r="N79" s="39"/>
      <c r="O79" s="39"/>
      <c r="P79" s="39"/>
      <c r="Q79" s="39"/>
      <c r="R79" s="39"/>
    </row>
    <row r="80" customFormat="false" ht="15" hidden="false" customHeight="false" outlineLevel="0" collapsed="false">
      <c r="A80" s="39"/>
      <c r="B80" s="39"/>
      <c r="C80" s="39"/>
      <c r="D80" s="39"/>
      <c r="E80" s="39"/>
      <c r="F80" s="41"/>
      <c r="G80" s="41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</row>
    <row r="81" customFormat="false" ht="15" hidden="false" customHeight="false" outlineLevel="0" collapsed="false">
      <c r="A81" s="39"/>
      <c r="B81" s="39"/>
      <c r="C81" s="39"/>
      <c r="D81" s="39"/>
      <c r="E81" s="39"/>
      <c r="F81" s="41"/>
      <c r="G81" s="41"/>
      <c r="H81" s="39"/>
      <c r="I81" s="39"/>
      <c r="J81" s="39" t="s">
        <v>123</v>
      </c>
      <c r="K81" s="39"/>
      <c r="L81" s="39" t="n">
        <f aca="false">L79*20+M79</f>
        <v>50</v>
      </c>
      <c r="M81" s="39"/>
      <c r="N81" s="39" t="n">
        <v>105</v>
      </c>
      <c r="O81" s="39"/>
      <c r="P81" s="39"/>
      <c r="Q81" s="39"/>
      <c r="R81" s="39"/>
      <c r="S81" s="0" t="n">
        <f aca="false">N81/4</f>
        <v>26.25</v>
      </c>
    </row>
    <row r="82" customFormat="false" ht="15" hidden="false" customHeight="false" outlineLevel="0" collapsed="false">
      <c r="A82" s="39"/>
      <c r="B82" s="39"/>
      <c r="C82" s="39"/>
      <c r="D82" s="39"/>
      <c r="E82" s="39"/>
      <c r="F82" s="41"/>
      <c r="G82" s="41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</row>
    <row r="83" customFormat="false" ht="15" hidden="false" customHeight="false" outlineLevel="0" collapsed="false">
      <c r="A83" s="39"/>
      <c r="B83" s="39"/>
      <c r="C83" s="39"/>
      <c r="D83" s="39"/>
      <c r="E83" s="39"/>
      <c r="F83" s="41"/>
      <c r="G83" s="41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</row>
    <row r="84" customFormat="false" ht="15" hidden="false" customHeight="false" outlineLevel="0" collapsed="false">
      <c r="A84" s="39"/>
      <c r="B84" s="39"/>
      <c r="C84" s="39"/>
      <c r="D84" s="39"/>
      <c r="E84" s="39"/>
      <c r="F84" s="41"/>
      <c r="G84" s="41"/>
      <c r="H84" s="39"/>
      <c r="I84" s="39"/>
      <c r="J84" s="39"/>
      <c r="K84" s="39" t="n">
        <v>342</v>
      </c>
      <c r="L84" s="39" t="n">
        <v>0</v>
      </c>
      <c r="M84" s="39" t="n">
        <v>3</v>
      </c>
      <c r="N84" s="39"/>
      <c r="O84" s="39"/>
      <c r="P84" s="39"/>
      <c r="Q84" s="39"/>
      <c r="R84" s="39"/>
    </row>
    <row r="85" customFormat="false" ht="15" hidden="false" customHeight="false" outlineLevel="0" collapsed="false">
      <c r="A85" s="39"/>
      <c r="B85" s="39"/>
      <c r="C85" s="39"/>
      <c r="D85" s="39"/>
      <c r="E85" s="39"/>
      <c r="F85" s="41"/>
      <c r="G85" s="41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customFormat="false" ht="15" hidden="false" customHeight="false" outlineLevel="0" collapsed="false">
      <c r="A86" s="39"/>
      <c r="B86" s="39"/>
      <c r="C86" s="39"/>
      <c r="D86" s="39"/>
      <c r="E86" s="39"/>
      <c r="F86" s="41"/>
      <c r="G86" s="41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</row>
    <row r="87" customFormat="false" ht="18.75" hidden="false" customHeight="false" outlineLevel="0" collapsed="false">
      <c r="A87" s="39" t="n">
        <v>83</v>
      </c>
      <c r="B87" s="52" t="s">
        <v>186</v>
      </c>
      <c r="C87" s="39" t="n">
        <v>154</v>
      </c>
      <c r="D87" s="39"/>
      <c r="E87" s="39" t="s">
        <v>192</v>
      </c>
      <c r="F87" s="41" t="s">
        <v>193</v>
      </c>
      <c r="G87" s="41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</row>
    <row r="88" customFormat="false" ht="15" hidden="false" customHeight="false" outlineLevel="0" collapsed="false">
      <c r="A88" s="39"/>
      <c r="B88" s="39"/>
      <c r="C88" s="39"/>
      <c r="D88" s="39"/>
      <c r="E88" s="39"/>
      <c r="F88" s="41"/>
      <c r="G88" s="41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</row>
    <row r="89" customFormat="false" ht="15" hidden="false" customHeight="false" outlineLevel="0" collapsed="false">
      <c r="A89" s="39"/>
      <c r="B89" s="39"/>
      <c r="C89" s="39"/>
      <c r="D89" s="39"/>
      <c r="E89" s="39"/>
      <c r="F89" s="41"/>
      <c r="G89" s="41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</row>
    <row r="90" customFormat="false" ht="18.75" hidden="false" customHeight="false" outlineLevel="0" collapsed="false">
      <c r="A90" s="39"/>
      <c r="B90" s="39"/>
      <c r="C90" s="39"/>
      <c r="D90" s="39"/>
      <c r="E90" s="39"/>
      <c r="F90" s="41"/>
      <c r="G90" s="41"/>
      <c r="H90" s="39"/>
      <c r="I90" s="46" t="s">
        <v>151</v>
      </c>
      <c r="J90" s="39"/>
      <c r="K90" s="39"/>
      <c r="L90" s="51" t="n">
        <v>81</v>
      </c>
      <c r="M90" s="51" t="n">
        <v>18</v>
      </c>
      <c r="N90" s="39"/>
      <c r="O90" s="39"/>
      <c r="P90" s="39"/>
      <c r="Q90" s="39"/>
      <c r="R90" s="39"/>
    </row>
    <row r="91" customFormat="false" ht="15" hidden="false" customHeight="false" outlineLevel="0" collapsed="false">
      <c r="A91" s="39"/>
      <c r="B91" s="39"/>
      <c r="C91" s="39"/>
      <c r="D91" s="39"/>
      <c r="E91" s="39"/>
      <c r="F91" s="41"/>
      <c r="G91" s="41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</row>
    <row r="92" customFormat="false" ht="15" hidden="false" customHeight="false" outlineLevel="0" collapsed="false">
      <c r="A92" s="39"/>
      <c r="B92" s="39"/>
      <c r="C92" s="39"/>
      <c r="D92" s="39"/>
      <c r="E92" s="39"/>
      <c r="F92" s="41"/>
      <c r="G92" s="41"/>
      <c r="H92" s="39"/>
      <c r="I92" s="39"/>
      <c r="J92" s="39" t="s">
        <v>123</v>
      </c>
      <c r="K92" s="39"/>
      <c r="L92" s="39" t="n">
        <f aca="false">L90*20+M90</f>
        <v>1638</v>
      </c>
      <c r="M92" s="39"/>
      <c r="N92" s="39" t="n">
        <v>1175</v>
      </c>
      <c r="O92" s="39"/>
      <c r="P92" s="39"/>
      <c r="Q92" s="39"/>
      <c r="R92" s="39"/>
      <c r="S92" s="0" t="n">
        <f aca="false">N92/4</f>
        <v>293.75</v>
      </c>
    </row>
    <row r="93" customFormat="false" ht="15" hidden="false" customHeight="false" outlineLevel="0" collapsed="false">
      <c r="A93" s="39"/>
      <c r="B93" s="39"/>
      <c r="C93" s="39"/>
      <c r="D93" s="39"/>
      <c r="E93" s="39"/>
      <c r="F93" s="41"/>
      <c r="G93" s="41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</row>
    <row r="94" customFormat="false" ht="18.75" hidden="false" customHeight="false" outlineLevel="0" collapsed="false">
      <c r="A94" s="39" t="n">
        <v>188</v>
      </c>
      <c r="B94" s="52" t="s">
        <v>186</v>
      </c>
      <c r="C94" s="39"/>
      <c r="D94" s="39" t="n">
        <v>345</v>
      </c>
      <c r="E94" s="39" t="s">
        <v>194</v>
      </c>
      <c r="F94" s="41" t="s">
        <v>195</v>
      </c>
      <c r="G94" s="41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</row>
    <row r="95" customFormat="false" ht="15" hidden="false" customHeight="false" outlineLevel="0" collapsed="false">
      <c r="A95" s="39"/>
      <c r="B95" s="39"/>
      <c r="C95" s="39"/>
      <c r="D95" s="39"/>
      <c r="E95" s="39" t="s">
        <v>196</v>
      </c>
      <c r="F95" s="41" t="s">
        <v>197</v>
      </c>
      <c r="G95" s="41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</row>
    <row r="96" customFormat="false" ht="15" hidden="false" customHeight="false" outlineLevel="0" collapsed="false">
      <c r="A96" s="39"/>
      <c r="B96" s="39"/>
      <c r="C96" s="39"/>
      <c r="D96" s="39"/>
      <c r="E96" s="39" t="s">
        <v>198</v>
      </c>
      <c r="F96" s="41" t="s">
        <v>199</v>
      </c>
      <c r="G96" s="41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</row>
    <row r="97" customFormat="false" ht="15" hidden="false" customHeight="false" outlineLevel="0" collapsed="false">
      <c r="A97" s="39"/>
      <c r="B97" s="39"/>
      <c r="C97" s="39"/>
      <c r="D97" s="39"/>
      <c r="E97" s="39" t="s">
        <v>200</v>
      </c>
      <c r="F97" s="41" t="s">
        <v>199</v>
      </c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customFormat="false" ht="15" hidden="false" customHeight="false" outlineLevel="0" collapsed="false">
      <c r="A98" s="39"/>
      <c r="B98" s="39"/>
      <c r="C98" s="39"/>
      <c r="D98" s="39"/>
      <c r="E98" s="39"/>
      <c r="F98" s="41"/>
      <c r="G98" s="41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</row>
    <row r="99" customFormat="false" ht="15" hidden="false" customHeight="false" outlineLevel="0" collapsed="false">
      <c r="A99" s="39"/>
      <c r="B99" s="39"/>
      <c r="C99" s="39"/>
      <c r="D99" s="39"/>
      <c r="E99" s="39"/>
      <c r="F99" s="41"/>
      <c r="G99" s="4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</row>
    <row r="100" customFormat="false" ht="15" hidden="false" customHeight="false" outlineLevel="0" collapsed="false">
      <c r="A100" s="39"/>
      <c r="B100" s="39"/>
      <c r="C100" s="39"/>
      <c r="D100" s="39"/>
      <c r="E100" s="39"/>
      <c r="F100" s="41"/>
      <c r="G100" s="41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</row>
    <row r="101" customFormat="false" ht="15" hidden="false" customHeight="false" outlineLevel="0" collapsed="false">
      <c r="A101" s="39"/>
      <c r="B101" s="39"/>
      <c r="C101" s="39"/>
      <c r="D101" s="39"/>
      <c r="E101" s="39"/>
      <c r="F101" s="41"/>
      <c r="G101" s="41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customFormat="false" ht="15" hidden="false" customHeight="false" outlineLevel="0" collapsed="false">
      <c r="A102" s="39"/>
      <c r="B102" s="39"/>
      <c r="C102" s="39"/>
      <c r="D102" s="39"/>
      <c r="E102" s="39"/>
      <c r="F102" s="41"/>
      <c r="G102" s="41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</row>
    <row r="103" customFormat="false" ht="18.75" hidden="false" customHeight="false" outlineLevel="0" collapsed="false">
      <c r="A103" s="39"/>
      <c r="B103" s="39"/>
      <c r="C103" s="39"/>
      <c r="D103" s="39"/>
      <c r="E103" s="39"/>
      <c r="F103" s="41"/>
      <c r="G103" s="41"/>
      <c r="H103" s="39"/>
      <c r="I103" s="46" t="s">
        <v>151</v>
      </c>
      <c r="J103" s="39"/>
      <c r="K103" s="39"/>
      <c r="L103" s="51" t="n">
        <v>25</v>
      </c>
      <c r="M103" s="51" t="n">
        <v>14</v>
      </c>
      <c r="N103" s="39"/>
      <c r="O103" s="39"/>
      <c r="P103" s="39"/>
      <c r="Q103" s="39"/>
      <c r="R103" s="39"/>
    </row>
    <row r="104" customFormat="false" ht="15" hidden="false" customHeight="false" outlineLevel="0" collapsed="false">
      <c r="A104" s="39"/>
      <c r="B104" s="39"/>
      <c r="C104" s="39"/>
      <c r="D104" s="39"/>
      <c r="E104" s="39"/>
      <c r="F104" s="41"/>
      <c r="G104" s="41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</row>
    <row r="105" customFormat="false" ht="15" hidden="false" customHeight="false" outlineLevel="0" collapsed="false">
      <c r="A105" s="39"/>
      <c r="B105" s="39"/>
      <c r="C105" s="39"/>
      <c r="D105" s="39"/>
      <c r="E105" s="39"/>
      <c r="F105" s="41"/>
      <c r="G105" s="41"/>
      <c r="H105" s="39"/>
      <c r="I105" s="39"/>
      <c r="J105" s="39" t="s">
        <v>123</v>
      </c>
      <c r="K105" s="39"/>
      <c r="L105" s="39" t="n">
        <f aca="false">L103*20+M103</f>
        <v>514</v>
      </c>
      <c r="M105" s="39"/>
      <c r="N105" s="39" t="n">
        <f aca="false">L105/3</f>
        <v>171.333333333333</v>
      </c>
      <c r="O105" s="39"/>
      <c r="P105" s="39"/>
      <c r="Q105" s="39"/>
      <c r="R105" s="39"/>
      <c r="S105" s="0" t="n">
        <f aca="false">N105/4</f>
        <v>42.8333333333333</v>
      </c>
    </row>
    <row r="106" customFormat="false" ht="15" hidden="false" customHeight="false" outlineLevel="0" collapsed="false">
      <c r="A106" s="39"/>
      <c r="B106" s="39"/>
      <c r="C106" s="39"/>
      <c r="D106" s="39"/>
      <c r="E106" s="39"/>
      <c r="F106" s="41"/>
      <c r="G106" s="41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</row>
    <row r="107" customFormat="false" ht="15" hidden="false" customHeight="false" outlineLevel="0" collapsed="false">
      <c r="A107" s="39"/>
      <c r="B107" s="39"/>
      <c r="C107" s="39"/>
      <c r="D107" s="39"/>
      <c r="E107" s="39"/>
      <c r="F107" s="41"/>
      <c r="G107" s="41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</row>
    <row r="108" customFormat="false" ht="15" hidden="false" customHeight="false" outlineLevel="0" collapsed="false">
      <c r="A108" s="39"/>
      <c r="B108" s="39"/>
      <c r="C108" s="39"/>
      <c r="D108" s="39"/>
      <c r="E108" s="39"/>
      <c r="F108" s="41"/>
      <c r="G108" s="41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</row>
    <row r="109" customFormat="false" ht="15" hidden="false" customHeight="false" outlineLevel="0" collapsed="false">
      <c r="A109" s="39"/>
      <c r="B109" s="39"/>
      <c r="C109" s="39"/>
      <c r="D109" s="39"/>
      <c r="E109" s="39"/>
      <c r="F109" s="41"/>
      <c r="G109" s="41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customFormat="false" ht="15" hidden="false" customHeight="false" outlineLevel="0" collapsed="false">
      <c r="A110" s="39"/>
      <c r="B110" s="39"/>
      <c r="C110" s="39"/>
      <c r="D110" s="39"/>
      <c r="E110" s="39"/>
      <c r="F110" s="41"/>
      <c r="G110" s="41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</row>
    <row r="111" customFormat="false" ht="15" hidden="false" customHeight="false" outlineLevel="0" collapsed="false">
      <c r="A111" s="39"/>
      <c r="B111" s="39"/>
      <c r="C111" s="39"/>
      <c r="D111" s="39"/>
      <c r="E111" s="39"/>
      <c r="F111" s="41"/>
      <c r="G111" s="41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</row>
    <row r="112" customFormat="false" ht="15" hidden="false" customHeight="false" outlineLevel="0" collapsed="false">
      <c r="A112" s="39"/>
      <c r="B112" s="39"/>
      <c r="C112" s="39"/>
      <c r="D112" s="39"/>
      <c r="E112" s="39"/>
      <c r="F112" s="41"/>
      <c r="G112" s="41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</row>
    <row r="113" customFormat="false" ht="15" hidden="false" customHeight="false" outlineLevel="0" collapsed="false">
      <c r="A113" s="39"/>
      <c r="B113" s="39"/>
      <c r="C113" s="39"/>
      <c r="D113" s="39"/>
      <c r="E113" s="39"/>
      <c r="F113" s="41"/>
      <c r="G113" s="41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customFormat="false" ht="15" hidden="false" customHeight="false" outlineLevel="0" collapsed="false">
      <c r="E114" s="39"/>
      <c r="F114" s="41"/>
      <c r="G114" s="41"/>
      <c r="S114" s="0" t="n">
        <f aca="false">SUM(S10:S113)</f>
        <v>571.333333333333</v>
      </c>
      <c r="T114" s="0" t="n">
        <f aca="false">S114/160</f>
        <v>3.57083333333333</v>
      </c>
    </row>
  </sheetData>
  <hyperlinks>
    <hyperlink ref="M1" location="Index!A1" display="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201</v>
      </c>
      <c r="M1" s="21" t="s">
        <v>82</v>
      </c>
    </row>
    <row r="2" customFormat="false" ht="30" hidden="false" customHeight="false" outlineLevel="0" collapsed="false">
      <c r="A2" s="57" t="s">
        <v>202</v>
      </c>
      <c r="B2" s="58" t="s">
        <v>203</v>
      </c>
      <c r="C2" s="57" t="s">
        <v>204</v>
      </c>
      <c r="D2" s="58" t="n">
        <v>317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210</v>
      </c>
    </row>
    <row r="3" customFormat="false" ht="15" hidden="false" customHeight="false" outlineLevel="0" collapsed="false">
      <c r="A3" s="3" t="s">
        <v>211</v>
      </c>
    </row>
    <row r="4" customFormat="false" ht="18" hidden="false" customHeight="false" outlineLevel="0" collapsed="false">
      <c r="A4" s="60" t="s">
        <v>212</v>
      </c>
    </row>
  </sheetData>
  <hyperlinks>
    <hyperlink ref="M1" location="Index!A1" display="Index"/>
    <hyperlink ref="A3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.86"/>
    <col collapsed="false" customWidth="true" hidden="false" outlineLevel="0" max="5" min="5" style="0" width="11.57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203</v>
      </c>
      <c r="C2" s="57" t="s">
        <v>204</v>
      </c>
      <c r="D2" s="59" t="n">
        <v>317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210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84</v>
      </c>
      <c r="B4" s="62" t="n">
        <v>157</v>
      </c>
      <c r="C4" s="63" t="s">
        <v>226</v>
      </c>
      <c r="D4" s="63" t="s">
        <v>227</v>
      </c>
      <c r="E4" s="63" t="s">
        <v>228</v>
      </c>
      <c r="F4" s="62"/>
      <c r="G4" s="62" t="s">
        <v>229</v>
      </c>
      <c r="H4" s="62"/>
      <c r="I4" s="62"/>
      <c r="J4" s="62"/>
      <c r="K4" s="62"/>
      <c r="L4" s="63" t="s">
        <v>230</v>
      </c>
    </row>
    <row r="5" customFormat="false" ht="48.75" hidden="false" customHeight="false" outlineLevel="0" collapsed="false">
      <c r="A5" s="62" t="s">
        <v>231</v>
      </c>
      <c r="B5" s="62"/>
      <c r="C5" s="62"/>
      <c r="D5" s="63" t="s">
        <v>232</v>
      </c>
      <c r="E5" s="63" t="s">
        <v>233</v>
      </c>
      <c r="F5" s="62"/>
      <c r="G5" s="62" t="n">
        <v>25</v>
      </c>
      <c r="H5" s="62" t="s">
        <v>234</v>
      </c>
      <c r="I5" s="62"/>
      <c r="J5" s="62"/>
      <c r="K5" s="62"/>
      <c r="L5" s="63" t="s">
        <v>235</v>
      </c>
    </row>
    <row r="6" customFormat="false" ht="17.25" hidden="false" customHeight="false" outlineLevel="0" collapsed="false">
      <c r="A6" s="62" t="n">
        <v>82</v>
      </c>
      <c r="B6" s="62"/>
      <c r="C6" s="62"/>
      <c r="D6" s="63" t="s">
        <v>236</v>
      </c>
      <c r="E6" s="63" t="s">
        <v>237</v>
      </c>
      <c r="F6" s="62"/>
      <c r="G6" s="62"/>
      <c r="H6" s="62"/>
      <c r="I6" s="62"/>
      <c r="J6" s="62"/>
      <c r="K6" s="62"/>
      <c r="L6" s="62"/>
    </row>
    <row r="7" customFormat="false" ht="17.25" hidden="false" customHeight="false" outlineLevel="0" collapsed="false">
      <c r="A7" s="62"/>
      <c r="B7" s="62"/>
      <c r="C7" s="62"/>
      <c r="D7" s="62" t="s">
        <v>238</v>
      </c>
      <c r="E7" s="62"/>
      <c r="F7" s="62"/>
      <c r="G7" s="62"/>
      <c r="H7" s="62"/>
      <c r="I7" s="62"/>
      <c r="J7" s="62"/>
      <c r="K7" s="62"/>
      <c r="L7" s="62"/>
    </row>
    <row r="8" customFormat="false" ht="33" hidden="false" customHeight="false" outlineLevel="0" collapsed="false">
      <c r="A8" s="62"/>
      <c r="B8" s="62"/>
      <c r="C8" s="62"/>
      <c r="D8" s="63" t="s">
        <v>239</v>
      </c>
      <c r="E8" s="62"/>
      <c r="F8" s="62"/>
      <c r="G8" s="62"/>
      <c r="H8" s="62"/>
      <c r="I8" s="62"/>
      <c r="J8" s="62"/>
      <c r="K8" s="62"/>
      <c r="L8" s="62"/>
    </row>
    <row r="9" customFormat="false" ht="33" hidden="false" customHeight="false" outlineLevel="0" collapsed="false">
      <c r="A9" s="62"/>
      <c r="B9" s="62"/>
      <c r="C9" s="62"/>
      <c r="D9" s="63" t="s">
        <v>227</v>
      </c>
      <c r="E9" s="62"/>
      <c r="F9" s="62"/>
      <c r="G9" s="62"/>
      <c r="H9" s="62"/>
      <c r="I9" s="62"/>
      <c r="J9" s="62"/>
      <c r="K9" s="62"/>
      <c r="L9" s="62"/>
    </row>
    <row r="10" customFormat="false" ht="17.25" hidden="false" customHeight="false" outlineLevel="0" collapsed="false">
      <c r="A10" s="62"/>
      <c r="B10" s="62"/>
      <c r="C10" s="62"/>
      <c r="D10" s="63" t="s">
        <v>240</v>
      </c>
      <c r="E10" s="62"/>
      <c r="F10" s="62"/>
      <c r="G10" s="62"/>
      <c r="H10" s="62"/>
      <c r="I10" s="62"/>
      <c r="J10" s="62"/>
      <c r="K10" s="62"/>
      <c r="L10" s="62"/>
    </row>
    <row r="11" customFormat="false" ht="17.25" hidden="false" customHeight="false" outlineLevel="0" collapsed="false">
      <c r="A11" s="62"/>
      <c r="B11" s="62"/>
      <c r="C11" s="62"/>
      <c r="D11" s="62" t="s">
        <v>241</v>
      </c>
      <c r="E11" s="62"/>
      <c r="F11" s="62"/>
      <c r="G11" s="62"/>
      <c r="H11" s="62"/>
      <c r="I11" s="62"/>
      <c r="J11" s="62"/>
      <c r="K11" s="62"/>
      <c r="L11" s="62"/>
    </row>
    <row r="12" customFormat="false" ht="17.25" hidden="false" customHeight="false" outlineLevel="0" collapsed="false">
      <c r="A12" s="62"/>
      <c r="B12" s="62"/>
      <c r="C12" s="62"/>
      <c r="D12" s="63" t="s">
        <v>242</v>
      </c>
      <c r="E12" s="62"/>
      <c r="F12" s="62"/>
      <c r="G12" s="62"/>
      <c r="H12" s="62"/>
      <c r="I12" s="62"/>
      <c r="J12" s="62"/>
      <c r="K12" s="62"/>
      <c r="L12" s="62"/>
    </row>
    <row r="13" customFormat="false" ht="33" hidden="false" customHeight="false" outlineLevel="0" collapsed="false">
      <c r="A13" s="62"/>
      <c r="B13" s="62"/>
      <c r="C13" s="62"/>
      <c r="D13" s="63" t="s">
        <v>243</v>
      </c>
      <c r="E13" s="62"/>
      <c r="F13" s="62"/>
      <c r="G13" s="62"/>
      <c r="H13" s="62"/>
      <c r="I13" s="62"/>
      <c r="J13" s="62"/>
      <c r="K13" s="62"/>
      <c r="L13" s="62"/>
    </row>
    <row r="14" customFormat="false" ht="33" hidden="false" customHeight="false" outlineLevel="0" collapsed="false">
      <c r="A14" s="62"/>
      <c r="B14" s="62"/>
      <c r="C14" s="62"/>
      <c r="D14" s="63" t="s">
        <v>227</v>
      </c>
      <c r="E14" s="62"/>
      <c r="F14" s="62"/>
      <c r="G14" s="62"/>
      <c r="H14" s="62"/>
      <c r="I14" s="62"/>
      <c r="J14" s="62"/>
      <c r="K14" s="62"/>
      <c r="L14" s="62"/>
    </row>
    <row r="15" customFormat="false" ht="17.25" hidden="false" customHeight="false" outlineLevel="0" collapsed="false">
      <c r="A15" s="62"/>
      <c r="B15" s="62"/>
      <c r="C15" s="62"/>
      <c r="D15" s="63" t="s">
        <v>240</v>
      </c>
      <c r="E15" s="62"/>
      <c r="F15" s="62"/>
      <c r="G15" s="62"/>
      <c r="H15" s="62"/>
      <c r="I15" s="62"/>
      <c r="J15" s="62"/>
      <c r="K15" s="62"/>
      <c r="L15" s="62"/>
    </row>
    <row r="16" customFormat="false" ht="33" hidden="false" customHeight="false" outlineLevel="0" collapsed="false">
      <c r="A16" s="62"/>
      <c r="B16" s="62"/>
      <c r="C16" s="62"/>
      <c r="D16" s="63" t="s">
        <v>244</v>
      </c>
      <c r="E16" s="62"/>
      <c r="F16" s="62"/>
      <c r="G16" s="62"/>
      <c r="H16" s="62"/>
      <c r="I16" s="62"/>
      <c r="J16" s="62"/>
      <c r="K16" s="62"/>
      <c r="L16" s="62"/>
    </row>
    <row r="17" customFormat="false" ht="17.25" hidden="false" customHeight="false" outlineLevel="0" collapsed="false">
      <c r="A17" s="62"/>
      <c r="B17" s="62"/>
      <c r="C17" s="62"/>
      <c r="D17" s="62" t="s">
        <v>245</v>
      </c>
      <c r="E17" s="62"/>
      <c r="F17" s="62"/>
      <c r="G17" s="62"/>
      <c r="H17" s="62"/>
      <c r="I17" s="62"/>
      <c r="J17" s="62"/>
      <c r="K17" s="62"/>
      <c r="L17" s="62"/>
    </row>
    <row r="18" customFormat="false" ht="33" hidden="false" customHeight="false" outlineLevel="0" collapsed="false">
      <c r="A18" s="62"/>
      <c r="B18" s="62"/>
      <c r="C18" s="62"/>
      <c r="D18" s="63" t="s">
        <v>246</v>
      </c>
      <c r="E18" s="62"/>
      <c r="F18" s="62"/>
      <c r="G18" s="62"/>
      <c r="H18" s="62"/>
      <c r="I18" s="62"/>
      <c r="J18" s="62"/>
      <c r="K18" s="62"/>
      <c r="L18" s="62"/>
    </row>
    <row r="19" customFormat="false" ht="33" hidden="false" customHeight="false" outlineLevel="0" collapsed="false">
      <c r="A19" s="62"/>
      <c r="B19" s="62"/>
      <c r="C19" s="62"/>
      <c r="D19" s="63" t="s">
        <v>247</v>
      </c>
      <c r="E19" s="62"/>
      <c r="F19" s="62"/>
      <c r="G19" s="62"/>
      <c r="H19" s="62"/>
      <c r="I19" s="62"/>
      <c r="J19" s="62"/>
      <c r="K19" s="62"/>
      <c r="L19" s="62"/>
    </row>
    <row r="20" customFormat="false" ht="17.25" hidden="false" customHeight="false" outlineLevel="0" collapsed="false">
      <c r="A20" s="62"/>
      <c r="B20" s="62"/>
      <c r="C20" s="62"/>
      <c r="D20" s="63" t="s">
        <v>240</v>
      </c>
      <c r="E20" s="62"/>
      <c r="F20" s="62"/>
      <c r="G20" s="62"/>
      <c r="H20" s="62"/>
      <c r="I20" s="62"/>
      <c r="J20" s="62"/>
      <c r="K20" s="62"/>
      <c r="L20" s="62"/>
    </row>
    <row r="21" customFormat="false" ht="17.25" hidden="false" customHeight="false" outlineLevel="0" collapsed="false">
      <c r="A21" s="62"/>
      <c r="B21" s="62"/>
      <c r="C21" s="62"/>
      <c r="D21" s="62" t="s">
        <v>248</v>
      </c>
      <c r="E21" s="62"/>
      <c r="F21" s="62"/>
      <c r="G21" s="62"/>
      <c r="H21" s="62"/>
      <c r="I21" s="62"/>
      <c r="J21" s="62"/>
      <c r="K21" s="62"/>
      <c r="L21" s="62"/>
    </row>
    <row r="22" customFormat="false" ht="17.25" hidden="false" customHeight="false" outlineLevel="0" collapsed="false">
      <c r="A22" s="62"/>
      <c r="B22" s="62"/>
      <c r="C22" s="62"/>
      <c r="D22" s="63" t="s">
        <v>249</v>
      </c>
      <c r="E22" s="62"/>
      <c r="F22" s="62"/>
      <c r="G22" s="62"/>
      <c r="H22" s="62"/>
      <c r="I22" s="62"/>
      <c r="J22" s="62"/>
      <c r="K22" s="62"/>
      <c r="L22" s="62"/>
    </row>
    <row r="23" customFormat="false" ht="33" hidden="false" customHeight="false" outlineLevel="0" collapsed="false">
      <c r="A23" s="62"/>
      <c r="B23" s="62"/>
      <c r="C23" s="62"/>
      <c r="D23" s="63" t="s">
        <v>250</v>
      </c>
      <c r="E23" s="62"/>
      <c r="F23" s="62"/>
      <c r="G23" s="62"/>
      <c r="H23" s="62"/>
      <c r="I23" s="62"/>
      <c r="J23" s="62"/>
      <c r="K23" s="62"/>
      <c r="L23" s="62"/>
    </row>
    <row r="24" customFormat="false" ht="33" hidden="false" customHeight="false" outlineLevel="0" collapsed="false">
      <c r="A24" s="62"/>
      <c r="B24" s="62"/>
      <c r="C24" s="62"/>
      <c r="D24" s="63" t="s">
        <v>247</v>
      </c>
      <c r="E24" s="62"/>
      <c r="F24" s="62"/>
      <c r="G24" s="62"/>
      <c r="H24" s="62"/>
      <c r="I24" s="62"/>
      <c r="J24" s="62"/>
      <c r="K24" s="62"/>
      <c r="L24" s="62"/>
    </row>
    <row r="25" customFormat="false" ht="17.25" hidden="false" customHeight="false" outlineLevel="0" collapsed="false">
      <c r="A25" s="62"/>
      <c r="B25" s="62"/>
      <c r="C25" s="62"/>
      <c r="D25" s="63" t="s">
        <v>240</v>
      </c>
      <c r="E25" s="62"/>
      <c r="F25" s="62"/>
      <c r="G25" s="62"/>
      <c r="H25" s="62"/>
      <c r="I25" s="62"/>
      <c r="J25" s="62"/>
      <c r="K25" s="62"/>
      <c r="L25" s="62"/>
    </row>
    <row r="26" customFormat="false" ht="33" hidden="false" customHeight="false" outlineLevel="0" collapsed="false">
      <c r="A26" s="62"/>
      <c r="B26" s="62"/>
      <c r="C26" s="62"/>
      <c r="D26" s="63" t="s">
        <v>244</v>
      </c>
      <c r="E26" s="62"/>
      <c r="F26" s="62"/>
      <c r="G26" s="62"/>
      <c r="H26" s="62"/>
      <c r="I26" s="62"/>
      <c r="J26" s="62"/>
      <c r="K26" s="62"/>
      <c r="L26" s="62"/>
    </row>
    <row r="27" customFormat="false" ht="17.25" hidden="false" customHeight="false" outlineLevel="0" collapsed="false">
      <c r="A27" s="62"/>
      <c r="B27" s="62"/>
      <c r="C27" s="62"/>
      <c r="D27" s="62" t="s">
        <v>248</v>
      </c>
      <c r="E27" s="62"/>
      <c r="F27" s="62"/>
      <c r="G27" s="62"/>
      <c r="H27" s="62"/>
      <c r="I27" s="62"/>
      <c r="J27" s="62"/>
      <c r="K27" s="62"/>
      <c r="L27" s="62"/>
    </row>
    <row r="28" customFormat="false" ht="17.25" hidden="false" customHeight="false" outlineLevel="0" collapsed="false">
      <c r="A28" s="62"/>
      <c r="B28" s="62"/>
      <c r="C28" s="62"/>
      <c r="D28" s="63" t="s">
        <v>251</v>
      </c>
      <c r="E28" s="62"/>
      <c r="F28" s="62"/>
      <c r="G28" s="62"/>
      <c r="H28" s="62"/>
      <c r="I28" s="62"/>
      <c r="J28" s="62"/>
      <c r="K28" s="62"/>
      <c r="L28" s="62"/>
    </row>
    <row r="29" customFormat="false" ht="33" hidden="false" customHeight="false" outlineLevel="0" collapsed="false">
      <c r="A29" s="62"/>
      <c r="B29" s="62"/>
      <c r="C29" s="62"/>
      <c r="D29" s="63" t="s">
        <v>252</v>
      </c>
      <c r="E29" s="62"/>
      <c r="F29" s="62"/>
      <c r="G29" s="62"/>
      <c r="H29" s="62"/>
      <c r="I29" s="62"/>
      <c r="J29" s="62"/>
      <c r="K29" s="62"/>
      <c r="L29" s="62"/>
    </row>
    <row r="30" customFormat="false" ht="17.25" hidden="false" customHeight="false" outlineLevel="0" collapsed="false">
      <c r="A30" s="62"/>
      <c r="B30" s="62"/>
      <c r="C30" s="62"/>
      <c r="D30" s="63" t="s">
        <v>253</v>
      </c>
      <c r="E30" s="62"/>
      <c r="F30" s="62"/>
      <c r="G30" s="62"/>
      <c r="H30" s="62"/>
      <c r="I30" s="62"/>
      <c r="J30" s="62"/>
      <c r="K30" s="62"/>
      <c r="L30" s="62"/>
    </row>
    <row r="31" customFormat="false" ht="17.25" hidden="false" customHeight="false" outlineLevel="0" collapsed="false">
      <c r="A31" s="62"/>
      <c r="B31" s="62"/>
      <c r="C31" s="62"/>
      <c r="D31" s="62" t="s">
        <v>254</v>
      </c>
      <c r="E31" s="62"/>
      <c r="F31" s="62"/>
      <c r="G31" s="62"/>
      <c r="H31" s="62"/>
      <c r="I31" s="62"/>
      <c r="J31" s="62"/>
      <c r="K31" s="62"/>
      <c r="L31" s="62"/>
    </row>
    <row r="32" customFormat="false" ht="33" hidden="false" customHeight="false" outlineLevel="0" collapsed="false">
      <c r="A32" s="62"/>
      <c r="B32" s="62"/>
      <c r="C32" s="62"/>
      <c r="D32" s="63" t="s">
        <v>255</v>
      </c>
      <c r="E32" s="62"/>
      <c r="F32" s="62"/>
      <c r="G32" s="62"/>
      <c r="H32" s="62"/>
      <c r="I32" s="62"/>
      <c r="J32" s="62"/>
      <c r="K32" s="62"/>
      <c r="L32" s="62"/>
    </row>
    <row r="33" customFormat="false" ht="33" hidden="false" customHeight="false" outlineLevel="0" collapsed="false">
      <c r="A33" s="62"/>
      <c r="B33" s="62"/>
      <c r="C33" s="62"/>
      <c r="D33" s="63" t="s">
        <v>252</v>
      </c>
      <c r="E33" s="62"/>
      <c r="F33" s="62"/>
      <c r="G33" s="62"/>
      <c r="H33" s="62"/>
      <c r="I33" s="62"/>
      <c r="J33" s="62"/>
      <c r="K33" s="62"/>
      <c r="L33" s="62"/>
    </row>
    <row r="34" customFormat="false" ht="17.25" hidden="false" customHeight="false" outlineLevel="0" collapsed="false">
      <c r="A34" s="62"/>
      <c r="B34" s="62"/>
      <c r="C34" s="62"/>
      <c r="D34" s="63" t="s">
        <v>253</v>
      </c>
      <c r="E34" s="62"/>
      <c r="F34" s="62"/>
      <c r="G34" s="62"/>
      <c r="H34" s="62"/>
      <c r="I34" s="62"/>
      <c r="J34" s="62"/>
      <c r="K34" s="62"/>
      <c r="L34" s="62"/>
    </row>
    <row r="35" customFormat="false" ht="17.25" hidden="false" customHeight="false" outlineLevel="0" collapsed="false">
      <c r="A35" s="62"/>
      <c r="B35" s="62"/>
      <c r="C35" s="62"/>
      <c r="D35" s="62" t="s">
        <v>256</v>
      </c>
      <c r="E35" s="62"/>
      <c r="F35" s="62"/>
      <c r="G35" s="62"/>
      <c r="H35" s="62"/>
      <c r="I35" s="62"/>
      <c r="J35" s="62"/>
      <c r="K35" s="62"/>
      <c r="L35" s="62"/>
    </row>
    <row r="36" customFormat="false" ht="17.25" hidden="false" customHeight="false" outlineLevel="0" collapsed="false">
      <c r="A36" s="62"/>
      <c r="B36" s="62"/>
      <c r="C36" s="62"/>
      <c r="D36" s="63" t="s">
        <v>257</v>
      </c>
      <c r="E36" s="62"/>
      <c r="F36" s="62"/>
      <c r="G36" s="62"/>
      <c r="H36" s="62"/>
      <c r="I36" s="62"/>
      <c r="J36" s="62"/>
      <c r="K36" s="62"/>
      <c r="L36" s="62"/>
    </row>
    <row r="37" customFormat="false" ht="33" hidden="false" customHeight="false" outlineLevel="0" collapsed="false">
      <c r="A37" s="62"/>
      <c r="B37" s="62"/>
      <c r="C37" s="62"/>
      <c r="D37" s="63" t="s">
        <v>258</v>
      </c>
      <c r="E37" s="62"/>
      <c r="F37" s="62"/>
      <c r="G37" s="62"/>
      <c r="H37" s="62"/>
      <c r="I37" s="62"/>
      <c r="J37" s="62"/>
      <c r="K37" s="62"/>
      <c r="L37" s="62"/>
    </row>
    <row r="38" customFormat="false" ht="33" hidden="false" customHeight="false" outlineLevel="0" collapsed="false">
      <c r="A38" s="62"/>
      <c r="B38" s="62"/>
      <c r="C38" s="62"/>
      <c r="D38" s="63" t="s">
        <v>259</v>
      </c>
      <c r="E38" s="62"/>
      <c r="F38" s="62"/>
      <c r="G38" s="62"/>
      <c r="H38" s="62"/>
      <c r="I38" s="62"/>
      <c r="J38" s="62"/>
      <c r="K38" s="62"/>
      <c r="L38" s="62"/>
    </row>
    <row r="39" customFormat="false" ht="17.25" hidden="false" customHeight="false" outlineLevel="0" collapsed="false">
      <c r="A39" s="62"/>
      <c r="B39" s="62"/>
      <c r="C39" s="62"/>
      <c r="D39" s="63" t="s">
        <v>260</v>
      </c>
      <c r="E39" s="62"/>
      <c r="F39" s="62"/>
      <c r="G39" s="62"/>
      <c r="H39" s="62"/>
      <c r="I39" s="62"/>
      <c r="J39" s="62"/>
      <c r="K39" s="62"/>
      <c r="L39" s="62"/>
    </row>
    <row r="40" customFormat="false" ht="33" hidden="false" customHeight="false" outlineLevel="0" collapsed="false">
      <c r="A40" s="62"/>
      <c r="B40" s="62"/>
      <c r="C40" s="62"/>
      <c r="D40" s="63" t="s">
        <v>244</v>
      </c>
      <c r="E40" s="62"/>
      <c r="F40" s="62"/>
      <c r="G40" s="62"/>
      <c r="H40" s="62"/>
      <c r="I40" s="62"/>
      <c r="J40" s="62"/>
      <c r="K40" s="62"/>
      <c r="L40" s="62"/>
    </row>
    <row r="41" customFormat="false" ht="17.25" hidden="false" customHeight="false" outlineLevel="0" collapsed="false">
      <c r="A41" s="62"/>
      <c r="B41" s="62"/>
      <c r="C41" s="62"/>
      <c r="D41" s="62" t="s">
        <v>261</v>
      </c>
      <c r="E41" s="62"/>
      <c r="F41" s="62"/>
      <c r="G41" s="62"/>
      <c r="H41" s="62"/>
      <c r="I41" s="62"/>
      <c r="J41" s="62"/>
      <c r="K41" s="62"/>
      <c r="L41" s="62"/>
    </row>
    <row r="42" customFormat="false" ht="17.25" hidden="false" customHeight="false" outlineLevel="0" collapsed="false">
      <c r="A42" s="62"/>
      <c r="B42" s="62"/>
      <c r="C42" s="62"/>
      <c r="D42" s="63" t="s">
        <v>233</v>
      </c>
      <c r="E42" s="62"/>
      <c r="F42" s="62"/>
      <c r="G42" s="62"/>
      <c r="H42" s="62"/>
      <c r="I42" s="62"/>
      <c r="J42" s="62"/>
      <c r="K42" s="62"/>
      <c r="L42" s="62"/>
    </row>
    <row r="43" customFormat="false" ht="33" hidden="false" customHeight="false" outlineLevel="0" collapsed="false">
      <c r="A43" s="62"/>
      <c r="B43" s="62" t="n">
        <v>158</v>
      </c>
      <c r="C43" s="62"/>
      <c r="D43" s="62"/>
      <c r="E43" s="63" t="s">
        <v>262</v>
      </c>
      <c r="F43" s="62"/>
      <c r="G43" s="62" t="s">
        <v>263</v>
      </c>
      <c r="H43" s="62"/>
      <c r="I43" s="62"/>
      <c r="J43" s="62"/>
      <c r="K43" s="62"/>
      <c r="L43" s="62"/>
    </row>
    <row r="44" customFormat="false" ht="33" hidden="false" customHeight="false" outlineLevel="0" collapsed="false">
      <c r="A44" s="62"/>
      <c r="B44" s="62"/>
      <c r="C44" s="62"/>
      <c r="D44" s="62"/>
      <c r="E44" s="63" t="s">
        <v>233</v>
      </c>
      <c r="F44" s="62"/>
      <c r="G44" s="62" t="n">
        <v>4</v>
      </c>
      <c r="H44" s="62" t="s">
        <v>264</v>
      </c>
      <c r="I44" s="62"/>
      <c r="J44" s="62"/>
      <c r="K44" s="62"/>
      <c r="L44" s="62"/>
    </row>
    <row r="45" customFormat="false" ht="17.25" hidden="false" customHeight="false" outlineLevel="0" collapsed="false">
      <c r="A45" s="62"/>
      <c r="B45" s="62"/>
      <c r="C45" s="62"/>
      <c r="D45" s="62"/>
      <c r="E45" s="63" t="s">
        <v>237</v>
      </c>
      <c r="F45" s="62"/>
      <c r="G45" s="64" t="n">
        <v>40756</v>
      </c>
      <c r="H45" s="62" t="s">
        <v>265</v>
      </c>
      <c r="I45" s="62"/>
      <c r="J45" s="62"/>
      <c r="K45" s="62"/>
      <c r="L45" s="62"/>
    </row>
    <row r="46" customFormat="false" ht="33" hidden="false" customHeight="false" outlineLevel="0" collapsed="false">
      <c r="A46" s="62"/>
      <c r="B46" s="62"/>
      <c r="C46" s="62"/>
      <c r="D46" s="62"/>
      <c r="E46" s="62"/>
      <c r="F46" s="62"/>
      <c r="G46" s="64" t="n">
        <v>40757</v>
      </c>
      <c r="H46" s="62" t="s">
        <v>266</v>
      </c>
      <c r="I46" s="62"/>
      <c r="J46" s="62"/>
      <c r="K46" s="62"/>
      <c r="L46" s="62"/>
    </row>
    <row r="47" customFormat="false" ht="33" hidden="false" customHeight="false" outlineLevel="0" collapsed="false">
      <c r="A47" s="62"/>
      <c r="B47" s="62"/>
      <c r="C47" s="62"/>
      <c r="D47" s="62"/>
      <c r="E47" s="62"/>
      <c r="F47" s="62"/>
      <c r="G47" s="62" t="s">
        <v>267</v>
      </c>
      <c r="H47" s="62" t="s">
        <v>268</v>
      </c>
      <c r="I47" s="62"/>
      <c r="J47" s="62"/>
      <c r="K47" s="62"/>
      <c r="L47" s="62"/>
    </row>
    <row r="48" customFormat="false" ht="17.25" hidden="false" customHeight="false" outlineLevel="0" collapsed="false">
      <c r="A48" s="62"/>
      <c r="B48" s="62"/>
      <c r="C48" s="62"/>
      <c r="D48" s="62"/>
      <c r="E48" s="62"/>
      <c r="F48" s="62"/>
      <c r="G48" s="63" t="s">
        <v>269</v>
      </c>
      <c r="H48" s="64" t="n">
        <v>40855</v>
      </c>
      <c r="I48" s="62"/>
      <c r="J48" s="62"/>
      <c r="K48" s="62"/>
      <c r="L48" s="62"/>
    </row>
    <row r="49" customFormat="false" ht="33" hidden="false" customHeight="false" outlineLevel="0" collapsed="false">
      <c r="A49" s="62"/>
      <c r="B49" s="62"/>
      <c r="C49" s="62"/>
      <c r="D49" s="62"/>
      <c r="E49" s="62"/>
      <c r="F49" s="62"/>
      <c r="G49" s="63" t="s">
        <v>270</v>
      </c>
      <c r="H49" s="62"/>
      <c r="I49" s="62"/>
      <c r="J49" s="62"/>
      <c r="K49" s="62"/>
      <c r="L49" s="62"/>
    </row>
    <row r="50" customFormat="false" ht="33" hidden="false" customHeight="false" outlineLevel="0" collapsed="false">
      <c r="A50" s="62"/>
      <c r="B50" s="62"/>
      <c r="C50" s="62"/>
      <c r="D50" s="62"/>
      <c r="E50" s="62"/>
      <c r="F50" s="62"/>
      <c r="G50" s="62" t="s">
        <v>267</v>
      </c>
      <c r="H50" s="62"/>
      <c r="I50" s="62"/>
      <c r="J50" s="62"/>
      <c r="K50" s="62"/>
      <c r="L50" s="62"/>
    </row>
    <row r="51" customFormat="false" ht="17.25" hidden="false" customHeight="false" outlineLevel="0" collapsed="false">
      <c r="A51" s="62"/>
      <c r="B51" s="62"/>
      <c r="C51" s="62"/>
      <c r="D51" s="62"/>
      <c r="E51" s="62"/>
      <c r="F51" s="62"/>
      <c r="G51" s="64" t="n">
        <v>40855</v>
      </c>
      <c r="H51" s="62"/>
      <c r="I51" s="62"/>
      <c r="J51" s="62"/>
      <c r="K51" s="62"/>
      <c r="L51" s="62"/>
    </row>
    <row r="52" customFormat="false" ht="33" hidden="false" customHeight="false" outlineLevel="0" collapsed="false">
      <c r="A52" s="62"/>
      <c r="B52" s="62"/>
      <c r="C52" s="62"/>
      <c r="D52" s="62"/>
      <c r="E52" s="62"/>
      <c r="F52" s="62"/>
      <c r="G52" s="62" t="s">
        <v>267</v>
      </c>
      <c r="H52" s="62"/>
      <c r="I52" s="62"/>
      <c r="J52" s="62"/>
      <c r="K52" s="62"/>
      <c r="L52" s="62"/>
    </row>
    <row r="53" customFormat="false" ht="33" hidden="false" customHeight="false" outlineLevel="0" collapsed="false">
      <c r="A53" s="62"/>
      <c r="B53" s="62"/>
      <c r="C53" s="62"/>
      <c r="D53" s="62"/>
      <c r="E53" s="62"/>
      <c r="F53" s="62"/>
      <c r="G53" s="62" t="s">
        <v>271</v>
      </c>
      <c r="H53" s="62"/>
      <c r="I53" s="62"/>
      <c r="J53" s="62"/>
      <c r="K53" s="62"/>
      <c r="L53" s="62"/>
    </row>
    <row r="54" customFormat="false" ht="17.25" hidden="false" customHeight="false" outlineLevel="0" collapsed="false">
      <c r="A54" s="62"/>
      <c r="B54" s="62" t="n">
        <v>159</v>
      </c>
      <c r="C54" s="62"/>
      <c r="D54" s="62"/>
      <c r="E54" s="63" t="s">
        <v>272</v>
      </c>
      <c r="F54" s="62"/>
      <c r="G54" s="62" t="s">
        <v>263</v>
      </c>
      <c r="H54" s="62"/>
      <c r="I54" s="62"/>
      <c r="J54" s="62"/>
      <c r="K54" s="62"/>
      <c r="L54" s="62"/>
    </row>
    <row r="55" customFormat="false" ht="17.25" hidden="false" customHeight="false" outlineLevel="0" collapsed="false">
      <c r="A55" s="62"/>
      <c r="B55" s="62"/>
      <c r="C55" s="62"/>
      <c r="D55" s="62"/>
      <c r="E55" s="63" t="s">
        <v>233</v>
      </c>
      <c r="F55" s="62"/>
      <c r="G55" s="62" t="n">
        <v>12</v>
      </c>
      <c r="H55" s="62" t="s">
        <v>273</v>
      </c>
      <c r="I55" s="62"/>
      <c r="J55" s="62"/>
      <c r="K55" s="62"/>
      <c r="L55" s="62"/>
    </row>
    <row r="56" customFormat="false" ht="33" hidden="false" customHeight="false" outlineLevel="0" collapsed="false">
      <c r="A56" s="62"/>
      <c r="B56" s="62"/>
      <c r="C56" s="62"/>
      <c r="D56" s="62" t="s">
        <v>274</v>
      </c>
      <c r="E56" s="62" t="s">
        <v>275</v>
      </c>
      <c r="F56" s="62" t="s">
        <v>268</v>
      </c>
      <c r="G56" s="62" t="s">
        <v>267</v>
      </c>
      <c r="H56" s="62" t="s">
        <v>268</v>
      </c>
      <c r="I56" s="62" t="s">
        <v>276</v>
      </c>
      <c r="J56" s="62" t="s">
        <v>276</v>
      </c>
      <c r="K56" s="62"/>
      <c r="L56" s="62"/>
    </row>
    <row r="57" customFormat="false" ht="33" hidden="false" customHeight="false" outlineLevel="0" collapsed="false">
      <c r="A57" s="62"/>
      <c r="B57" s="62"/>
      <c r="C57" s="62"/>
      <c r="D57" s="63" t="s">
        <v>277</v>
      </c>
      <c r="E57" s="62"/>
      <c r="F57" s="62"/>
      <c r="G57" s="63" t="s">
        <v>278</v>
      </c>
      <c r="H57" s="62" t="s">
        <v>279</v>
      </c>
      <c r="I57" s="62"/>
      <c r="J57" s="62"/>
      <c r="K57" s="62"/>
      <c r="L57" s="62"/>
    </row>
    <row r="58" customFormat="false" ht="33" hidden="false" customHeight="false" outlineLevel="0" collapsed="false">
      <c r="A58" s="62"/>
      <c r="B58" s="62"/>
      <c r="C58" s="62"/>
      <c r="D58" s="62"/>
      <c r="E58" s="62"/>
      <c r="F58" s="62"/>
      <c r="G58" s="63" t="s">
        <v>270</v>
      </c>
      <c r="H58" s="62"/>
      <c r="I58" s="62"/>
      <c r="J58" s="62"/>
      <c r="K58" s="62"/>
      <c r="L58" s="62"/>
    </row>
    <row r="59" customFormat="false" ht="33" hidden="false" customHeight="false" outlineLevel="0" collapsed="false">
      <c r="A59" s="62"/>
      <c r="B59" s="62"/>
      <c r="C59" s="62"/>
      <c r="D59" s="62"/>
      <c r="E59" s="62"/>
      <c r="F59" s="62"/>
      <c r="G59" s="62" t="s">
        <v>267</v>
      </c>
      <c r="H59" s="62"/>
      <c r="I59" s="62"/>
      <c r="J59" s="62"/>
      <c r="K59" s="62"/>
      <c r="L59" s="62"/>
    </row>
    <row r="60" customFormat="false" ht="17.25" hidden="false" customHeight="false" outlineLevel="0" collapsed="false">
      <c r="A60" s="62"/>
      <c r="B60" s="62"/>
      <c r="C60" s="62"/>
      <c r="D60" s="62"/>
      <c r="E60" s="62"/>
      <c r="F60" s="62"/>
      <c r="G60" s="62" t="s">
        <v>279</v>
      </c>
      <c r="H60" s="62"/>
      <c r="I60" s="62"/>
      <c r="J60" s="62"/>
      <c r="K60" s="62"/>
      <c r="L60" s="62"/>
    </row>
    <row r="61" customFormat="false" ht="33" hidden="false" customHeight="false" outlineLevel="0" collapsed="false">
      <c r="A61" s="62"/>
      <c r="B61" s="62"/>
      <c r="C61" s="62"/>
      <c r="D61" s="62"/>
      <c r="E61" s="62"/>
      <c r="F61" s="62"/>
      <c r="G61" s="62" t="s">
        <v>267</v>
      </c>
      <c r="H61" s="62"/>
      <c r="I61" s="62"/>
      <c r="J61" s="62"/>
      <c r="K61" s="62"/>
      <c r="L61" s="62"/>
    </row>
    <row r="62" customFormat="false" ht="33" hidden="false" customHeight="false" outlineLevel="0" collapsed="false">
      <c r="A62" s="62"/>
      <c r="B62" s="62"/>
      <c r="C62" s="62"/>
      <c r="D62" s="62"/>
      <c r="E62" s="62"/>
      <c r="F62" s="62"/>
      <c r="G62" s="62" t="s">
        <v>280</v>
      </c>
      <c r="H62" s="62"/>
      <c r="I62" s="62"/>
      <c r="J62" s="62"/>
      <c r="K62" s="62"/>
      <c r="L62" s="62"/>
    </row>
    <row r="63" customFormat="false" ht="15.75" hidden="false" customHeight="false" outlineLevel="0" collapsed="false">
      <c r="A63" s="3" t="s">
        <v>211</v>
      </c>
    </row>
    <row r="70" customFormat="false" ht="15.75" hidden="false" customHeight="false" outlineLevel="0" collapsed="false">
      <c r="A70" s="65" t="s">
        <v>281</v>
      </c>
    </row>
  </sheetData>
  <hyperlinks>
    <hyperlink ref="M1" location="Index!A1" display="Index"/>
    <hyperlink ref="A63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.15"/>
    <col collapsed="false" customWidth="true" hidden="false" outlineLevel="0" max="5" min="5" style="0" width="12.71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203</v>
      </c>
      <c r="C2" s="57" t="s">
        <v>204</v>
      </c>
      <c r="D2" s="59" t="n">
        <v>317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210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48.75" hidden="false" customHeight="false" outlineLevel="0" collapsed="false">
      <c r="A4" s="62" t="n">
        <v>85</v>
      </c>
      <c r="B4" s="62" t="n">
        <v>160</v>
      </c>
      <c r="C4" s="63" t="s">
        <v>226</v>
      </c>
      <c r="D4" s="63" t="s">
        <v>227</v>
      </c>
      <c r="E4" s="63" t="s">
        <v>242</v>
      </c>
      <c r="F4" s="62"/>
      <c r="G4" s="62" t="s">
        <v>263</v>
      </c>
      <c r="H4" s="62"/>
      <c r="I4" s="62"/>
      <c r="J4" s="62"/>
      <c r="K4" s="62"/>
      <c r="L4" s="63" t="s">
        <v>230</v>
      </c>
    </row>
    <row r="5" customFormat="false" ht="48.75" hidden="false" customHeight="false" outlineLevel="0" collapsed="false">
      <c r="A5" s="62" t="s">
        <v>231</v>
      </c>
      <c r="B5" s="62"/>
      <c r="C5" s="62"/>
      <c r="D5" s="63" t="s">
        <v>282</v>
      </c>
      <c r="E5" s="63" t="s">
        <v>283</v>
      </c>
      <c r="F5" s="62"/>
      <c r="G5" s="64" t="n">
        <v>40664</v>
      </c>
      <c r="H5" s="62" t="s">
        <v>284</v>
      </c>
      <c r="I5" s="62"/>
      <c r="J5" s="62"/>
      <c r="K5" s="62"/>
      <c r="L5" s="63" t="s">
        <v>235</v>
      </c>
    </row>
    <row r="6" customFormat="false" ht="33" hidden="false" customHeight="false" outlineLevel="0" collapsed="false">
      <c r="A6" s="62" t="n">
        <v>83</v>
      </c>
      <c r="B6" s="62"/>
      <c r="C6" s="62"/>
      <c r="D6" s="63" t="s">
        <v>236</v>
      </c>
      <c r="E6" s="63" t="s">
        <v>244</v>
      </c>
      <c r="F6" s="62"/>
      <c r="G6" s="64" t="n">
        <v>40665</v>
      </c>
      <c r="H6" s="62" t="s">
        <v>285</v>
      </c>
      <c r="I6" s="62"/>
      <c r="J6" s="62"/>
      <c r="K6" s="62"/>
      <c r="L6" s="62"/>
    </row>
    <row r="7" customFormat="false" ht="33" hidden="false" customHeight="false" outlineLevel="0" collapsed="false">
      <c r="A7" s="62"/>
      <c r="B7" s="62"/>
      <c r="C7" s="62"/>
      <c r="D7" s="63" t="s">
        <v>286</v>
      </c>
      <c r="E7" s="63" t="s">
        <v>233</v>
      </c>
      <c r="F7" s="62"/>
      <c r="G7" s="64" t="n">
        <v>40695</v>
      </c>
      <c r="H7" s="62" t="s">
        <v>287</v>
      </c>
      <c r="I7" s="62"/>
      <c r="J7" s="62"/>
      <c r="K7" s="62"/>
      <c r="L7" s="62"/>
    </row>
    <row r="8" customFormat="false" ht="33" hidden="false" customHeight="false" outlineLevel="0" collapsed="false">
      <c r="A8" s="62"/>
      <c r="B8" s="62"/>
      <c r="C8" s="62"/>
      <c r="D8" s="62" t="s">
        <v>288</v>
      </c>
      <c r="E8" s="63" t="s">
        <v>289</v>
      </c>
      <c r="F8" s="62"/>
      <c r="G8" s="64" t="n">
        <v>40696</v>
      </c>
      <c r="H8" s="62" t="s">
        <v>290</v>
      </c>
      <c r="I8" s="62"/>
      <c r="J8" s="62"/>
      <c r="K8" s="62"/>
      <c r="L8" s="62"/>
    </row>
    <row r="9" customFormat="false" ht="33" hidden="false" customHeight="false" outlineLevel="0" collapsed="false">
      <c r="A9" s="62"/>
      <c r="B9" s="62"/>
      <c r="C9" s="62"/>
      <c r="D9" s="63" t="s">
        <v>291</v>
      </c>
      <c r="E9" s="62"/>
      <c r="F9" s="62"/>
      <c r="G9" s="62" t="s">
        <v>292</v>
      </c>
      <c r="H9" s="62" t="s">
        <v>293</v>
      </c>
      <c r="I9" s="62"/>
      <c r="J9" s="62"/>
      <c r="K9" s="62"/>
      <c r="L9" s="62"/>
    </row>
    <row r="10" customFormat="false" ht="33" hidden="false" customHeight="false" outlineLevel="0" collapsed="false">
      <c r="A10" s="62"/>
      <c r="B10" s="62"/>
      <c r="C10" s="62"/>
      <c r="D10" s="63" t="s">
        <v>294</v>
      </c>
      <c r="E10" s="62"/>
      <c r="F10" s="62"/>
      <c r="G10" s="62" t="s">
        <v>166</v>
      </c>
      <c r="H10" s="62" t="s">
        <v>295</v>
      </c>
      <c r="I10" s="62"/>
      <c r="J10" s="62"/>
      <c r="K10" s="62"/>
      <c r="L10" s="62"/>
    </row>
    <row r="11" customFormat="false" ht="33" hidden="false" customHeight="false" outlineLevel="0" collapsed="false">
      <c r="A11" s="62"/>
      <c r="B11" s="62"/>
      <c r="C11" s="62"/>
      <c r="D11" s="63" t="s">
        <v>296</v>
      </c>
      <c r="E11" s="62"/>
      <c r="F11" s="62"/>
      <c r="G11" s="62" t="s">
        <v>168</v>
      </c>
      <c r="H11" s="62" t="s">
        <v>297</v>
      </c>
      <c r="I11" s="62"/>
      <c r="J11" s="62"/>
      <c r="K11" s="62"/>
      <c r="L11" s="62"/>
    </row>
    <row r="12" customFormat="false" ht="33" hidden="false" customHeight="false" outlineLevel="0" collapsed="false">
      <c r="A12" s="62"/>
      <c r="B12" s="62"/>
      <c r="C12" s="62"/>
      <c r="D12" s="62" t="s">
        <v>298</v>
      </c>
      <c r="E12" s="62"/>
      <c r="F12" s="62"/>
      <c r="G12" s="62" t="n">
        <v>15</v>
      </c>
      <c r="H12" s="62" t="s">
        <v>299</v>
      </c>
      <c r="I12" s="62"/>
      <c r="J12" s="62"/>
      <c r="K12" s="62"/>
      <c r="L12" s="62"/>
    </row>
    <row r="13" customFormat="false" ht="17.25" hidden="false" customHeight="false" outlineLevel="0" collapsed="false">
      <c r="A13" s="62"/>
      <c r="B13" s="62"/>
      <c r="C13" s="62"/>
      <c r="D13" s="63" t="s">
        <v>300</v>
      </c>
      <c r="E13" s="62"/>
      <c r="F13" s="62"/>
      <c r="G13" s="62" t="n">
        <v>17</v>
      </c>
      <c r="H13" s="62" t="s">
        <v>301</v>
      </c>
      <c r="I13" s="62"/>
      <c r="J13" s="62"/>
      <c r="K13" s="62"/>
      <c r="L13" s="62"/>
    </row>
    <row r="14" customFormat="false" ht="17.25" hidden="false" customHeight="false" outlineLevel="0" collapsed="false">
      <c r="A14" s="62"/>
      <c r="B14" s="62"/>
      <c r="C14" s="62"/>
      <c r="D14" s="63" t="s">
        <v>302</v>
      </c>
      <c r="E14" s="62"/>
      <c r="F14" s="62"/>
      <c r="G14" s="62" t="n">
        <v>18</v>
      </c>
      <c r="H14" s="62" t="s">
        <v>301</v>
      </c>
      <c r="I14" s="62"/>
      <c r="J14" s="62"/>
      <c r="K14" s="62"/>
      <c r="L14" s="62"/>
    </row>
    <row r="15" customFormat="false" ht="33" hidden="false" customHeight="false" outlineLevel="0" collapsed="false">
      <c r="A15" s="62"/>
      <c r="B15" s="62"/>
      <c r="C15" s="62"/>
      <c r="D15" s="63" t="s">
        <v>227</v>
      </c>
      <c r="E15" s="62"/>
      <c r="F15" s="62"/>
      <c r="G15" s="62" t="s">
        <v>267</v>
      </c>
      <c r="H15" s="62" t="s">
        <v>268</v>
      </c>
      <c r="I15" s="62"/>
      <c r="J15" s="62"/>
      <c r="K15" s="62"/>
      <c r="L15" s="62"/>
    </row>
    <row r="16" customFormat="false" ht="17.25" hidden="false" customHeight="false" outlineLevel="0" collapsed="false">
      <c r="A16" s="62"/>
      <c r="B16" s="62"/>
      <c r="C16" s="62"/>
      <c r="D16" s="63" t="s">
        <v>303</v>
      </c>
      <c r="E16" s="62"/>
      <c r="F16" s="62"/>
      <c r="G16" s="63" t="s">
        <v>304</v>
      </c>
      <c r="H16" s="62" t="s">
        <v>305</v>
      </c>
      <c r="I16" s="62"/>
      <c r="J16" s="62"/>
      <c r="K16" s="62"/>
      <c r="L16" s="62"/>
    </row>
    <row r="17" customFormat="false" ht="17.25" hidden="false" customHeight="false" outlineLevel="0" collapsed="false">
      <c r="A17" s="62"/>
      <c r="B17" s="62"/>
      <c r="C17" s="62"/>
      <c r="D17" s="63" t="s">
        <v>286</v>
      </c>
      <c r="E17" s="62"/>
      <c r="F17" s="62"/>
      <c r="G17" s="63" t="s">
        <v>306</v>
      </c>
      <c r="H17" s="62"/>
      <c r="I17" s="62"/>
      <c r="J17" s="62"/>
      <c r="K17" s="62"/>
      <c r="L17" s="62"/>
    </row>
    <row r="18" customFormat="false" ht="33" hidden="false" customHeight="false" outlineLevel="0" collapsed="false">
      <c r="A18" s="62"/>
      <c r="B18" s="62"/>
      <c r="C18" s="62"/>
      <c r="D18" s="62" t="s">
        <v>307</v>
      </c>
      <c r="E18" s="62"/>
      <c r="F18" s="62"/>
      <c r="G18" s="63" t="s">
        <v>308</v>
      </c>
      <c r="H18" s="62"/>
      <c r="I18" s="62"/>
      <c r="J18" s="62"/>
      <c r="K18" s="62"/>
      <c r="L18" s="62"/>
    </row>
    <row r="19" customFormat="false" ht="33" hidden="false" customHeight="false" outlineLevel="0" collapsed="false">
      <c r="A19" s="62"/>
      <c r="B19" s="62"/>
      <c r="C19" s="62"/>
      <c r="D19" s="63" t="s">
        <v>309</v>
      </c>
      <c r="E19" s="62"/>
      <c r="F19" s="62"/>
      <c r="G19" s="63" t="s">
        <v>270</v>
      </c>
      <c r="H19" s="62"/>
      <c r="I19" s="62"/>
      <c r="J19" s="62"/>
      <c r="K19" s="62"/>
      <c r="L19" s="62"/>
    </row>
    <row r="20" customFormat="false" ht="33" hidden="false" customHeight="false" outlineLevel="0" collapsed="false">
      <c r="A20" s="62"/>
      <c r="B20" s="62"/>
      <c r="C20" s="62"/>
      <c r="D20" s="62" t="s">
        <v>310</v>
      </c>
      <c r="E20" s="62"/>
      <c r="F20" s="62"/>
      <c r="G20" s="62" t="s">
        <v>267</v>
      </c>
      <c r="H20" s="62"/>
      <c r="I20" s="62"/>
      <c r="J20" s="62"/>
      <c r="K20" s="62"/>
      <c r="L20" s="62"/>
    </row>
    <row r="21" customFormat="false" ht="33" hidden="false" customHeight="false" outlineLevel="0" collapsed="false">
      <c r="A21" s="62"/>
      <c r="B21" s="62"/>
      <c r="C21" s="62"/>
      <c r="D21" s="63" t="s">
        <v>294</v>
      </c>
      <c r="E21" s="62"/>
      <c r="F21" s="62"/>
      <c r="G21" s="62" t="s">
        <v>305</v>
      </c>
      <c r="H21" s="62"/>
      <c r="I21" s="62"/>
      <c r="J21" s="62"/>
      <c r="K21" s="62"/>
      <c r="L21" s="62"/>
    </row>
    <row r="22" customFormat="false" ht="33" hidden="false" customHeight="false" outlineLevel="0" collapsed="false">
      <c r="A22" s="62"/>
      <c r="B22" s="62"/>
      <c r="C22" s="62"/>
      <c r="D22" s="63" t="s">
        <v>311</v>
      </c>
      <c r="E22" s="62"/>
      <c r="F22" s="62"/>
      <c r="G22" s="62" t="s">
        <v>267</v>
      </c>
      <c r="H22" s="62"/>
      <c r="I22" s="62"/>
      <c r="J22" s="62"/>
      <c r="K22" s="62"/>
      <c r="L22" s="62"/>
    </row>
    <row r="23" customFormat="false" ht="33" hidden="false" customHeight="false" outlineLevel="0" collapsed="false">
      <c r="A23" s="62"/>
      <c r="B23" s="62"/>
      <c r="C23" s="62"/>
      <c r="D23" s="62" t="s">
        <v>307</v>
      </c>
      <c r="E23" s="62"/>
      <c r="F23" s="62"/>
      <c r="G23" s="62" t="s">
        <v>312</v>
      </c>
      <c r="H23" s="62"/>
      <c r="I23" s="62"/>
      <c r="J23" s="62"/>
      <c r="K23" s="62"/>
      <c r="L23" s="62"/>
    </row>
    <row r="24" customFormat="false" ht="17.25" hidden="false" customHeight="false" outlineLevel="0" collapsed="false">
      <c r="A24" s="62"/>
      <c r="B24" s="62"/>
      <c r="C24" s="62"/>
      <c r="D24" s="63" t="s">
        <v>300</v>
      </c>
      <c r="E24" s="62"/>
      <c r="F24" s="62"/>
      <c r="G24" s="62"/>
      <c r="H24" s="62"/>
      <c r="I24" s="62"/>
      <c r="J24" s="62"/>
      <c r="K24" s="62"/>
      <c r="L24" s="62"/>
    </row>
    <row r="25" customFormat="false" ht="33" hidden="false" customHeight="false" outlineLevel="0" collapsed="false">
      <c r="A25" s="62"/>
      <c r="B25" s="62"/>
      <c r="C25" s="62"/>
      <c r="D25" s="63" t="s">
        <v>242</v>
      </c>
      <c r="E25" s="62"/>
      <c r="F25" s="62"/>
      <c r="G25" s="62"/>
      <c r="H25" s="62"/>
      <c r="I25" s="62"/>
      <c r="J25" s="62"/>
      <c r="K25" s="62"/>
      <c r="L25" s="62"/>
    </row>
    <row r="26" customFormat="false" ht="33" hidden="false" customHeight="false" outlineLevel="0" collapsed="false">
      <c r="A26" s="62"/>
      <c r="B26" s="62"/>
      <c r="C26" s="62"/>
      <c r="D26" s="63" t="s">
        <v>243</v>
      </c>
      <c r="E26" s="62"/>
      <c r="F26" s="62"/>
      <c r="G26" s="62"/>
      <c r="H26" s="62"/>
      <c r="I26" s="62"/>
      <c r="J26" s="62"/>
      <c r="K26" s="62"/>
      <c r="L26" s="62"/>
    </row>
    <row r="27" customFormat="false" ht="33" hidden="false" customHeight="false" outlineLevel="0" collapsed="false">
      <c r="A27" s="62"/>
      <c r="B27" s="62"/>
      <c r="C27" s="62"/>
      <c r="D27" s="63" t="s">
        <v>227</v>
      </c>
      <c r="E27" s="62"/>
      <c r="F27" s="62"/>
      <c r="G27" s="62"/>
      <c r="H27" s="62"/>
      <c r="I27" s="62"/>
      <c r="J27" s="62"/>
      <c r="K27" s="62"/>
      <c r="L27" s="62"/>
    </row>
    <row r="28" customFormat="false" ht="17.25" hidden="false" customHeight="false" outlineLevel="0" collapsed="false">
      <c r="A28" s="62"/>
      <c r="B28" s="62"/>
      <c r="C28" s="62"/>
      <c r="D28" s="63" t="s">
        <v>303</v>
      </c>
      <c r="E28" s="62"/>
      <c r="F28" s="62"/>
      <c r="G28" s="62"/>
      <c r="H28" s="62"/>
      <c r="I28" s="62"/>
      <c r="J28" s="62"/>
      <c r="K28" s="62"/>
      <c r="L28" s="62"/>
    </row>
    <row r="29" customFormat="false" ht="33" hidden="false" customHeight="false" outlineLevel="0" collapsed="false">
      <c r="A29" s="62"/>
      <c r="B29" s="62"/>
      <c r="C29" s="62"/>
      <c r="D29" s="63" t="s">
        <v>244</v>
      </c>
      <c r="E29" s="62"/>
      <c r="F29" s="62"/>
      <c r="G29" s="62"/>
      <c r="H29" s="62"/>
      <c r="I29" s="62"/>
      <c r="J29" s="62"/>
      <c r="K29" s="62"/>
      <c r="L29" s="62"/>
    </row>
    <row r="30" customFormat="false" ht="33" hidden="false" customHeight="false" outlineLevel="0" collapsed="false">
      <c r="A30" s="62"/>
      <c r="B30" s="62"/>
      <c r="C30" s="62"/>
      <c r="D30" s="62" t="s">
        <v>307</v>
      </c>
      <c r="E30" s="62"/>
      <c r="F30" s="62"/>
      <c r="G30" s="62"/>
      <c r="H30" s="62"/>
      <c r="I30" s="62"/>
      <c r="J30" s="62"/>
      <c r="K30" s="62"/>
      <c r="L30" s="62"/>
    </row>
    <row r="31" customFormat="false" ht="17.25" hidden="false" customHeight="false" outlineLevel="0" collapsed="false">
      <c r="A31" s="62"/>
      <c r="B31" s="62"/>
      <c r="C31" s="62"/>
      <c r="D31" s="63" t="s">
        <v>313</v>
      </c>
      <c r="E31" s="62"/>
      <c r="F31" s="62"/>
      <c r="G31" s="62"/>
      <c r="H31" s="62"/>
      <c r="I31" s="62"/>
      <c r="J31" s="62"/>
      <c r="K31" s="62"/>
      <c r="L31" s="62"/>
    </row>
    <row r="32" customFormat="false" ht="33" hidden="false" customHeight="false" outlineLevel="0" collapsed="false">
      <c r="A32" s="62"/>
      <c r="B32" s="62"/>
      <c r="C32" s="62"/>
      <c r="D32" s="63" t="s">
        <v>250</v>
      </c>
      <c r="E32" s="62"/>
      <c r="F32" s="62"/>
      <c r="G32" s="62"/>
      <c r="H32" s="62"/>
      <c r="I32" s="62"/>
      <c r="J32" s="62"/>
      <c r="K32" s="62"/>
      <c r="L32" s="62"/>
    </row>
    <row r="33" customFormat="false" ht="33" hidden="false" customHeight="false" outlineLevel="0" collapsed="false">
      <c r="A33" s="62"/>
      <c r="B33" s="62"/>
      <c r="C33" s="62"/>
      <c r="D33" s="63" t="s">
        <v>247</v>
      </c>
      <c r="E33" s="62"/>
      <c r="F33" s="62"/>
      <c r="G33" s="62"/>
      <c r="H33" s="62"/>
      <c r="I33" s="62"/>
      <c r="J33" s="62"/>
      <c r="K33" s="62"/>
      <c r="L33" s="62"/>
    </row>
    <row r="34" customFormat="false" ht="17.25" hidden="false" customHeight="false" outlineLevel="0" collapsed="false">
      <c r="A34" s="62"/>
      <c r="B34" s="62"/>
      <c r="C34" s="62"/>
      <c r="D34" s="63" t="s">
        <v>303</v>
      </c>
      <c r="E34" s="62"/>
      <c r="F34" s="62"/>
      <c r="G34" s="62"/>
      <c r="H34" s="62"/>
      <c r="I34" s="62"/>
      <c r="J34" s="62"/>
      <c r="K34" s="62"/>
      <c r="L34" s="62"/>
    </row>
    <row r="35" customFormat="false" ht="33" hidden="false" customHeight="false" outlineLevel="0" collapsed="false">
      <c r="A35" s="62"/>
      <c r="B35" s="62"/>
      <c r="C35" s="62"/>
      <c r="D35" s="63" t="s">
        <v>244</v>
      </c>
      <c r="E35" s="62"/>
      <c r="F35" s="62"/>
      <c r="G35" s="62"/>
      <c r="H35" s="62"/>
      <c r="I35" s="62"/>
      <c r="J35" s="62"/>
      <c r="K35" s="62"/>
      <c r="L35" s="62"/>
    </row>
    <row r="36" customFormat="false" ht="33" hidden="false" customHeight="false" outlineLevel="0" collapsed="false">
      <c r="A36" s="62"/>
      <c r="B36" s="62"/>
      <c r="C36" s="62"/>
      <c r="D36" s="62" t="s">
        <v>314</v>
      </c>
      <c r="E36" s="62"/>
      <c r="F36" s="62"/>
      <c r="G36" s="62"/>
      <c r="H36" s="62"/>
      <c r="I36" s="62"/>
      <c r="J36" s="62"/>
      <c r="K36" s="62"/>
      <c r="L36" s="62"/>
    </row>
    <row r="37" customFormat="false" ht="33" hidden="false" customHeight="false" outlineLevel="0" collapsed="false">
      <c r="A37" s="62"/>
      <c r="B37" s="62"/>
      <c r="C37" s="62"/>
      <c r="D37" s="63" t="s">
        <v>246</v>
      </c>
      <c r="E37" s="62"/>
      <c r="F37" s="62"/>
      <c r="G37" s="62"/>
      <c r="H37" s="62"/>
      <c r="I37" s="62"/>
      <c r="J37" s="62"/>
      <c r="K37" s="62"/>
      <c r="L37" s="62"/>
    </row>
    <row r="38" customFormat="false" ht="33" hidden="false" customHeight="false" outlineLevel="0" collapsed="false">
      <c r="A38" s="62"/>
      <c r="B38" s="62"/>
      <c r="C38" s="62"/>
      <c r="D38" s="63" t="s">
        <v>247</v>
      </c>
      <c r="E38" s="62"/>
      <c r="F38" s="62"/>
      <c r="G38" s="62"/>
      <c r="H38" s="62"/>
      <c r="I38" s="62"/>
      <c r="J38" s="62"/>
      <c r="K38" s="62"/>
      <c r="L38" s="62"/>
    </row>
    <row r="39" customFormat="false" ht="17.25" hidden="false" customHeight="false" outlineLevel="0" collapsed="false">
      <c r="A39" s="62"/>
      <c r="B39" s="62"/>
      <c r="C39" s="62"/>
      <c r="D39" s="63" t="s">
        <v>303</v>
      </c>
      <c r="E39" s="62"/>
      <c r="F39" s="62"/>
      <c r="G39" s="62"/>
      <c r="H39" s="62"/>
      <c r="I39" s="62"/>
      <c r="J39" s="62"/>
      <c r="K39" s="62"/>
      <c r="L39" s="62"/>
    </row>
    <row r="40" customFormat="false" ht="33" hidden="false" customHeight="false" outlineLevel="0" collapsed="false">
      <c r="A40" s="62"/>
      <c r="B40" s="62"/>
      <c r="C40" s="62"/>
      <c r="D40" s="62" t="s">
        <v>314</v>
      </c>
      <c r="E40" s="62"/>
      <c r="F40" s="62"/>
      <c r="G40" s="62"/>
      <c r="H40" s="62"/>
      <c r="I40" s="62"/>
      <c r="J40" s="62"/>
      <c r="K40" s="62"/>
      <c r="L40" s="62"/>
    </row>
    <row r="41" customFormat="false" ht="33" hidden="false" customHeight="false" outlineLevel="0" collapsed="false">
      <c r="A41" s="62"/>
      <c r="B41" s="62"/>
      <c r="C41" s="62"/>
      <c r="D41" s="63" t="s">
        <v>315</v>
      </c>
      <c r="E41" s="62"/>
      <c r="F41" s="62"/>
      <c r="G41" s="62"/>
      <c r="H41" s="62"/>
      <c r="I41" s="62"/>
      <c r="J41" s="62"/>
      <c r="K41" s="62"/>
      <c r="L41" s="62"/>
    </row>
    <row r="42" customFormat="false" ht="33" hidden="false" customHeight="false" outlineLevel="0" collapsed="false">
      <c r="A42" s="62"/>
      <c r="B42" s="62"/>
      <c r="C42" s="62"/>
      <c r="D42" s="63" t="s">
        <v>252</v>
      </c>
      <c r="E42" s="62"/>
      <c r="F42" s="62"/>
      <c r="G42" s="62"/>
      <c r="H42" s="62"/>
      <c r="I42" s="62"/>
      <c r="J42" s="62"/>
      <c r="K42" s="62"/>
      <c r="L42" s="62"/>
    </row>
    <row r="43" customFormat="false" ht="17.25" hidden="false" customHeight="false" outlineLevel="0" collapsed="false">
      <c r="A43" s="62"/>
      <c r="B43" s="62"/>
      <c r="C43" s="62"/>
      <c r="D43" s="63" t="s">
        <v>253</v>
      </c>
      <c r="E43" s="62"/>
      <c r="F43" s="62"/>
      <c r="G43" s="62"/>
      <c r="H43" s="62"/>
      <c r="I43" s="62"/>
      <c r="J43" s="62"/>
      <c r="K43" s="62"/>
      <c r="L43" s="62"/>
    </row>
    <row r="44" customFormat="false" ht="33" hidden="false" customHeight="false" outlineLevel="0" collapsed="false">
      <c r="A44" s="62"/>
      <c r="B44" s="62"/>
      <c r="C44" s="62"/>
      <c r="D44" s="62" t="s">
        <v>316</v>
      </c>
      <c r="E44" s="62"/>
      <c r="F44" s="62"/>
      <c r="G44" s="62"/>
      <c r="H44" s="62"/>
      <c r="I44" s="62"/>
      <c r="J44" s="62"/>
      <c r="K44" s="62"/>
      <c r="L44" s="62"/>
    </row>
    <row r="45" customFormat="false" ht="33" hidden="false" customHeight="false" outlineLevel="0" collapsed="false">
      <c r="A45" s="62"/>
      <c r="B45" s="62"/>
      <c r="C45" s="62"/>
      <c r="D45" s="63" t="s">
        <v>255</v>
      </c>
      <c r="E45" s="62"/>
      <c r="F45" s="62"/>
      <c r="G45" s="62"/>
      <c r="H45" s="62"/>
      <c r="I45" s="62"/>
      <c r="J45" s="62"/>
      <c r="K45" s="62"/>
      <c r="L45" s="62"/>
    </row>
    <row r="46" customFormat="false" ht="33" hidden="false" customHeight="false" outlineLevel="0" collapsed="false">
      <c r="A46" s="62"/>
      <c r="B46" s="62"/>
      <c r="C46" s="62"/>
      <c r="D46" s="63" t="s">
        <v>252</v>
      </c>
      <c r="E46" s="62"/>
      <c r="F46" s="62"/>
      <c r="G46" s="62"/>
      <c r="H46" s="62"/>
      <c r="I46" s="62"/>
      <c r="J46" s="62"/>
      <c r="K46" s="62"/>
      <c r="L46" s="62"/>
    </row>
    <row r="47" customFormat="false" ht="17.25" hidden="false" customHeight="false" outlineLevel="0" collapsed="false">
      <c r="A47" s="62"/>
      <c r="B47" s="62"/>
      <c r="C47" s="62"/>
      <c r="D47" s="63" t="s">
        <v>253</v>
      </c>
      <c r="E47" s="62"/>
      <c r="F47" s="62"/>
      <c r="G47" s="62"/>
      <c r="H47" s="62"/>
      <c r="I47" s="62"/>
      <c r="J47" s="62"/>
      <c r="K47" s="62"/>
      <c r="L47" s="62"/>
    </row>
    <row r="48" customFormat="false" ht="17.25" hidden="false" customHeight="false" outlineLevel="0" collapsed="false">
      <c r="A48" s="62"/>
      <c r="B48" s="62"/>
      <c r="C48" s="62"/>
      <c r="D48" s="62" t="s">
        <v>317</v>
      </c>
      <c r="E48" s="62"/>
      <c r="F48" s="62"/>
      <c r="G48" s="62"/>
      <c r="H48" s="62"/>
      <c r="I48" s="62"/>
      <c r="J48" s="62"/>
      <c r="K48" s="62"/>
      <c r="L48" s="62"/>
    </row>
    <row r="49" customFormat="false" ht="33" hidden="false" customHeight="false" outlineLevel="0" collapsed="false">
      <c r="A49" s="62"/>
      <c r="B49" s="62"/>
      <c r="C49" s="62"/>
      <c r="D49" s="63" t="s">
        <v>257</v>
      </c>
      <c r="E49" s="62"/>
      <c r="F49" s="62"/>
      <c r="G49" s="62"/>
      <c r="H49" s="62"/>
      <c r="I49" s="62"/>
      <c r="J49" s="62"/>
      <c r="K49" s="62"/>
      <c r="L49" s="62"/>
    </row>
    <row r="50" customFormat="false" ht="33" hidden="false" customHeight="false" outlineLevel="0" collapsed="false">
      <c r="A50" s="62"/>
      <c r="B50" s="62"/>
      <c r="C50" s="62"/>
      <c r="D50" s="63" t="s">
        <v>258</v>
      </c>
      <c r="E50" s="62"/>
      <c r="F50" s="62"/>
      <c r="G50" s="62"/>
      <c r="H50" s="62"/>
      <c r="I50" s="62"/>
      <c r="J50" s="62"/>
      <c r="K50" s="62"/>
      <c r="L50" s="62"/>
    </row>
    <row r="51" customFormat="false" ht="33" hidden="false" customHeight="false" outlineLevel="0" collapsed="false">
      <c r="A51" s="62"/>
      <c r="B51" s="62"/>
      <c r="C51" s="62"/>
      <c r="D51" s="63" t="s">
        <v>259</v>
      </c>
      <c r="E51" s="62"/>
      <c r="F51" s="62"/>
      <c r="G51" s="62"/>
      <c r="H51" s="62"/>
      <c r="I51" s="62"/>
      <c r="J51" s="62"/>
      <c r="K51" s="62"/>
      <c r="L51" s="62"/>
    </row>
    <row r="52" customFormat="false" ht="17.25" hidden="false" customHeight="false" outlineLevel="0" collapsed="false">
      <c r="A52" s="62"/>
      <c r="B52" s="62"/>
      <c r="C52" s="62"/>
      <c r="D52" s="63" t="s">
        <v>260</v>
      </c>
      <c r="E52" s="62"/>
      <c r="F52" s="62"/>
      <c r="G52" s="62"/>
      <c r="H52" s="62"/>
      <c r="I52" s="62"/>
      <c r="J52" s="62"/>
      <c r="K52" s="62"/>
      <c r="L52" s="62"/>
    </row>
    <row r="53" customFormat="false" ht="33" hidden="false" customHeight="false" outlineLevel="0" collapsed="false">
      <c r="A53" s="62"/>
      <c r="B53" s="62"/>
      <c r="C53" s="62"/>
      <c r="D53" s="63" t="s">
        <v>244</v>
      </c>
      <c r="E53" s="62"/>
      <c r="F53" s="62"/>
      <c r="G53" s="62"/>
      <c r="H53" s="62"/>
      <c r="I53" s="62"/>
      <c r="J53" s="62"/>
      <c r="K53" s="62"/>
      <c r="L53" s="62"/>
    </row>
    <row r="54" customFormat="false" ht="33" hidden="false" customHeight="false" outlineLevel="0" collapsed="false">
      <c r="A54" s="62"/>
      <c r="B54" s="62"/>
      <c r="C54" s="62"/>
      <c r="D54" s="62" t="s">
        <v>318</v>
      </c>
      <c r="E54" s="62"/>
      <c r="F54" s="62"/>
      <c r="G54" s="62"/>
      <c r="H54" s="62"/>
      <c r="I54" s="62"/>
      <c r="J54" s="62"/>
      <c r="K54" s="62"/>
      <c r="L54" s="62"/>
    </row>
    <row r="55" customFormat="false" ht="17.25" hidden="false" customHeight="false" outlineLevel="0" collapsed="false">
      <c r="A55" s="62"/>
      <c r="B55" s="62"/>
      <c r="C55" s="62"/>
      <c r="D55" s="63" t="s">
        <v>233</v>
      </c>
      <c r="E55" s="62"/>
      <c r="F55" s="62"/>
      <c r="G55" s="62"/>
      <c r="H55" s="62"/>
      <c r="I55" s="62"/>
      <c r="J55" s="62"/>
      <c r="K55" s="62"/>
      <c r="L55" s="62"/>
    </row>
    <row r="56" customFormat="false" ht="17.25" hidden="false" customHeight="false" outlineLevel="0" collapsed="false">
      <c r="A56" s="62"/>
      <c r="B56" s="62" t="n">
        <v>161</v>
      </c>
      <c r="C56" s="62"/>
      <c r="D56" s="62"/>
      <c r="E56" s="63" t="s">
        <v>319</v>
      </c>
      <c r="F56" s="62"/>
      <c r="G56" s="62" t="s">
        <v>263</v>
      </c>
      <c r="H56" s="62"/>
      <c r="I56" s="62"/>
      <c r="J56" s="62"/>
      <c r="K56" s="62"/>
      <c r="L56" s="62"/>
    </row>
    <row r="57" customFormat="false" ht="17.25" hidden="false" customHeight="false" outlineLevel="0" collapsed="false">
      <c r="A57" s="62"/>
      <c r="B57" s="62"/>
      <c r="C57" s="62"/>
      <c r="D57" s="62"/>
      <c r="E57" s="63" t="s">
        <v>233</v>
      </c>
      <c r="F57" s="62"/>
      <c r="G57" s="62" t="s">
        <v>292</v>
      </c>
      <c r="H57" s="62" t="s">
        <v>273</v>
      </c>
      <c r="I57" s="62"/>
      <c r="J57" s="62"/>
      <c r="K57" s="62"/>
      <c r="L57" s="62"/>
    </row>
    <row r="58" customFormat="false" ht="17.25" hidden="false" customHeight="false" outlineLevel="0" collapsed="false">
      <c r="A58" s="62"/>
      <c r="B58" s="62"/>
      <c r="C58" s="62"/>
      <c r="D58" s="62"/>
      <c r="E58" s="63" t="s">
        <v>237</v>
      </c>
      <c r="F58" s="62"/>
      <c r="G58" s="62" t="n">
        <v>13</v>
      </c>
      <c r="H58" s="62" t="s">
        <v>301</v>
      </c>
      <c r="I58" s="62"/>
      <c r="J58" s="62"/>
      <c r="K58" s="62"/>
      <c r="L58" s="62"/>
    </row>
    <row r="59" customFormat="false" ht="33" hidden="false" customHeight="false" outlineLevel="0" collapsed="false">
      <c r="A59" s="62"/>
      <c r="B59" s="62"/>
      <c r="C59" s="62"/>
      <c r="D59" s="62"/>
      <c r="E59" s="62"/>
      <c r="F59" s="62"/>
      <c r="G59" s="62" t="s">
        <v>267</v>
      </c>
      <c r="H59" s="62" t="s">
        <v>268</v>
      </c>
      <c r="I59" s="62"/>
      <c r="J59" s="62"/>
      <c r="K59" s="62"/>
      <c r="L59" s="62"/>
    </row>
    <row r="60" customFormat="false" ht="17.25" hidden="false" customHeight="false" outlineLevel="0" collapsed="false">
      <c r="A60" s="62"/>
      <c r="B60" s="62"/>
      <c r="C60" s="62"/>
      <c r="D60" s="62"/>
      <c r="E60" s="62"/>
      <c r="F60" s="62"/>
      <c r="G60" s="63" t="s">
        <v>320</v>
      </c>
      <c r="H60" s="66" t="n">
        <v>36831</v>
      </c>
      <c r="I60" s="62"/>
      <c r="J60" s="62"/>
      <c r="K60" s="62"/>
      <c r="L60" s="62"/>
    </row>
    <row r="61" customFormat="false" ht="17.25" hidden="false" customHeight="false" outlineLevel="0" collapsed="false">
      <c r="A61" s="62"/>
      <c r="B61" s="62"/>
      <c r="C61" s="62"/>
      <c r="D61" s="62"/>
      <c r="E61" s="62"/>
      <c r="F61" s="62"/>
      <c r="G61" s="63" t="s">
        <v>321</v>
      </c>
      <c r="H61" s="62"/>
      <c r="I61" s="62"/>
      <c r="J61" s="62"/>
      <c r="K61" s="62"/>
      <c r="L61" s="62"/>
    </row>
    <row r="62" customFormat="false" ht="17.25" hidden="false" customHeight="false" outlineLevel="0" collapsed="false">
      <c r="A62" s="62"/>
      <c r="B62" s="62"/>
      <c r="C62" s="62"/>
      <c r="D62" s="62"/>
      <c r="E62" s="62"/>
      <c r="F62" s="62"/>
      <c r="G62" s="63" t="s">
        <v>308</v>
      </c>
      <c r="H62" s="62"/>
      <c r="I62" s="62"/>
      <c r="J62" s="62"/>
      <c r="K62" s="62"/>
      <c r="L62" s="62"/>
    </row>
    <row r="63" customFormat="false" ht="33" hidden="false" customHeight="false" outlineLevel="0" collapsed="false">
      <c r="A63" s="62"/>
      <c r="B63" s="62"/>
      <c r="C63" s="62"/>
      <c r="D63" s="62"/>
      <c r="E63" s="62"/>
      <c r="F63" s="62"/>
      <c r="G63" s="63" t="s">
        <v>270</v>
      </c>
      <c r="H63" s="62"/>
      <c r="I63" s="62"/>
      <c r="J63" s="62"/>
      <c r="K63" s="62"/>
      <c r="L63" s="62"/>
    </row>
    <row r="64" customFormat="false" ht="33" hidden="false" customHeight="false" outlineLevel="0" collapsed="false">
      <c r="A64" s="62"/>
      <c r="B64" s="62"/>
      <c r="C64" s="62"/>
      <c r="D64" s="62"/>
      <c r="E64" s="62"/>
      <c r="F64" s="62"/>
      <c r="G64" s="62" t="s">
        <v>267</v>
      </c>
      <c r="H64" s="62"/>
      <c r="I64" s="62"/>
      <c r="J64" s="62"/>
      <c r="K64" s="62"/>
      <c r="L64" s="62"/>
    </row>
    <row r="65" customFormat="false" ht="17.25" hidden="false" customHeight="false" outlineLevel="0" collapsed="false">
      <c r="A65" s="62"/>
      <c r="B65" s="62"/>
      <c r="C65" s="62"/>
      <c r="D65" s="62"/>
      <c r="E65" s="62"/>
      <c r="F65" s="62"/>
      <c r="G65" s="66" t="n">
        <v>36831</v>
      </c>
      <c r="H65" s="62"/>
      <c r="I65" s="62"/>
      <c r="J65" s="62"/>
      <c r="K65" s="62"/>
      <c r="L65" s="62"/>
    </row>
    <row r="66" customFormat="false" ht="33" hidden="false" customHeight="false" outlineLevel="0" collapsed="false">
      <c r="A66" s="62"/>
      <c r="B66" s="62"/>
      <c r="C66" s="62"/>
      <c r="D66" s="62"/>
      <c r="E66" s="62"/>
      <c r="F66" s="62"/>
      <c r="G66" s="62" t="s">
        <v>267</v>
      </c>
      <c r="H66" s="62"/>
      <c r="I66" s="62"/>
      <c r="J66" s="62"/>
      <c r="K66" s="62"/>
      <c r="L66" s="62"/>
    </row>
    <row r="67" customFormat="false" ht="33" hidden="false" customHeight="false" outlineLevel="0" collapsed="false">
      <c r="A67" s="62"/>
      <c r="B67" s="62"/>
      <c r="C67" s="62"/>
      <c r="D67" s="62"/>
      <c r="E67" s="62"/>
      <c r="F67" s="62"/>
      <c r="G67" s="62" t="s">
        <v>322</v>
      </c>
      <c r="H67" s="62"/>
      <c r="I67" s="62"/>
      <c r="J67" s="62"/>
      <c r="K67" s="62"/>
      <c r="L67" s="62"/>
    </row>
    <row r="68" customFormat="false" ht="17.25" hidden="false" customHeight="false" outlineLevel="0" collapsed="false">
      <c r="A68" s="62"/>
      <c r="B68" s="62" t="n">
        <v>162</v>
      </c>
      <c r="C68" s="62"/>
      <c r="D68" s="62"/>
      <c r="E68" s="63" t="s">
        <v>323</v>
      </c>
      <c r="F68" s="62"/>
      <c r="G68" s="62" t="s">
        <v>263</v>
      </c>
      <c r="H68" s="62"/>
      <c r="I68" s="62"/>
      <c r="J68" s="62"/>
      <c r="K68" s="62"/>
      <c r="L68" s="62"/>
    </row>
    <row r="69" customFormat="false" ht="33" hidden="false" customHeight="false" outlineLevel="0" collapsed="false">
      <c r="A69" s="62"/>
      <c r="B69" s="62"/>
      <c r="C69" s="62"/>
      <c r="D69" s="62"/>
      <c r="E69" s="63" t="s">
        <v>233</v>
      </c>
      <c r="F69" s="62"/>
      <c r="G69" s="62" t="s">
        <v>324</v>
      </c>
      <c r="H69" s="62" t="s">
        <v>325</v>
      </c>
      <c r="I69" s="62"/>
      <c r="J69" s="62"/>
      <c r="K69" s="62"/>
      <c r="L69" s="62"/>
    </row>
    <row r="70" customFormat="false" ht="17.25" hidden="false" customHeight="false" outlineLevel="0" collapsed="false">
      <c r="A70" s="62"/>
      <c r="B70" s="62"/>
      <c r="C70" s="62"/>
      <c r="D70" s="62"/>
      <c r="E70" s="63" t="s">
        <v>237</v>
      </c>
      <c r="F70" s="62"/>
      <c r="G70" s="62"/>
      <c r="H70" s="62"/>
      <c r="I70" s="62"/>
      <c r="J70" s="62"/>
      <c r="K70" s="62"/>
      <c r="L70" s="62"/>
    </row>
    <row r="71" customFormat="false" ht="33" hidden="false" customHeight="false" outlineLevel="0" collapsed="false">
      <c r="A71" s="62"/>
      <c r="B71" s="62" t="n">
        <v>163</v>
      </c>
      <c r="C71" s="62"/>
      <c r="D71" s="62"/>
      <c r="E71" s="63" t="s">
        <v>257</v>
      </c>
      <c r="F71" s="62"/>
      <c r="G71" s="62" t="s">
        <v>263</v>
      </c>
      <c r="H71" s="62"/>
      <c r="I71" s="62"/>
      <c r="J71" s="62"/>
      <c r="K71" s="62"/>
      <c r="L71" s="62"/>
    </row>
    <row r="72" customFormat="false" ht="33" hidden="false" customHeight="false" outlineLevel="0" collapsed="false">
      <c r="A72" s="62"/>
      <c r="B72" s="62"/>
      <c r="C72" s="62"/>
      <c r="D72" s="62"/>
      <c r="E72" s="63" t="s">
        <v>326</v>
      </c>
      <c r="F72" s="62"/>
      <c r="G72" s="62" t="s">
        <v>324</v>
      </c>
      <c r="H72" s="62" t="s">
        <v>327</v>
      </c>
      <c r="I72" s="62"/>
      <c r="J72" s="62"/>
      <c r="K72" s="62"/>
      <c r="L72" s="62"/>
    </row>
    <row r="73" customFormat="false" ht="33" hidden="false" customHeight="false" outlineLevel="0" collapsed="false">
      <c r="A73" s="62"/>
      <c r="B73" s="62"/>
      <c r="C73" s="62"/>
      <c r="D73" s="62"/>
      <c r="E73" s="63" t="s">
        <v>244</v>
      </c>
      <c r="F73" s="62"/>
      <c r="G73" s="62"/>
      <c r="H73" s="62"/>
      <c r="I73" s="62"/>
      <c r="J73" s="62"/>
      <c r="K73" s="62"/>
      <c r="L73" s="62"/>
    </row>
    <row r="74" customFormat="false" ht="17.25" hidden="false" customHeight="false" outlineLevel="0" collapsed="false">
      <c r="A74" s="62"/>
      <c r="B74" s="62"/>
      <c r="C74" s="62"/>
      <c r="D74" s="62"/>
      <c r="E74" s="62" t="s">
        <v>328</v>
      </c>
      <c r="F74" s="62"/>
      <c r="G74" s="62"/>
      <c r="H74" s="62"/>
      <c r="I74" s="62"/>
      <c r="J74" s="62"/>
      <c r="K74" s="62"/>
      <c r="L74" s="62"/>
    </row>
    <row r="75" customFormat="false" ht="17.25" hidden="false" customHeight="false" outlineLevel="0" collapsed="false">
      <c r="A75" s="62"/>
      <c r="B75" s="62"/>
      <c r="C75" s="62"/>
      <c r="D75" s="62"/>
      <c r="E75" s="63" t="s">
        <v>289</v>
      </c>
      <c r="F75" s="62"/>
      <c r="G75" s="62"/>
      <c r="H75" s="62"/>
      <c r="I75" s="62"/>
      <c r="J75" s="62"/>
      <c r="K75" s="62"/>
      <c r="L75" s="62"/>
    </row>
    <row r="76" customFormat="false" ht="17.25" hidden="false" customHeight="false" outlineLevel="0" collapsed="false">
      <c r="A76" s="62"/>
      <c r="B76" s="62"/>
      <c r="C76" s="62"/>
      <c r="D76" s="62"/>
      <c r="E76" s="63" t="s">
        <v>329</v>
      </c>
      <c r="F76" s="62"/>
      <c r="G76" s="62"/>
      <c r="H76" s="62"/>
      <c r="I76" s="62"/>
      <c r="J76" s="62"/>
      <c r="K76" s="62"/>
      <c r="L76" s="62"/>
    </row>
    <row r="77" customFormat="false" ht="17.25" hidden="false" customHeight="false" outlineLevel="0" collapsed="false">
      <c r="A77" s="62"/>
      <c r="B77" s="62"/>
      <c r="C77" s="62"/>
      <c r="D77" s="62"/>
      <c r="E77" s="62" t="s">
        <v>330</v>
      </c>
      <c r="F77" s="62"/>
      <c r="G77" s="62"/>
      <c r="H77" s="62"/>
      <c r="I77" s="62"/>
      <c r="J77" s="62"/>
      <c r="K77" s="62"/>
      <c r="L77" s="62"/>
    </row>
    <row r="78" customFormat="false" ht="17.25" hidden="false" customHeight="false" outlineLevel="0" collapsed="false">
      <c r="A78" s="62"/>
      <c r="B78" s="62"/>
      <c r="C78" s="62"/>
      <c r="D78" s="62"/>
      <c r="E78" s="63" t="s">
        <v>233</v>
      </c>
      <c r="F78" s="62"/>
      <c r="G78" s="62"/>
      <c r="H78" s="62"/>
      <c r="I78" s="62"/>
      <c r="J78" s="62"/>
      <c r="K78" s="62"/>
      <c r="L78" s="62"/>
    </row>
    <row r="79" customFormat="false" ht="33" hidden="false" customHeight="false" outlineLevel="0" collapsed="false">
      <c r="A79" s="62"/>
      <c r="B79" s="62"/>
      <c r="C79" s="62"/>
      <c r="D79" s="62" t="s">
        <v>274</v>
      </c>
      <c r="E79" s="62" t="s">
        <v>275</v>
      </c>
      <c r="F79" s="62" t="s">
        <v>268</v>
      </c>
      <c r="G79" s="62" t="s">
        <v>267</v>
      </c>
      <c r="H79" s="62" t="s">
        <v>268</v>
      </c>
      <c r="I79" s="62" t="s">
        <v>276</v>
      </c>
      <c r="J79" s="62" t="s">
        <v>276</v>
      </c>
      <c r="K79" s="62"/>
      <c r="L79" s="62"/>
    </row>
    <row r="80" customFormat="false" ht="33" hidden="false" customHeight="false" outlineLevel="0" collapsed="false">
      <c r="A80" s="62"/>
      <c r="B80" s="62"/>
      <c r="C80" s="62"/>
      <c r="D80" s="63" t="s">
        <v>277</v>
      </c>
      <c r="E80" s="62"/>
      <c r="F80" s="62"/>
      <c r="G80" s="63" t="s">
        <v>331</v>
      </c>
      <c r="H80" s="62" t="s">
        <v>332</v>
      </c>
      <c r="I80" s="62"/>
      <c r="J80" s="62"/>
      <c r="K80" s="62"/>
      <c r="L80" s="62"/>
    </row>
    <row r="81" customFormat="false" ht="33" hidden="false" customHeight="false" outlineLevel="0" collapsed="false">
      <c r="A81" s="62"/>
      <c r="B81" s="62"/>
      <c r="C81" s="62"/>
      <c r="D81" s="62"/>
      <c r="E81" s="62"/>
      <c r="F81" s="62"/>
      <c r="G81" s="63" t="s">
        <v>333</v>
      </c>
      <c r="H81" s="62"/>
      <c r="I81" s="62"/>
      <c r="J81" s="62"/>
      <c r="K81" s="62"/>
      <c r="L81" s="62"/>
    </row>
    <row r="82" customFormat="false" ht="17.25" hidden="false" customHeight="false" outlineLevel="0" collapsed="false">
      <c r="A82" s="62"/>
      <c r="B82" s="62"/>
      <c r="C82" s="62"/>
      <c r="D82" s="62"/>
      <c r="E82" s="62"/>
      <c r="F82" s="62"/>
      <c r="G82" s="63" t="s">
        <v>334</v>
      </c>
      <c r="H82" s="62"/>
      <c r="I82" s="62"/>
      <c r="J82" s="62"/>
      <c r="K82" s="62"/>
      <c r="L82" s="62"/>
    </row>
    <row r="83" customFormat="false" ht="33" hidden="false" customHeight="false" outlineLevel="0" collapsed="false">
      <c r="A83" s="62"/>
      <c r="B83" s="62"/>
      <c r="C83" s="62"/>
      <c r="D83" s="62"/>
      <c r="E83" s="62"/>
      <c r="F83" s="62"/>
      <c r="G83" s="63" t="s">
        <v>270</v>
      </c>
      <c r="H83" s="62"/>
      <c r="I83" s="62"/>
      <c r="J83" s="62"/>
      <c r="K83" s="62"/>
      <c r="L83" s="62"/>
    </row>
    <row r="84" customFormat="false" ht="33" hidden="false" customHeight="false" outlineLevel="0" collapsed="false">
      <c r="A84" s="62"/>
      <c r="B84" s="62"/>
      <c r="C84" s="62"/>
      <c r="D84" s="62"/>
      <c r="E84" s="62"/>
      <c r="F84" s="62"/>
      <c r="G84" s="62" t="s">
        <v>267</v>
      </c>
      <c r="H84" s="62"/>
      <c r="I84" s="62"/>
      <c r="J84" s="62"/>
      <c r="K84" s="62"/>
      <c r="L84" s="62"/>
    </row>
    <row r="85" customFormat="false" ht="17.25" hidden="false" customHeight="false" outlineLevel="0" collapsed="false">
      <c r="A85" s="62"/>
      <c r="B85" s="62"/>
      <c r="C85" s="62"/>
      <c r="D85" s="62"/>
      <c r="E85" s="62"/>
      <c r="F85" s="62"/>
      <c r="G85" s="62" t="s">
        <v>332</v>
      </c>
      <c r="H85" s="62"/>
      <c r="I85" s="62"/>
      <c r="J85" s="62"/>
      <c r="K85" s="62"/>
      <c r="L85" s="62"/>
    </row>
    <row r="86" customFormat="false" ht="33" hidden="false" customHeight="false" outlineLevel="0" collapsed="false">
      <c r="A86" s="62"/>
      <c r="B86" s="62"/>
      <c r="C86" s="62"/>
      <c r="D86" s="62"/>
      <c r="E86" s="62"/>
      <c r="F86" s="62"/>
      <c r="G86" s="62" t="s">
        <v>267</v>
      </c>
      <c r="H86" s="62"/>
      <c r="I86" s="62"/>
      <c r="J86" s="62"/>
      <c r="K86" s="62"/>
      <c r="L86" s="62"/>
    </row>
    <row r="87" customFormat="false" ht="33" hidden="false" customHeight="false" outlineLevel="0" collapsed="false">
      <c r="A87" s="62"/>
      <c r="B87" s="62"/>
      <c r="C87" s="62"/>
      <c r="D87" s="62"/>
      <c r="E87" s="62"/>
      <c r="F87" s="62"/>
      <c r="G87" s="62" t="s">
        <v>335</v>
      </c>
      <c r="H87" s="62"/>
      <c r="I87" s="62"/>
      <c r="J87" s="62"/>
      <c r="K87" s="62"/>
      <c r="L87" s="62"/>
    </row>
    <row r="88" customFormat="false" ht="15.75" hidden="false" customHeight="false" outlineLevel="0" collapsed="false">
      <c r="A88" s="3" t="s">
        <v>211</v>
      </c>
    </row>
    <row r="95" customFormat="false" ht="15.75" hidden="false" customHeight="false" outlineLevel="0" collapsed="false">
      <c r="A95" s="65" t="s">
        <v>281</v>
      </c>
    </row>
  </sheetData>
  <hyperlinks>
    <hyperlink ref="M1" location="Index!A1" display="Index"/>
    <hyperlink ref="A88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.71"/>
    <col collapsed="false" customWidth="true" hidden="false" outlineLevel="0" max="12" min="12" style="0" width="18.86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203</v>
      </c>
      <c r="C2" s="57" t="s">
        <v>204</v>
      </c>
      <c r="D2" s="59" t="n">
        <v>317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210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187</v>
      </c>
      <c r="B4" s="62" t="n">
        <v>343</v>
      </c>
      <c r="C4" s="63" t="s">
        <v>336</v>
      </c>
      <c r="D4" s="63" t="s">
        <v>337</v>
      </c>
      <c r="E4" s="63" t="s">
        <v>338</v>
      </c>
      <c r="F4" s="62"/>
      <c r="G4" s="62" t="s">
        <v>339</v>
      </c>
      <c r="H4" s="62"/>
      <c r="I4" s="62"/>
      <c r="J4" s="62"/>
      <c r="K4" s="62"/>
      <c r="L4" s="63" t="s">
        <v>230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340</v>
      </c>
      <c r="E5" s="63" t="s">
        <v>233</v>
      </c>
      <c r="F5" s="62"/>
      <c r="G5" s="62" t="n">
        <v>3</v>
      </c>
      <c r="H5" s="62" t="s">
        <v>301</v>
      </c>
      <c r="I5" s="62"/>
      <c r="J5" s="62"/>
      <c r="K5" s="62"/>
      <c r="L5" s="63" t="s">
        <v>235</v>
      </c>
    </row>
    <row r="6" customFormat="false" ht="33" hidden="false" customHeight="false" outlineLevel="0" collapsed="false">
      <c r="A6" s="62" t="n">
        <v>176</v>
      </c>
      <c r="B6" s="62"/>
      <c r="C6" s="62"/>
      <c r="D6" s="63" t="s">
        <v>341</v>
      </c>
      <c r="E6" s="63" t="s">
        <v>237</v>
      </c>
      <c r="F6" s="62"/>
      <c r="G6" s="64" t="n">
        <v>40634</v>
      </c>
      <c r="H6" s="62" t="s">
        <v>342</v>
      </c>
      <c r="I6" s="62"/>
      <c r="J6" s="62"/>
      <c r="K6" s="62"/>
      <c r="L6" s="63" t="s">
        <v>343</v>
      </c>
    </row>
    <row r="7" customFormat="false" ht="33" hidden="false" customHeight="false" outlineLevel="0" collapsed="false">
      <c r="A7" s="62"/>
      <c r="B7" s="62"/>
      <c r="C7" s="62"/>
      <c r="D7" s="62" t="s">
        <v>344</v>
      </c>
      <c r="E7" s="62"/>
      <c r="F7" s="62"/>
      <c r="G7" s="62" t="s">
        <v>267</v>
      </c>
      <c r="H7" s="62" t="s">
        <v>268</v>
      </c>
      <c r="I7" s="62"/>
      <c r="J7" s="62"/>
      <c r="K7" s="62"/>
      <c r="L7" s="63" t="s">
        <v>345</v>
      </c>
    </row>
    <row r="8" customFormat="false" ht="17.25" hidden="false" customHeight="false" outlineLevel="0" collapsed="false">
      <c r="A8" s="62"/>
      <c r="B8" s="62"/>
      <c r="C8" s="62"/>
      <c r="D8" s="63" t="s">
        <v>315</v>
      </c>
      <c r="E8" s="62"/>
      <c r="F8" s="62"/>
      <c r="G8" s="63" t="s">
        <v>320</v>
      </c>
      <c r="H8" s="64" t="n">
        <v>40881</v>
      </c>
      <c r="I8" s="62"/>
      <c r="J8" s="62"/>
      <c r="K8" s="62"/>
      <c r="L8" s="62"/>
    </row>
    <row r="9" customFormat="false" ht="33" hidden="false" customHeight="false" outlineLevel="0" collapsed="false">
      <c r="A9" s="62"/>
      <c r="B9" s="62"/>
      <c r="C9" s="62"/>
      <c r="D9" s="63" t="s">
        <v>252</v>
      </c>
      <c r="E9" s="62"/>
      <c r="F9" s="62"/>
      <c r="G9" s="63" t="s">
        <v>270</v>
      </c>
      <c r="H9" s="62"/>
      <c r="I9" s="62"/>
      <c r="J9" s="62"/>
      <c r="K9" s="62"/>
      <c r="L9" s="62"/>
    </row>
    <row r="10" customFormat="false" ht="33" hidden="false" customHeight="false" outlineLevel="0" collapsed="false">
      <c r="A10" s="62"/>
      <c r="B10" s="62"/>
      <c r="C10" s="62"/>
      <c r="D10" s="63" t="s">
        <v>253</v>
      </c>
      <c r="E10" s="62"/>
      <c r="F10" s="62"/>
      <c r="G10" s="62" t="s">
        <v>267</v>
      </c>
      <c r="H10" s="62"/>
      <c r="I10" s="62"/>
      <c r="J10" s="62"/>
      <c r="K10" s="62"/>
      <c r="L10" s="62"/>
    </row>
    <row r="11" customFormat="false" ht="17.25" hidden="false" customHeight="false" outlineLevel="0" collapsed="false">
      <c r="A11" s="62"/>
      <c r="B11" s="62"/>
      <c r="C11" s="62"/>
      <c r="D11" s="62" t="s">
        <v>346</v>
      </c>
      <c r="E11" s="62"/>
      <c r="F11" s="62"/>
      <c r="G11" s="64" t="n">
        <v>40881</v>
      </c>
      <c r="H11" s="62"/>
      <c r="I11" s="62"/>
      <c r="J11" s="62"/>
      <c r="K11" s="62"/>
      <c r="L11" s="62"/>
    </row>
    <row r="12" customFormat="false" ht="33" hidden="false" customHeight="false" outlineLevel="0" collapsed="false">
      <c r="A12" s="62"/>
      <c r="B12" s="62"/>
      <c r="C12" s="62"/>
      <c r="D12" s="63" t="s">
        <v>255</v>
      </c>
      <c r="E12" s="62"/>
      <c r="F12" s="62"/>
      <c r="G12" s="62" t="s">
        <v>267</v>
      </c>
      <c r="H12" s="62"/>
      <c r="I12" s="62"/>
      <c r="J12" s="62"/>
      <c r="K12" s="62"/>
      <c r="L12" s="62"/>
    </row>
    <row r="13" customFormat="false" ht="33" hidden="false" customHeight="false" outlineLevel="0" collapsed="false">
      <c r="A13" s="62"/>
      <c r="B13" s="62"/>
      <c r="C13" s="62"/>
      <c r="D13" s="63" t="s">
        <v>252</v>
      </c>
      <c r="E13" s="62"/>
      <c r="F13" s="62"/>
      <c r="G13" s="62" t="s">
        <v>347</v>
      </c>
      <c r="H13" s="62"/>
      <c r="I13" s="62"/>
      <c r="J13" s="62"/>
      <c r="K13" s="62"/>
      <c r="L13" s="62"/>
    </row>
    <row r="14" customFormat="false" ht="17.25" hidden="false" customHeight="false" outlineLevel="0" collapsed="false">
      <c r="A14" s="62"/>
      <c r="B14" s="62"/>
      <c r="C14" s="62"/>
      <c r="D14" s="63" t="s">
        <v>253</v>
      </c>
      <c r="E14" s="62"/>
      <c r="F14" s="62"/>
      <c r="G14" s="62"/>
      <c r="H14" s="62"/>
      <c r="I14" s="62"/>
      <c r="J14" s="62"/>
      <c r="K14" s="62"/>
      <c r="L14" s="62"/>
    </row>
    <row r="15" customFormat="false" ht="17.25" hidden="false" customHeight="false" outlineLevel="0" collapsed="false">
      <c r="A15" s="62"/>
      <c r="B15" s="62"/>
      <c r="C15" s="62"/>
      <c r="D15" s="62" t="s">
        <v>348</v>
      </c>
      <c r="E15" s="62"/>
      <c r="F15" s="62"/>
      <c r="G15" s="62"/>
      <c r="H15" s="62"/>
      <c r="I15" s="62"/>
      <c r="J15" s="62"/>
      <c r="K15" s="62"/>
      <c r="L15" s="62"/>
    </row>
    <row r="16" customFormat="false" ht="33" hidden="false" customHeight="false" outlineLevel="0" collapsed="false">
      <c r="A16" s="62"/>
      <c r="B16" s="62"/>
      <c r="C16" s="62"/>
      <c r="D16" s="63" t="s">
        <v>257</v>
      </c>
      <c r="E16" s="62"/>
      <c r="F16" s="62"/>
      <c r="G16" s="62"/>
      <c r="H16" s="62"/>
      <c r="I16" s="62"/>
      <c r="J16" s="62"/>
      <c r="K16" s="62"/>
      <c r="L16" s="62"/>
    </row>
    <row r="17" customFormat="false" ht="33" hidden="false" customHeight="false" outlineLevel="0" collapsed="false">
      <c r="A17" s="62"/>
      <c r="B17" s="62"/>
      <c r="C17" s="62"/>
      <c r="D17" s="63" t="s">
        <v>258</v>
      </c>
      <c r="E17" s="62"/>
      <c r="F17" s="62"/>
      <c r="G17" s="62"/>
      <c r="H17" s="62"/>
      <c r="I17" s="62"/>
      <c r="J17" s="62"/>
      <c r="K17" s="62"/>
      <c r="L17" s="62"/>
    </row>
    <row r="18" customFormat="false" ht="33" hidden="false" customHeight="false" outlineLevel="0" collapsed="false">
      <c r="A18" s="62"/>
      <c r="B18" s="62"/>
      <c r="C18" s="62"/>
      <c r="D18" s="63" t="s">
        <v>349</v>
      </c>
      <c r="E18" s="62"/>
      <c r="F18" s="62"/>
      <c r="G18" s="62"/>
      <c r="H18" s="62"/>
      <c r="I18" s="62"/>
      <c r="J18" s="62"/>
      <c r="K18" s="62"/>
      <c r="L18" s="62"/>
    </row>
    <row r="19" customFormat="false" ht="17.25" hidden="false" customHeight="false" outlineLevel="0" collapsed="false">
      <c r="A19" s="62"/>
      <c r="B19" s="62"/>
      <c r="C19" s="62"/>
      <c r="D19" s="63" t="s">
        <v>260</v>
      </c>
      <c r="E19" s="62"/>
      <c r="F19" s="62"/>
      <c r="G19" s="62"/>
      <c r="H19" s="62"/>
      <c r="I19" s="62"/>
      <c r="J19" s="62"/>
      <c r="K19" s="62"/>
      <c r="L19" s="62"/>
    </row>
    <row r="20" customFormat="false" ht="33" hidden="false" customHeight="false" outlineLevel="0" collapsed="false">
      <c r="A20" s="62"/>
      <c r="B20" s="62"/>
      <c r="C20" s="62"/>
      <c r="D20" s="63" t="s">
        <v>244</v>
      </c>
      <c r="E20" s="62"/>
      <c r="F20" s="62"/>
      <c r="G20" s="62"/>
      <c r="H20" s="62"/>
      <c r="I20" s="62"/>
      <c r="J20" s="62"/>
      <c r="K20" s="62"/>
      <c r="L20" s="62"/>
    </row>
    <row r="21" customFormat="false" ht="17.25" hidden="false" customHeight="false" outlineLevel="0" collapsed="false">
      <c r="A21" s="62"/>
      <c r="B21" s="62"/>
      <c r="C21" s="62"/>
      <c r="D21" s="62" t="s">
        <v>350</v>
      </c>
      <c r="E21" s="62"/>
      <c r="F21" s="62"/>
      <c r="G21" s="62"/>
      <c r="H21" s="62"/>
      <c r="I21" s="62"/>
      <c r="J21" s="62"/>
      <c r="K21" s="62"/>
      <c r="L21" s="62"/>
    </row>
    <row r="22" customFormat="false" ht="33" hidden="false" customHeight="false" outlineLevel="0" collapsed="false">
      <c r="A22" s="62"/>
      <c r="B22" s="62"/>
      <c r="C22" s="62"/>
      <c r="D22" s="63" t="s">
        <v>351</v>
      </c>
      <c r="E22" s="62"/>
      <c r="F22" s="62"/>
      <c r="G22" s="62"/>
      <c r="H22" s="62"/>
      <c r="I22" s="62"/>
      <c r="J22" s="62"/>
      <c r="K22" s="62"/>
      <c r="L22" s="62"/>
    </row>
    <row r="23" customFormat="false" ht="17.25" hidden="false" customHeight="false" outlineLevel="0" collapsed="false">
      <c r="A23" s="62"/>
      <c r="B23" s="62"/>
      <c r="C23" s="62"/>
      <c r="D23" s="63" t="s">
        <v>315</v>
      </c>
      <c r="E23" s="62"/>
      <c r="F23" s="62"/>
      <c r="G23" s="62"/>
      <c r="H23" s="62"/>
      <c r="I23" s="62"/>
      <c r="J23" s="62"/>
      <c r="K23" s="62"/>
      <c r="L23" s="62"/>
    </row>
    <row r="24" customFormat="false" ht="17.25" hidden="false" customHeight="false" outlineLevel="0" collapsed="false">
      <c r="A24" s="62"/>
      <c r="B24" s="62"/>
      <c r="C24" s="62"/>
      <c r="D24" s="63" t="s">
        <v>260</v>
      </c>
      <c r="E24" s="62"/>
      <c r="F24" s="62"/>
      <c r="G24" s="62"/>
      <c r="H24" s="62"/>
      <c r="I24" s="62"/>
      <c r="J24" s="62"/>
      <c r="K24" s="62"/>
      <c r="L24" s="62"/>
    </row>
    <row r="25" customFormat="false" ht="17.25" hidden="false" customHeight="false" outlineLevel="0" collapsed="false">
      <c r="A25" s="62"/>
      <c r="B25" s="62"/>
      <c r="C25" s="62"/>
      <c r="D25" s="62" t="s">
        <v>352</v>
      </c>
      <c r="E25" s="62"/>
      <c r="F25" s="62"/>
      <c r="G25" s="62"/>
      <c r="H25" s="62"/>
      <c r="I25" s="62"/>
      <c r="J25" s="62"/>
      <c r="K25" s="62"/>
      <c r="L25" s="62"/>
    </row>
    <row r="26" customFormat="false" ht="17.25" hidden="false" customHeight="false" outlineLevel="0" collapsed="false">
      <c r="A26" s="62"/>
      <c r="B26" s="62"/>
      <c r="C26" s="62"/>
      <c r="D26" s="63" t="s">
        <v>233</v>
      </c>
      <c r="E26" s="62"/>
      <c r="F26" s="62"/>
      <c r="G26" s="62"/>
      <c r="H26" s="62"/>
      <c r="I26" s="62"/>
      <c r="J26" s="62"/>
      <c r="K26" s="62"/>
      <c r="L26" s="62"/>
    </row>
    <row r="27" customFormat="false" ht="33" hidden="false" customHeight="false" outlineLevel="0" collapsed="false">
      <c r="A27" s="62"/>
      <c r="B27" s="62" t="n">
        <v>344</v>
      </c>
      <c r="C27" s="62"/>
      <c r="D27" s="62"/>
      <c r="E27" s="63" t="s">
        <v>353</v>
      </c>
      <c r="F27" s="62"/>
      <c r="G27" s="62" t="s">
        <v>354</v>
      </c>
      <c r="H27" s="62"/>
      <c r="I27" s="62"/>
      <c r="J27" s="62"/>
      <c r="K27" s="62"/>
      <c r="L27" s="62"/>
    </row>
    <row r="28" customFormat="false" ht="33" hidden="false" customHeight="false" outlineLevel="0" collapsed="false">
      <c r="A28" s="62"/>
      <c r="B28" s="62"/>
      <c r="C28" s="62"/>
      <c r="D28" s="62"/>
      <c r="E28" s="63" t="s">
        <v>257</v>
      </c>
      <c r="F28" s="62"/>
      <c r="G28" s="62" t="n">
        <v>5</v>
      </c>
      <c r="H28" s="62" t="s">
        <v>355</v>
      </c>
      <c r="I28" s="62"/>
      <c r="J28" s="62"/>
      <c r="K28" s="62"/>
      <c r="L28" s="62"/>
    </row>
    <row r="29" customFormat="false" ht="33" hidden="false" customHeight="false" outlineLevel="0" collapsed="false">
      <c r="A29" s="62"/>
      <c r="B29" s="62"/>
      <c r="C29" s="62"/>
      <c r="D29" s="62"/>
      <c r="E29" s="63" t="s">
        <v>326</v>
      </c>
      <c r="F29" s="62"/>
      <c r="G29" s="62" t="s">
        <v>339</v>
      </c>
      <c r="H29" s="62"/>
      <c r="I29" s="62"/>
      <c r="J29" s="62"/>
      <c r="K29" s="62"/>
      <c r="L29" s="62"/>
    </row>
    <row r="30" customFormat="false" ht="48.75" hidden="false" customHeight="false" outlineLevel="0" collapsed="false">
      <c r="A30" s="62"/>
      <c r="B30" s="62"/>
      <c r="C30" s="62"/>
      <c r="D30" s="62"/>
      <c r="E30" s="63" t="s">
        <v>356</v>
      </c>
      <c r="F30" s="62"/>
      <c r="G30" s="62" t="n">
        <v>1</v>
      </c>
      <c r="H30" s="62" t="s">
        <v>357</v>
      </c>
      <c r="I30" s="62"/>
      <c r="J30" s="62"/>
      <c r="K30" s="62"/>
      <c r="L30" s="62"/>
    </row>
    <row r="31" customFormat="false" ht="17.25" hidden="false" customHeight="false" outlineLevel="0" collapsed="false">
      <c r="A31" s="62"/>
      <c r="B31" s="62"/>
      <c r="C31" s="62"/>
      <c r="D31" s="62"/>
      <c r="E31" s="63" t="s">
        <v>233</v>
      </c>
      <c r="F31" s="62"/>
      <c r="G31" s="62" t="n">
        <v>2</v>
      </c>
      <c r="H31" s="62" t="s">
        <v>301</v>
      </c>
      <c r="I31" s="62"/>
      <c r="J31" s="62"/>
      <c r="K31" s="62"/>
      <c r="L31" s="62"/>
    </row>
    <row r="32" customFormat="false" ht="33" hidden="false" customHeight="false" outlineLevel="0" collapsed="false">
      <c r="A32" s="62"/>
      <c r="B32" s="62"/>
      <c r="C32" s="62"/>
      <c r="D32" s="62"/>
      <c r="E32" s="63" t="s">
        <v>289</v>
      </c>
      <c r="F32" s="62"/>
      <c r="G32" s="62" t="s">
        <v>267</v>
      </c>
      <c r="H32" s="62" t="s">
        <v>268</v>
      </c>
      <c r="I32" s="62"/>
      <c r="J32" s="62"/>
      <c r="K32" s="62"/>
      <c r="L32" s="62"/>
    </row>
    <row r="33" customFormat="false" ht="17.25" hidden="false" customHeight="false" outlineLevel="0" collapsed="false">
      <c r="A33" s="62"/>
      <c r="B33" s="62"/>
      <c r="C33" s="62"/>
      <c r="D33" s="62"/>
      <c r="E33" s="62"/>
      <c r="F33" s="62"/>
      <c r="G33" s="63" t="s">
        <v>269</v>
      </c>
      <c r="H33" s="62" t="s">
        <v>358</v>
      </c>
      <c r="I33" s="62"/>
      <c r="J33" s="62"/>
      <c r="K33" s="62"/>
      <c r="L33" s="62"/>
    </row>
    <row r="34" customFormat="false" ht="33" hidden="false" customHeight="false" outlineLevel="0" collapsed="false">
      <c r="A34" s="62"/>
      <c r="B34" s="62"/>
      <c r="C34" s="62"/>
      <c r="D34" s="62"/>
      <c r="E34" s="62"/>
      <c r="F34" s="62"/>
      <c r="G34" s="63" t="s">
        <v>270</v>
      </c>
      <c r="H34" s="62"/>
      <c r="I34" s="62"/>
      <c r="J34" s="62"/>
      <c r="K34" s="62"/>
      <c r="L34" s="62"/>
    </row>
    <row r="35" customFormat="false" ht="33" hidden="false" customHeight="false" outlineLevel="0" collapsed="false">
      <c r="A35" s="62"/>
      <c r="B35" s="62"/>
      <c r="C35" s="62"/>
      <c r="D35" s="62"/>
      <c r="E35" s="62"/>
      <c r="F35" s="62"/>
      <c r="G35" s="62" t="s">
        <v>267</v>
      </c>
      <c r="H35" s="62"/>
      <c r="I35" s="62"/>
      <c r="J35" s="62"/>
      <c r="K35" s="62"/>
      <c r="L35" s="62"/>
    </row>
    <row r="36" customFormat="false" ht="17.25" hidden="false" customHeight="false" outlineLevel="0" collapsed="false">
      <c r="A36" s="62"/>
      <c r="B36" s="62"/>
      <c r="C36" s="62"/>
      <c r="D36" s="62"/>
      <c r="E36" s="62"/>
      <c r="F36" s="62"/>
      <c r="G36" s="62" t="s">
        <v>358</v>
      </c>
      <c r="H36" s="62"/>
      <c r="I36" s="62"/>
      <c r="J36" s="62"/>
      <c r="K36" s="62"/>
      <c r="L36" s="62"/>
    </row>
    <row r="37" customFormat="false" ht="33" hidden="false" customHeight="false" outlineLevel="0" collapsed="false">
      <c r="A37" s="62"/>
      <c r="B37" s="62"/>
      <c r="C37" s="62"/>
      <c r="D37" s="62"/>
      <c r="E37" s="62"/>
      <c r="F37" s="62"/>
      <c r="G37" s="62" t="s">
        <v>267</v>
      </c>
      <c r="H37" s="62"/>
      <c r="I37" s="62"/>
      <c r="J37" s="62"/>
      <c r="K37" s="62"/>
      <c r="L37" s="62"/>
    </row>
    <row r="38" customFormat="false" ht="48.75" hidden="false" customHeight="false" outlineLevel="0" collapsed="false">
      <c r="A38" s="62"/>
      <c r="B38" s="62"/>
      <c r="C38" s="62"/>
      <c r="D38" s="62" t="s">
        <v>274</v>
      </c>
      <c r="E38" s="62" t="s">
        <v>275</v>
      </c>
      <c r="F38" s="62" t="s">
        <v>268</v>
      </c>
      <c r="G38" s="62" t="s">
        <v>267</v>
      </c>
      <c r="H38" s="62" t="s">
        <v>268</v>
      </c>
      <c r="I38" s="62" t="s">
        <v>276</v>
      </c>
      <c r="J38" s="62" t="s">
        <v>276</v>
      </c>
      <c r="K38" s="62"/>
      <c r="L38" s="62"/>
    </row>
    <row r="39" customFormat="false" ht="33" hidden="false" customHeight="false" outlineLevel="0" collapsed="false">
      <c r="A39" s="62"/>
      <c r="B39" s="62"/>
      <c r="C39" s="62"/>
      <c r="D39" s="63" t="s">
        <v>277</v>
      </c>
      <c r="E39" s="62"/>
      <c r="F39" s="62"/>
      <c r="G39" s="63" t="s">
        <v>278</v>
      </c>
      <c r="H39" s="62" t="s">
        <v>359</v>
      </c>
      <c r="I39" s="62"/>
      <c r="J39" s="62"/>
      <c r="K39" s="62"/>
      <c r="L39" s="62"/>
    </row>
    <row r="40" customFormat="false" ht="33" hidden="false" customHeight="false" outlineLevel="0" collapsed="false">
      <c r="A40" s="62"/>
      <c r="B40" s="62"/>
      <c r="C40" s="62"/>
      <c r="D40" s="62"/>
      <c r="E40" s="62"/>
      <c r="F40" s="62"/>
      <c r="G40" s="63" t="s">
        <v>270</v>
      </c>
      <c r="H40" s="62"/>
      <c r="I40" s="62"/>
      <c r="J40" s="62"/>
      <c r="K40" s="62"/>
      <c r="L40" s="62"/>
    </row>
    <row r="41" customFormat="false" ht="33" hidden="false" customHeight="false" outlineLevel="0" collapsed="false">
      <c r="A41" s="62"/>
      <c r="B41" s="62"/>
      <c r="C41" s="62"/>
      <c r="D41" s="62"/>
      <c r="E41" s="62"/>
      <c r="F41" s="62"/>
      <c r="G41" s="62" t="s">
        <v>267</v>
      </c>
      <c r="H41" s="62"/>
      <c r="I41" s="62"/>
      <c r="J41" s="62"/>
      <c r="K41" s="62"/>
      <c r="L41" s="62"/>
    </row>
    <row r="42" customFormat="false" ht="17.25" hidden="false" customHeight="false" outlineLevel="0" collapsed="false">
      <c r="A42" s="62"/>
      <c r="B42" s="62"/>
      <c r="C42" s="62"/>
      <c r="D42" s="62"/>
      <c r="E42" s="62"/>
      <c r="F42" s="62"/>
      <c r="G42" s="62" t="s">
        <v>359</v>
      </c>
      <c r="H42" s="62"/>
      <c r="I42" s="62"/>
      <c r="J42" s="62"/>
      <c r="K42" s="62"/>
      <c r="L42" s="62"/>
    </row>
    <row r="43" customFormat="false" ht="33" hidden="false" customHeight="false" outlineLevel="0" collapsed="false">
      <c r="A43" s="62"/>
      <c r="B43" s="62"/>
      <c r="C43" s="62"/>
      <c r="D43" s="62"/>
      <c r="E43" s="62"/>
      <c r="F43" s="62"/>
      <c r="G43" s="62" t="s">
        <v>267</v>
      </c>
      <c r="H43" s="62"/>
      <c r="I43" s="62"/>
      <c r="J43" s="62"/>
      <c r="K43" s="62"/>
      <c r="L43" s="62"/>
    </row>
    <row r="44" customFormat="false" ht="33" hidden="false" customHeight="false" outlineLevel="0" collapsed="false">
      <c r="A44" s="62"/>
      <c r="B44" s="62"/>
      <c r="C44" s="62"/>
      <c r="D44" s="62"/>
      <c r="E44" s="62"/>
      <c r="F44" s="62"/>
      <c r="G44" s="62" t="s">
        <v>360</v>
      </c>
      <c r="H44" s="62"/>
      <c r="I44" s="62"/>
      <c r="J44" s="62"/>
      <c r="K44" s="62"/>
      <c r="L44" s="62"/>
    </row>
    <row r="45" customFormat="false" ht="15.75" hidden="false" customHeight="false" outlineLevel="0" collapsed="false">
      <c r="A45" s="3" t="s">
        <v>211</v>
      </c>
    </row>
    <row r="46" customFormat="false" ht="15.75" hidden="false" customHeight="false" outlineLevel="0" collapsed="false">
      <c r="A46" s="65" t="s">
        <v>281</v>
      </c>
    </row>
  </sheetData>
  <hyperlinks>
    <hyperlink ref="M1" location="Index!A1" display="Index"/>
    <hyperlink ref="A45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" hidden="false" customHeight="false" outlineLevel="0" collapsed="false">
      <c r="A2" s="57" t="s">
        <v>202</v>
      </c>
      <c r="B2" s="58" t="s">
        <v>203</v>
      </c>
      <c r="C2" s="57" t="s">
        <v>204</v>
      </c>
      <c r="D2" s="59" t="n">
        <v>317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210</v>
      </c>
    </row>
    <row r="3" customFormat="false" ht="15" hidden="false" customHeight="false" outlineLevel="0" collapsed="false">
      <c r="A3" s="3" t="s">
        <v>211</v>
      </c>
    </row>
    <row r="4" customFormat="false" ht="18" hidden="false" customHeight="false" outlineLevel="0" collapsed="false">
      <c r="A4" s="60" t="s">
        <v>212</v>
      </c>
    </row>
    <row r="6" customFormat="false" ht="15" hidden="false" customHeight="false" outlineLevel="0" collapsed="false">
      <c r="A6" s="0" t="s">
        <v>361</v>
      </c>
    </row>
    <row r="10" customFormat="false" ht="15.75" hidden="false" customHeight="false" outlineLevel="0" collapsed="false">
      <c r="A10" s="65" t="s">
        <v>281</v>
      </c>
    </row>
  </sheetData>
  <hyperlinks>
    <hyperlink ref="M1" location="Index!A1" display="Index"/>
    <hyperlink ref="A3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0" width="13.15"/>
  </cols>
  <sheetData>
    <row r="1" customFormat="false" ht="15" hidden="false" customHeight="false" outlineLevel="0" collapsed="false">
      <c r="C1" s="4" t="s">
        <v>3</v>
      </c>
    </row>
    <row r="2" customFormat="false" ht="15" hidden="false" customHeight="false" outlineLevel="0" collapsed="false">
      <c r="A2" s="0" t="s">
        <v>362</v>
      </c>
      <c r="B2" s="0" t="s">
        <v>363</v>
      </c>
      <c r="C2" s="0" t="s">
        <v>122</v>
      </c>
      <c r="D2" s="0" t="s">
        <v>364</v>
      </c>
      <c r="E2" s="0" t="s">
        <v>365</v>
      </c>
    </row>
    <row r="3" customFormat="false" ht="15" hidden="false" customHeight="false" outlineLevel="0" collapsed="false">
      <c r="A3" s="0" t="n">
        <v>4407</v>
      </c>
      <c r="B3" s="0" t="n">
        <v>208</v>
      </c>
      <c r="C3" s="0" t="n">
        <v>19</v>
      </c>
      <c r="D3" s="0" t="n">
        <v>4</v>
      </c>
      <c r="E3" s="0" t="n">
        <v>8</v>
      </c>
    </row>
    <row r="4" customFormat="false" ht="15" hidden="false" customHeight="false" outlineLevel="0" collapsed="false">
      <c r="B4" s="0" t="n">
        <v>265</v>
      </c>
      <c r="C4" s="0" t="n">
        <v>12</v>
      </c>
      <c r="D4" s="0" t="n">
        <v>16</v>
      </c>
      <c r="E4" s="0" t="n">
        <v>0</v>
      </c>
    </row>
    <row r="5" customFormat="false" ht="15" hidden="false" customHeight="false" outlineLevel="0" collapsed="false">
      <c r="A5" s="0" t="s">
        <v>366</v>
      </c>
      <c r="B5" s="0" t="n">
        <v>347</v>
      </c>
      <c r="C5" s="0" t="n">
        <v>0</v>
      </c>
      <c r="D5" s="0" t="n">
        <v>16</v>
      </c>
      <c r="E5" s="0" t="n">
        <v>0</v>
      </c>
    </row>
    <row r="6" customFormat="false" ht="15" hidden="false" customHeight="false" outlineLevel="0" collapsed="false">
      <c r="B6" s="0" t="n">
        <v>406</v>
      </c>
      <c r="C6" s="0" t="n">
        <v>10</v>
      </c>
      <c r="D6" s="0" t="n">
        <v>11</v>
      </c>
      <c r="E6" s="0" t="n">
        <v>0</v>
      </c>
      <c r="J6" s="0" t="s">
        <v>367</v>
      </c>
    </row>
    <row r="7" customFormat="false" ht="15" hidden="false" customHeight="false" outlineLevel="0" collapsed="false">
      <c r="B7" s="0" t="n">
        <v>345</v>
      </c>
      <c r="C7" s="0" t="n">
        <v>5</v>
      </c>
      <c r="D7" s="0" t="n">
        <v>17</v>
      </c>
      <c r="E7" s="0" t="n">
        <v>6</v>
      </c>
    </row>
    <row r="8" customFormat="false" ht="15" hidden="false" customHeight="false" outlineLevel="0" collapsed="false">
      <c r="B8" s="0" t="n">
        <v>349</v>
      </c>
      <c r="C8" s="0" t="n">
        <v>10</v>
      </c>
      <c r="D8" s="0" t="n">
        <v>10</v>
      </c>
      <c r="E8" s="0" t="n">
        <v>0</v>
      </c>
    </row>
    <row r="9" customFormat="false" ht="15" hidden="false" customHeight="false" outlineLevel="0" collapsed="false">
      <c r="B9" s="0" t="n">
        <v>339</v>
      </c>
      <c r="C9" s="0" t="n">
        <v>9</v>
      </c>
      <c r="D9" s="0" t="n">
        <v>18</v>
      </c>
      <c r="E9" s="0" t="n">
        <v>2</v>
      </c>
    </row>
    <row r="10" customFormat="false" ht="15" hidden="false" customHeight="false" outlineLevel="0" collapsed="false">
      <c r="B10" s="0" t="n">
        <v>1</v>
      </c>
    </row>
    <row r="11" customFormat="false" ht="15" hidden="false" customHeight="false" outlineLevel="0" collapsed="false">
      <c r="B11" s="0" t="n">
        <v>208</v>
      </c>
    </row>
    <row r="12" customFormat="false" ht="18.75" hidden="false" customHeight="false" outlineLevel="0" collapsed="false">
      <c r="C12" s="67" t="n">
        <f aca="false">SUM(C3:C11)+4</f>
        <v>69</v>
      </c>
      <c r="D12" s="67" t="n">
        <f aca="false">SUM(D3:D11)-80+1</f>
        <v>13</v>
      </c>
      <c r="E12" s="67" t="n">
        <f aca="false">SUM(E3:E11)-10</f>
        <v>6</v>
      </c>
    </row>
    <row r="14" customFormat="false" ht="15" hidden="false" customHeight="false" outlineLevel="0" collapsed="false">
      <c r="A14" s="0" t="n">
        <v>4402</v>
      </c>
      <c r="B14" s="0" t="n">
        <v>344</v>
      </c>
      <c r="C14" s="0" t="n">
        <v>7</v>
      </c>
      <c r="D14" s="0" t="n">
        <v>13</v>
      </c>
      <c r="E14" s="0" t="n">
        <v>4</v>
      </c>
    </row>
    <row r="15" customFormat="false" ht="15" hidden="false" customHeight="false" outlineLevel="0" collapsed="false">
      <c r="A15" s="0" t="s">
        <v>368</v>
      </c>
    </row>
    <row r="16" customFormat="false" ht="15" hidden="false" customHeight="false" outlineLevel="0" collapsed="false">
      <c r="C16" s="4" t="n">
        <f aca="false">C12+C14+1</f>
        <v>77</v>
      </c>
      <c r="D16" s="4" t="n">
        <f aca="false">D12+D14-20+1</f>
        <v>7</v>
      </c>
      <c r="E16" s="4" t="n">
        <v>0</v>
      </c>
      <c r="H16" s="0" t="n">
        <f aca="false">77*20+7-211</f>
        <v>1336</v>
      </c>
    </row>
    <row r="18" customFormat="false" ht="15" hidden="false" customHeight="false" outlineLevel="0" collapsed="false">
      <c r="C18" s="4" t="s">
        <v>2</v>
      </c>
    </row>
    <row r="19" customFormat="false" ht="15" hidden="false" customHeight="false" outlineLevel="0" collapsed="false">
      <c r="A19" s="0" t="n">
        <v>22953</v>
      </c>
      <c r="B19" s="0" t="n">
        <v>530</v>
      </c>
      <c r="C19" s="0" t="n">
        <v>4</v>
      </c>
      <c r="D19" s="0" t="n">
        <v>0</v>
      </c>
      <c r="E19" s="0" t="n">
        <v>0</v>
      </c>
      <c r="F19" s="0" t="s">
        <v>368</v>
      </c>
    </row>
    <row r="20" customFormat="false" ht="15" hidden="false" customHeight="false" outlineLevel="0" collapsed="false">
      <c r="A20" s="0" t="n">
        <v>22954</v>
      </c>
      <c r="B20" s="0" t="n">
        <v>528</v>
      </c>
      <c r="C20" s="0" t="n">
        <v>5</v>
      </c>
      <c r="D20" s="0" t="n">
        <v>4</v>
      </c>
      <c r="E20" s="0" t="n">
        <v>0</v>
      </c>
    </row>
    <row r="21" customFormat="false" ht="15" hidden="false" customHeight="false" outlineLevel="0" collapsed="false">
      <c r="B21" s="0" t="n">
        <v>529</v>
      </c>
      <c r="C21" s="0" t="n">
        <v>2</v>
      </c>
      <c r="D21" s="0" t="n">
        <v>18</v>
      </c>
      <c r="E21" s="0" t="n">
        <v>0</v>
      </c>
    </row>
    <row r="22" customFormat="false" ht="15" hidden="false" customHeight="false" outlineLevel="0" collapsed="false">
      <c r="B22" s="0" t="n">
        <v>530</v>
      </c>
      <c r="C22" s="0" t="n">
        <v>3</v>
      </c>
      <c r="D22" s="0" t="n">
        <v>6</v>
      </c>
      <c r="E22" s="0" t="n">
        <v>7</v>
      </c>
    </row>
    <row r="23" customFormat="false" ht="15" hidden="false" customHeight="false" outlineLevel="0" collapsed="false">
      <c r="B23" s="0" t="n">
        <v>531</v>
      </c>
      <c r="C23" s="0" t="n">
        <v>2</v>
      </c>
      <c r="D23" s="0" t="n">
        <v>17</v>
      </c>
      <c r="E23" s="0" t="n">
        <v>2</v>
      </c>
    </row>
    <row r="24" customFormat="false" ht="15" hidden="false" customHeight="false" outlineLevel="0" collapsed="false">
      <c r="C24" s="4" t="n">
        <f aca="false">SUM(C19:C23)+2</f>
        <v>18</v>
      </c>
      <c r="D24" s="4" t="n">
        <f aca="false">SUM(D19:D23)-40</f>
        <v>5</v>
      </c>
      <c r="E24" s="4" t="n">
        <f aca="false">SUM(E19:E23)</f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20.57"/>
    <col collapsed="false" customWidth="true" hidden="false" outlineLevel="0" max="5" min="5" style="0" width="14.42"/>
    <col collapsed="false" customWidth="true" hidden="false" outlineLevel="0" max="6" min="6" style="68" width="12.15"/>
  </cols>
  <sheetData>
    <row r="1" customFormat="false" ht="15" hidden="false" customHeight="false" outlineLevel="0" collapsed="false">
      <c r="B1" s="12" t="n">
        <v>5</v>
      </c>
      <c r="C1" s="12" t="n">
        <v>706</v>
      </c>
    </row>
    <row r="2" customFormat="false" ht="15" hidden="false" customHeight="false" outlineLevel="0" collapsed="false">
      <c r="B2" s="12" t="n">
        <v>45</v>
      </c>
      <c r="C2" s="12" t="n">
        <v>719</v>
      </c>
      <c r="D2" s="12" t="n">
        <v>739</v>
      </c>
    </row>
    <row r="3" customFormat="false" ht="15" hidden="false" customHeight="false" outlineLevel="0" collapsed="false">
      <c r="B3" s="12" t="n">
        <v>483</v>
      </c>
      <c r="C3" s="12" t="n">
        <v>726</v>
      </c>
      <c r="D3" s="12" t="n">
        <v>740</v>
      </c>
    </row>
    <row r="4" customFormat="false" ht="15" hidden="false" customHeight="false" outlineLevel="0" collapsed="false">
      <c r="B4" s="12" t="n">
        <v>486</v>
      </c>
      <c r="C4" s="12" t="n">
        <v>741</v>
      </c>
    </row>
    <row r="5" customFormat="false" ht="15" hidden="false" customHeight="false" outlineLevel="0" collapsed="false">
      <c r="B5" s="12" t="n">
        <v>492</v>
      </c>
      <c r="C5" s="12" t="n">
        <v>742</v>
      </c>
    </row>
    <row r="6" customFormat="false" ht="15" hidden="false" customHeight="false" outlineLevel="0" collapsed="false">
      <c r="B6" s="12" t="n">
        <v>594</v>
      </c>
      <c r="C6" s="12" t="n">
        <v>743</v>
      </c>
    </row>
    <row r="7" customFormat="false" ht="15" hidden="false" customHeight="false" outlineLevel="0" collapsed="false">
      <c r="B7" s="12" t="n">
        <v>497</v>
      </c>
      <c r="C7" s="12" t="n">
        <v>745</v>
      </c>
    </row>
    <row r="8" customFormat="false" ht="15" hidden="false" customHeight="false" outlineLevel="0" collapsed="false">
      <c r="C8" s="12" t="n">
        <v>748</v>
      </c>
    </row>
    <row r="9" customFormat="false" ht="15" hidden="false" customHeight="false" outlineLevel="0" collapsed="false">
      <c r="C9" s="12" t="n">
        <v>751</v>
      </c>
    </row>
    <row r="10" customFormat="false" ht="15" hidden="false" customHeight="false" outlineLevel="0" collapsed="false">
      <c r="M10" s="3" t="s">
        <v>82</v>
      </c>
    </row>
    <row r="11" customFormat="false" ht="15" hidden="false" customHeight="false" outlineLevel="0" collapsed="false">
      <c r="A11" s="4" t="s">
        <v>369</v>
      </c>
      <c r="B11" s="4" t="s">
        <v>370</v>
      </c>
      <c r="C11" s="4" t="s">
        <v>371</v>
      </c>
      <c r="D11" s="4" t="s">
        <v>372</v>
      </c>
      <c r="E11" s="4" t="s">
        <v>373</v>
      </c>
      <c r="F11" s="69" t="s">
        <v>374</v>
      </c>
      <c r="G11" s="4"/>
    </row>
    <row r="12" customFormat="false" ht="15" hidden="false" customHeight="false" outlineLevel="0" collapsed="false">
      <c r="A12" s="0" t="n">
        <v>355</v>
      </c>
      <c r="B12" s="0" t="n">
        <v>742</v>
      </c>
      <c r="C12" s="0" t="s">
        <v>375</v>
      </c>
      <c r="D12" s="20" t="s">
        <v>376</v>
      </c>
      <c r="E12" s="20" t="s">
        <v>377</v>
      </c>
      <c r="F12" s="68" t="s">
        <v>378</v>
      </c>
    </row>
    <row r="13" customFormat="false" ht="15" hidden="false" customHeight="false" outlineLevel="0" collapsed="false">
      <c r="A13" s="0" t="n">
        <v>355</v>
      </c>
      <c r="B13" s="0" t="n">
        <v>742</v>
      </c>
      <c r="C13" s="0" t="s">
        <v>379</v>
      </c>
      <c r="D13" s="20" t="s">
        <v>376</v>
      </c>
      <c r="E13" s="20" t="s">
        <v>377</v>
      </c>
      <c r="F13" s="68" t="s">
        <v>380</v>
      </c>
    </row>
    <row r="15" customFormat="false" ht="15" hidden="false" customHeight="false" outlineLevel="0" collapsed="false">
      <c r="A15" s="0" t="n">
        <v>347</v>
      </c>
      <c r="B15" s="0" t="n">
        <v>726</v>
      </c>
      <c r="C15" s="0" t="s">
        <v>381</v>
      </c>
      <c r="D15" s="20" t="s">
        <v>382</v>
      </c>
      <c r="E15" s="20" t="s">
        <v>377</v>
      </c>
      <c r="F15" s="68" t="s">
        <v>383</v>
      </c>
    </row>
    <row r="17" customFormat="false" ht="15" hidden="false" customHeight="false" outlineLevel="0" collapsed="false">
      <c r="A17" s="0" t="n">
        <v>344</v>
      </c>
      <c r="B17" s="0" t="n">
        <v>719</v>
      </c>
      <c r="C17" s="0" t="s">
        <v>384</v>
      </c>
      <c r="D17" s="20" t="s">
        <v>376</v>
      </c>
      <c r="E17" s="20" t="s">
        <v>377</v>
      </c>
      <c r="F17" s="68" t="s">
        <v>385</v>
      </c>
    </row>
    <row r="18" customFormat="false" ht="15" hidden="false" customHeight="false" outlineLevel="0" collapsed="false">
      <c r="A18" s="0" t="n">
        <v>344</v>
      </c>
      <c r="B18" s="0" t="n">
        <v>719</v>
      </c>
      <c r="C18" s="0" t="s">
        <v>386</v>
      </c>
      <c r="D18" s="20" t="s">
        <v>376</v>
      </c>
      <c r="E18" s="20" t="s">
        <v>377</v>
      </c>
      <c r="F18" s="68" t="s">
        <v>387</v>
      </c>
    </row>
    <row r="19" customFormat="false" ht="15" hidden="false" customHeight="false" outlineLevel="0" collapsed="false">
      <c r="A19" s="0" t="n">
        <v>344</v>
      </c>
      <c r="B19" s="0" t="n">
        <v>719</v>
      </c>
      <c r="C19" s="0" t="s">
        <v>388</v>
      </c>
      <c r="D19" s="20" t="s">
        <v>376</v>
      </c>
      <c r="E19" s="20" t="s">
        <v>377</v>
      </c>
      <c r="F19" s="68" t="s">
        <v>389</v>
      </c>
    </row>
    <row r="20" customFormat="false" ht="15" hidden="false" customHeight="false" outlineLevel="0" collapsed="false">
      <c r="A20" s="0" t="n">
        <v>344</v>
      </c>
      <c r="B20" s="0" t="n">
        <v>719</v>
      </c>
      <c r="C20" s="0" t="s">
        <v>390</v>
      </c>
      <c r="D20" s="20" t="s">
        <v>376</v>
      </c>
      <c r="E20" s="20" t="s">
        <v>377</v>
      </c>
      <c r="F20" s="68" t="s">
        <v>391</v>
      </c>
    </row>
    <row r="21" customFormat="false" ht="15" hidden="false" customHeight="false" outlineLevel="0" collapsed="false">
      <c r="A21" s="0" t="n">
        <v>344</v>
      </c>
      <c r="B21" s="0" t="n">
        <v>719</v>
      </c>
      <c r="C21" s="0" t="s">
        <v>392</v>
      </c>
      <c r="D21" s="20" t="s">
        <v>376</v>
      </c>
      <c r="E21" s="20" t="s">
        <v>393</v>
      </c>
      <c r="F21" s="68" t="s">
        <v>394</v>
      </c>
    </row>
    <row r="23" customFormat="false" ht="15" hidden="false" customHeight="false" outlineLevel="0" collapsed="false">
      <c r="A23" s="0" t="n">
        <v>1</v>
      </c>
      <c r="B23" s="0" t="n">
        <v>5</v>
      </c>
      <c r="C23" s="0" t="s">
        <v>395</v>
      </c>
      <c r="D23" s="20" t="s">
        <v>376</v>
      </c>
      <c r="E23" s="20" t="s">
        <v>393</v>
      </c>
      <c r="F23" s="68" t="s">
        <v>387</v>
      </c>
    </row>
    <row r="24" customFormat="false" ht="15" hidden="false" customHeight="false" outlineLevel="0" collapsed="false">
      <c r="A24" s="0" t="n">
        <v>1</v>
      </c>
      <c r="B24" s="0" t="n">
        <v>5</v>
      </c>
      <c r="C24" s="0" t="s">
        <v>396</v>
      </c>
      <c r="D24" s="20" t="s">
        <v>376</v>
      </c>
      <c r="E24" s="20" t="s">
        <v>393</v>
      </c>
      <c r="F24" s="68" t="s">
        <v>397</v>
      </c>
    </row>
    <row r="25" customFormat="false" ht="15" hidden="false" customHeight="false" outlineLevel="0" collapsed="false">
      <c r="A25" s="0" t="n">
        <v>1</v>
      </c>
      <c r="B25" s="0" t="n">
        <v>5</v>
      </c>
      <c r="C25" s="0" t="s">
        <v>398</v>
      </c>
      <c r="D25" s="20" t="s">
        <v>376</v>
      </c>
      <c r="E25" s="20" t="s">
        <v>393</v>
      </c>
      <c r="F25" s="68" t="s">
        <v>397</v>
      </c>
    </row>
    <row r="26" customFormat="false" ht="15" hidden="false" customHeight="false" outlineLevel="0" collapsed="false">
      <c r="A26" s="0" t="n">
        <v>1</v>
      </c>
      <c r="B26" s="0" t="n">
        <v>5</v>
      </c>
      <c r="C26" s="0" t="s">
        <v>399</v>
      </c>
      <c r="D26" s="20" t="s">
        <v>376</v>
      </c>
      <c r="E26" s="20" t="s">
        <v>393</v>
      </c>
      <c r="F26" s="68" t="s">
        <v>387</v>
      </c>
    </row>
    <row r="27" customFormat="false" ht="15" hidden="false" customHeight="false" outlineLevel="0" collapsed="false">
      <c r="A27" s="0" t="n">
        <v>1</v>
      </c>
      <c r="B27" s="0" t="n">
        <v>5</v>
      </c>
      <c r="C27" s="0" t="s">
        <v>400</v>
      </c>
      <c r="D27" s="20" t="s">
        <v>376</v>
      </c>
      <c r="E27" s="20" t="s">
        <v>393</v>
      </c>
      <c r="F27" s="68" t="s">
        <v>401</v>
      </c>
    </row>
    <row r="28" customFormat="false" ht="15" hidden="false" customHeight="false" outlineLevel="0" collapsed="false">
      <c r="A28" s="0" t="n">
        <v>1</v>
      </c>
      <c r="B28" s="0" t="n">
        <v>5</v>
      </c>
      <c r="C28" s="0" t="s">
        <v>402</v>
      </c>
      <c r="D28" s="20" t="s">
        <v>376</v>
      </c>
      <c r="E28" s="20" t="s">
        <v>393</v>
      </c>
      <c r="F28" s="68" t="s">
        <v>403</v>
      </c>
    </row>
    <row r="29" customFormat="false" ht="15" hidden="false" customHeight="false" outlineLevel="0" collapsed="false">
      <c r="A29" s="0" t="n">
        <v>1</v>
      </c>
      <c r="B29" s="0" t="n">
        <v>5</v>
      </c>
      <c r="C29" s="0" t="s">
        <v>404</v>
      </c>
      <c r="D29" s="20" t="s">
        <v>376</v>
      </c>
      <c r="E29" s="20" t="s">
        <v>377</v>
      </c>
      <c r="F29" s="68" t="s">
        <v>405</v>
      </c>
    </row>
    <row r="30" customFormat="false" ht="15" hidden="false" customHeight="false" outlineLevel="0" collapsed="false">
      <c r="A30" s="0" t="n">
        <v>1</v>
      </c>
      <c r="B30" s="0" t="n">
        <v>5</v>
      </c>
      <c r="C30" s="0" t="s">
        <v>406</v>
      </c>
      <c r="D30" s="20" t="s">
        <v>376</v>
      </c>
      <c r="E30" s="20" t="s">
        <v>393</v>
      </c>
      <c r="F30" s="68" t="s">
        <v>387</v>
      </c>
    </row>
    <row r="31" customFormat="false" ht="15" hidden="false" customHeight="false" outlineLevel="0" collapsed="false">
      <c r="A31" s="0" t="n">
        <v>1</v>
      </c>
      <c r="B31" s="0" t="n">
        <v>5</v>
      </c>
      <c r="C31" s="0" t="s">
        <v>407</v>
      </c>
      <c r="D31" s="20" t="s">
        <v>376</v>
      </c>
      <c r="E31" s="20" t="s">
        <v>393</v>
      </c>
      <c r="F31" s="68" t="s">
        <v>387</v>
      </c>
    </row>
    <row r="32" customFormat="false" ht="15" hidden="false" customHeight="false" outlineLevel="0" collapsed="false">
      <c r="A32" s="0" t="n">
        <v>1</v>
      </c>
      <c r="B32" s="0" t="n">
        <v>5</v>
      </c>
      <c r="C32" s="0" t="s">
        <v>408</v>
      </c>
      <c r="D32" s="20" t="s">
        <v>376</v>
      </c>
      <c r="E32" s="20" t="s">
        <v>377</v>
      </c>
      <c r="F32" s="68" t="s">
        <v>387</v>
      </c>
    </row>
    <row r="34" customFormat="false" ht="15" hidden="false" customHeight="false" outlineLevel="0" collapsed="false">
      <c r="A34" s="0" t="n">
        <v>354</v>
      </c>
      <c r="B34" s="0" t="n">
        <v>741</v>
      </c>
      <c r="C34" s="0" t="s">
        <v>409</v>
      </c>
      <c r="D34" s="20" t="s">
        <v>376</v>
      </c>
      <c r="E34" s="20" t="s">
        <v>377</v>
      </c>
      <c r="F34" s="68" t="s">
        <v>387</v>
      </c>
    </row>
    <row r="35" customFormat="false" ht="15" hidden="false" customHeight="false" outlineLevel="0" collapsed="false">
      <c r="A35" s="0" t="n">
        <v>354</v>
      </c>
      <c r="B35" s="0" t="n">
        <v>741</v>
      </c>
      <c r="C35" s="0" t="s">
        <v>410</v>
      </c>
      <c r="D35" s="20" t="s">
        <v>376</v>
      </c>
      <c r="E35" s="20" t="s">
        <v>377</v>
      </c>
      <c r="F35" s="68" t="s">
        <v>387</v>
      </c>
    </row>
    <row r="36" customFormat="false" ht="15" hidden="false" customHeight="false" outlineLevel="0" collapsed="false">
      <c r="A36" s="0" t="n">
        <v>354</v>
      </c>
      <c r="B36" s="0" t="n">
        <v>741</v>
      </c>
      <c r="C36" s="0" t="s">
        <v>411</v>
      </c>
      <c r="D36" s="20" t="s">
        <v>376</v>
      </c>
      <c r="E36" s="20" t="s">
        <v>412</v>
      </c>
      <c r="F36" s="68" t="s">
        <v>387</v>
      </c>
    </row>
    <row r="37" customFormat="false" ht="15" hidden="false" customHeight="false" outlineLevel="0" collapsed="false">
      <c r="A37" s="0" t="n">
        <v>354</v>
      </c>
      <c r="B37" s="0" t="n">
        <v>741</v>
      </c>
      <c r="C37" s="0" t="s">
        <v>413</v>
      </c>
      <c r="D37" s="20" t="s">
        <v>376</v>
      </c>
      <c r="E37" s="20" t="s">
        <v>412</v>
      </c>
      <c r="F37" s="68" t="s">
        <v>414</v>
      </c>
    </row>
    <row r="38" customFormat="false" ht="15" hidden="false" customHeight="false" outlineLevel="0" collapsed="false">
      <c r="A38" s="0" t="n">
        <v>354</v>
      </c>
      <c r="B38" s="0" t="n">
        <v>741</v>
      </c>
      <c r="C38" s="0" t="s">
        <v>413</v>
      </c>
      <c r="D38" s="0" t="s">
        <v>12</v>
      </c>
      <c r="E38" s="20" t="s">
        <v>415</v>
      </c>
      <c r="F38" s="68" t="s">
        <v>416</v>
      </c>
    </row>
    <row r="39" customFormat="false" ht="15" hidden="false" customHeight="false" outlineLevel="0" collapsed="false">
      <c r="A39" s="0" t="n">
        <v>354</v>
      </c>
      <c r="B39" s="0" t="n">
        <v>741</v>
      </c>
      <c r="C39" s="0" t="s">
        <v>417</v>
      </c>
      <c r="D39" s="20" t="s">
        <v>376</v>
      </c>
      <c r="E39" s="20" t="s">
        <v>412</v>
      </c>
      <c r="F39" s="68" t="s">
        <v>418</v>
      </c>
    </row>
    <row r="41" customFormat="false" ht="15" hidden="false" customHeight="false" outlineLevel="0" collapsed="false">
      <c r="A41" s="0" t="n">
        <v>355</v>
      </c>
      <c r="B41" s="3" t="n">
        <v>742</v>
      </c>
      <c r="C41" s="0" t="s">
        <v>375</v>
      </c>
      <c r="D41" s="20" t="s">
        <v>376</v>
      </c>
      <c r="E41" s="20" t="s">
        <v>377</v>
      </c>
      <c r="F41" s="68" t="s">
        <v>378</v>
      </c>
      <c r="G41" s="0" t="n">
        <v>1</v>
      </c>
      <c r="H41" s="0" t="n">
        <v>4</v>
      </c>
    </row>
    <row r="42" customFormat="false" ht="15" hidden="false" customHeight="false" outlineLevel="0" collapsed="false">
      <c r="A42" s="0" t="n">
        <v>355</v>
      </c>
      <c r="B42" s="0" t="n">
        <v>742</v>
      </c>
      <c r="C42" s="0" t="s">
        <v>379</v>
      </c>
      <c r="D42" s="20" t="s">
        <v>376</v>
      </c>
      <c r="E42" s="20" t="s">
        <v>377</v>
      </c>
      <c r="F42" s="68" t="s">
        <v>380</v>
      </c>
      <c r="G42" s="0" t="n">
        <v>2</v>
      </c>
      <c r="H42" s="0" t="n">
        <v>8</v>
      </c>
    </row>
    <row r="43" customFormat="false" ht="18.75" hidden="false" customHeight="false" outlineLevel="0" collapsed="false">
      <c r="G43" s="70" t="n">
        <f aca="false">SUM(G41:G42)</f>
        <v>3</v>
      </c>
      <c r="H43" s="70" t="n">
        <f aca="false">SUM(H41:H42)</f>
        <v>12</v>
      </c>
    </row>
    <row r="44" customFormat="false" ht="15" hidden="false" customHeight="false" outlineLevel="0" collapsed="false">
      <c r="A44" s="0" t="n">
        <v>356</v>
      </c>
      <c r="B44" s="0" t="n">
        <v>743</v>
      </c>
      <c r="C44" s="0" t="s">
        <v>419</v>
      </c>
      <c r="D44" s="20" t="s">
        <v>376</v>
      </c>
      <c r="E44" s="20" t="s">
        <v>420</v>
      </c>
      <c r="F44" s="68" t="s">
        <v>421</v>
      </c>
    </row>
    <row r="45" customFormat="false" ht="15" hidden="false" customHeight="false" outlineLevel="0" collapsed="false">
      <c r="A45" s="0" t="n">
        <v>356</v>
      </c>
      <c r="B45" s="0" t="n">
        <v>743</v>
      </c>
      <c r="C45" s="0" t="s">
        <v>419</v>
      </c>
      <c r="D45" s="0" t="s">
        <v>12</v>
      </c>
      <c r="E45" s="20" t="s">
        <v>393</v>
      </c>
      <c r="F45" s="68" t="s">
        <v>394</v>
      </c>
    </row>
    <row r="46" customFormat="false" ht="15" hidden="false" customHeight="false" outlineLevel="0" collapsed="false">
      <c r="A46" s="0" t="n">
        <v>356</v>
      </c>
      <c r="B46" s="0" t="n">
        <v>743</v>
      </c>
      <c r="C46" s="0" t="s">
        <v>422</v>
      </c>
      <c r="D46" s="20" t="s">
        <v>376</v>
      </c>
      <c r="E46" s="20" t="s">
        <v>377</v>
      </c>
      <c r="F46" s="68" t="s">
        <v>423</v>
      </c>
    </row>
    <row r="47" customFormat="false" ht="15" hidden="false" customHeight="false" outlineLevel="0" collapsed="false">
      <c r="A47" s="0" t="n">
        <v>356</v>
      </c>
      <c r="B47" s="0" t="n">
        <v>743</v>
      </c>
      <c r="C47" s="0" t="s">
        <v>424</v>
      </c>
      <c r="D47" s="20" t="s">
        <v>376</v>
      </c>
      <c r="E47" s="20" t="s">
        <v>393</v>
      </c>
      <c r="F47" s="68" t="s">
        <v>425</v>
      </c>
    </row>
    <row r="49" customFormat="false" ht="15" hidden="false" customHeight="false" outlineLevel="0" collapsed="false">
      <c r="A49" s="0" t="n">
        <v>358</v>
      </c>
      <c r="B49" s="0" t="n">
        <v>745</v>
      </c>
      <c r="C49" s="0" t="s">
        <v>426</v>
      </c>
      <c r="D49" s="20" t="s">
        <v>376</v>
      </c>
      <c r="E49" s="20" t="s">
        <v>393</v>
      </c>
      <c r="F49" s="68" t="s">
        <v>403</v>
      </c>
    </row>
    <row r="50" customFormat="false" ht="15" hidden="false" customHeight="false" outlineLevel="0" collapsed="false">
      <c r="A50" s="0" t="n">
        <v>358</v>
      </c>
      <c r="B50" s="0" t="n">
        <v>745</v>
      </c>
      <c r="C50" s="0" t="s">
        <v>427</v>
      </c>
      <c r="D50" s="20" t="s">
        <v>376</v>
      </c>
      <c r="E50" s="20" t="s">
        <v>393</v>
      </c>
      <c r="F50" s="68" t="s">
        <v>403</v>
      </c>
    </row>
    <row r="51" customFormat="false" ht="15" hidden="false" customHeight="false" outlineLevel="0" collapsed="false">
      <c r="A51" s="0" t="n">
        <v>358</v>
      </c>
      <c r="B51" s="0" t="n">
        <v>745</v>
      </c>
      <c r="C51" s="0" t="s">
        <v>428</v>
      </c>
      <c r="D51" s="20" t="s">
        <v>376</v>
      </c>
      <c r="E51" s="20" t="s">
        <v>412</v>
      </c>
      <c r="F51" s="68" t="s">
        <v>387</v>
      </c>
    </row>
    <row r="53" customFormat="false" ht="15" hidden="false" customHeight="false" outlineLevel="0" collapsed="false">
      <c r="A53" s="0" t="n">
        <v>359</v>
      </c>
      <c r="B53" s="3" t="n">
        <v>748</v>
      </c>
      <c r="C53" s="0" t="s">
        <v>429</v>
      </c>
      <c r="D53" s="20" t="s">
        <v>376</v>
      </c>
      <c r="E53" s="20" t="s">
        <v>393</v>
      </c>
      <c r="F53" s="68" t="s">
        <v>430</v>
      </c>
    </row>
    <row r="55" customFormat="false" ht="15" hidden="false" customHeight="false" outlineLevel="0" collapsed="false">
      <c r="A55" s="0" t="n">
        <v>217</v>
      </c>
      <c r="B55" s="0" t="n">
        <v>497</v>
      </c>
      <c r="C55" s="0" t="s">
        <v>431</v>
      </c>
      <c r="D55" s="20" t="s">
        <v>376</v>
      </c>
      <c r="E55" s="20" t="s">
        <v>377</v>
      </c>
      <c r="F55" s="68" t="s">
        <v>389</v>
      </c>
    </row>
    <row r="56" customFormat="false" ht="15" hidden="false" customHeight="false" outlineLevel="0" collapsed="false">
      <c r="A56" s="0" t="n">
        <v>217</v>
      </c>
      <c r="B56" s="0" t="n">
        <v>497</v>
      </c>
      <c r="C56" s="0" t="s">
        <v>432</v>
      </c>
      <c r="D56" s="20" t="s">
        <v>376</v>
      </c>
      <c r="E56" s="20" t="s">
        <v>377</v>
      </c>
      <c r="F56" s="68" t="s">
        <v>387</v>
      </c>
    </row>
    <row r="57" customFormat="false" ht="15" hidden="false" customHeight="false" outlineLevel="0" collapsed="false">
      <c r="A57" s="0" t="n">
        <v>217</v>
      </c>
      <c r="B57" s="0" t="n">
        <v>497</v>
      </c>
      <c r="C57" s="0" t="s">
        <v>433</v>
      </c>
      <c r="D57" s="20" t="s">
        <v>376</v>
      </c>
      <c r="E57" s="20" t="s">
        <v>377</v>
      </c>
      <c r="F57" s="68" t="s">
        <v>387</v>
      </c>
    </row>
    <row r="58" customFormat="false" ht="15" hidden="false" customHeight="false" outlineLevel="0" collapsed="false">
      <c r="A58" s="0" t="n">
        <v>217</v>
      </c>
      <c r="B58" s="0" t="n">
        <v>497</v>
      </c>
      <c r="C58" s="0" t="s">
        <v>434</v>
      </c>
      <c r="D58" s="20" t="s">
        <v>376</v>
      </c>
      <c r="E58" s="20" t="s">
        <v>377</v>
      </c>
      <c r="F58" s="68" t="s">
        <v>387</v>
      </c>
    </row>
    <row r="59" customFormat="false" ht="15" hidden="false" customHeight="false" outlineLevel="0" collapsed="false">
      <c r="A59" s="0" t="n">
        <v>217</v>
      </c>
      <c r="B59" s="0" t="n">
        <v>497</v>
      </c>
      <c r="C59" s="0" t="s">
        <v>435</v>
      </c>
      <c r="D59" s="20" t="s">
        <v>376</v>
      </c>
      <c r="E59" s="20" t="s">
        <v>377</v>
      </c>
      <c r="F59" s="68" t="s">
        <v>436</v>
      </c>
    </row>
    <row r="60" customFormat="false" ht="15" hidden="false" customHeight="false" outlineLevel="0" collapsed="false">
      <c r="A60" s="0" t="n">
        <v>217</v>
      </c>
      <c r="B60" s="0" t="n">
        <v>497</v>
      </c>
      <c r="C60" s="0" t="s">
        <v>437</v>
      </c>
      <c r="D60" s="20" t="s">
        <v>376</v>
      </c>
      <c r="E60" s="20" t="s">
        <v>393</v>
      </c>
      <c r="F60" s="68" t="s">
        <v>387</v>
      </c>
    </row>
    <row r="61" customFormat="false" ht="15" hidden="false" customHeight="false" outlineLevel="0" collapsed="false">
      <c r="A61" s="0" t="n">
        <v>217</v>
      </c>
      <c r="B61" s="0" t="n">
        <v>497</v>
      </c>
      <c r="C61" s="0" t="s">
        <v>438</v>
      </c>
      <c r="D61" s="20" t="s">
        <v>376</v>
      </c>
      <c r="E61" s="20" t="s">
        <v>393</v>
      </c>
      <c r="F61" s="68" t="s">
        <v>387</v>
      </c>
    </row>
    <row r="62" customFormat="false" ht="15" hidden="false" customHeight="false" outlineLevel="0" collapsed="false">
      <c r="A62" s="0" t="n">
        <v>217</v>
      </c>
      <c r="B62" s="0" t="n">
        <v>497</v>
      </c>
      <c r="C62" s="0" t="s">
        <v>439</v>
      </c>
      <c r="D62" s="20" t="s">
        <v>376</v>
      </c>
      <c r="E62" s="20" t="s">
        <v>377</v>
      </c>
      <c r="F62" s="68" t="s">
        <v>440</v>
      </c>
    </row>
    <row r="63" customFormat="false" ht="15" hidden="false" customHeight="false" outlineLevel="0" collapsed="false">
      <c r="A63" s="0" t="n">
        <v>217</v>
      </c>
      <c r="B63" s="0" t="n">
        <v>497</v>
      </c>
      <c r="C63" s="0" t="s">
        <v>441</v>
      </c>
      <c r="D63" s="20" t="s">
        <v>376</v>
      </c>
      <c r="E63" s="20" t="s">
        <v>393</v>
      </c>
      <c r="F63" s="68" t="s">
        <v>440</v>
      </c>
    </row>
    <row r="64" customFormat="false" ht="15" hidden="false" customHeight="false" outlineLevel="0" collapsed="false">
      <c r="A64" s="0" t="n">
        <v>217</v>
      </c>
      <c r="B64" s="0" t="n">
        <v>497</v>
      </c>
      <c r="C64" s="0" t="s">
        <v>442</v>
      </c>
      <c r="D64" s="20" t="s">
        <v>376</v>
      </c>
      <c r="E64" s="20" t="s">
        <v>377</v>
      </c>
      <c r="F64" s="68" t="s">
        <v>387</v>
      </c>
    </row>
    <row r="65" customFormat="false" ht="15" hidden="false" customHeight="false" outlineLevel="0" collapsed="false">
      <c r="A65" s="0" t="n">
        <v>217</v>
      </c>
      <c r="B65" s="0" t="n">
        <v>497</v>
      </c>
      <c r="C65" s="0" t="s">
        <v>443</v>
      </c>
      <c r="D65" s="20" t="s">
        <v>376</v>
      </c>
      <c r="E65" s="20" t="s">
        <v>377</v>
      </c>
      <c r="F65" s="68" t="s">
        <v>387</v>
      </c>
    </row>
    <row r="66" customFormat="false" ht="15" hidden="false" customHeight="false" outlineLevel="0" collapsed="false">
      <c r="A66" s="0" t="n">
        <v>217</v>
      </c>
      <c r="B66" s="0" t="n">
        <v>497</v>
      </c>
      <c r="C66" s="0" t="s">
        <v>444</v>
      </c>
      <c r="D66" s="20" t="s">
        <v>376</v>
      </c>
      <c r="E66" s="20" t="s">
        <v>377</v>
      </c>
      <c r="F66" s="68" t="s">
        <v>387</v>
      </c>
    </row>
    <row r="67" customFormat="false" ht="15" hidden="false" customHeight="false" outlineLevel="0" collapsed="false">
      <c r="A67" s="0" t="n">
        <v>217</v>
      </c>
      <c r="B67" s="0" t="n">
        <v>497</v>
      </c>
      <c r="C67" s="0" t="s">
        <v>445</v>
      </c>
      <c r="D67" s="20" t="s">
        <v>376</v>
      </c>
      <c r="E67" s="20" t="s">
        <v>377</v>
      </c>
      <c r="F67" s="68" t="s">
        <v>391</v>
      </c>
    </row>
    <row r="68" customFormat="false" ht="15" hidden="false" customHeight="false" outlineLevel="0" collapsed="false">
      <c r="A68" s="0" t="n">
        <v>217</v>
      </c>
      <c r="B68" s="0" t="n">
        <v>497</v>
      </c>
      <c r="C68" s="0" t="s">
        <v>446</v>
      </c>
      <c r="D68" s="20" t="s">
        <v>376</v>
      </c>
      <c r="E68" s="20" t="s">
        <v>377</v>
      </c>
      <c r="F68" s="68" t="s">
        <v>387</v>
      </c>
    </row>
    <row r="69" customFormat="false" ht="15" hidden="false" customHeight="false" outlineLevel="0" collapsed="false">
      <c r="A69" s="0" t="n">
        <v>217</v>
      </c>
      <c r="B69" s="0" t="n">
        <v>497</v>
      </c>
      <c r="C69" s="0" t="s">
        <v>447</v>
      </c>
      <c r="D69" s="20" t="s">
        <v>376</v>
      </c>
      <c r="E69" s="20" t="s">
        <v>377</v>
      </c>
      <c r="F69" s="68" t="s">
        <v>387</v>
      </c>
    </row>
    <row r="70" customFormat="false" ht="15" hidden="false" customHeight="false" outlineLevel="0" collapsed="false">
      <c r="A70" s="0" t="n">
        <v>217</v>
      </c>
      <c r="B70" s="0" t="n">
        <v>497</v>
      </c>
      <c r="C70" s="0" t="s">
        <v>448</v>
      </c>
      <c r="D70" s="20" t="s">
        <v>376</v>
      </c>
      <c r="E70" s="20" t="s">
        <v>377</v>
      </c>
      <c r="F70" s="68" t="s">
        <v>387</v>
      </c>
    </row>
    <row r="72" customFormat="false" ht="15" hidden="false" customHeight="false" outlineLevel="0" collapsed="false">
      <c r="A72" s="0" t="n">
        <v>362</v>
      </c>
      <c r="B72" s="0" t="n">
        <v>751</v>
      </c>
      <c r="C72" s="0" t="s">
        <v>449</v>
      </c>
      <c r="D72" s="20" t="s">
        <v>376</v>
      </c>
      <c r="E72" s="20" t="s">
        <v>393</v>
      </c>
      <c r="F72" s="68" t="s">
        <v>385</v>
      </c>
    </row>
    <row r="73" customFormat="false" ht="15" hidden="false" customHeight="false" outlineLevel="0" collapsed="false">
      <c r="A73" s="0" t="n">
        <v>362</v>
      </c>
      <c r="B73" s="0" t="n">
        <v>751</v>
      </c>
      <c r="C73" s="0" t="s">
        <v>450</v>
      </c>
      <c r="D73" s="20" t="s">
        <v>376</v>
      </c>
      <c r="E73" s="20" t="s">
        <v>377</v>
      </c>
      <c r="F73" s="68" t="s">
        <v>451</v>
      </c>
    </row>
    <row r="74" customFormat="false" ht="15" hidden="false" customHeight="false" outlineLevel="0" collapsed="false">
      <c r="A74" s="0" t="n">
        <v>362</v>
      </c>
      <c r="B74" s="0" t="n">
        <v>751</v>
      </c>
      <c r="C74" s="0" t="s">
        <v>452</v>
      </c>
      <c r="D74" s="20" t="s">
        <v>376</v>
      </c>
      <c r="E74" s="20" t="s">
        <v>377</v>
      </c>
      <c r="F74" s="68" t="s">
        <v>453</v>
      </c>
    </row>
    <row r="75" customFormat="false" ht="15" hidden="false" customHeight="false" outlineLevel="0" collapsed="false">
      <c r="A75" s="0" t="n">
        <v>362</v>
      </c>
      <c r="B75" s="0" t="n">
        <v>751</v>
      </c>
      <c r="C75" s="0" t="s">
        <v>454</v>
      </c>
      <c r="D75" s="20" t="s">
        <v>376</v>
      </c>
      <c r="E75" s="20" t="s">
        <v>393</v>
      </c>
      <c r="F75" s="68" t="s">
        <v>387</v>
      </c>
    </row>
    <row r="76" customFormat="false" ht="15" hidden="false" customHeight="false" outlineLevel="0" collapsed="false">
      <c r="A76" s="0" t="n">
        <v>362</v>
      </c>
      <c r="B76" s="0" t="n">
        <v>751</v>
      </c>
      <c r="C76" s="0" t="s">
        <v>455</v>
      </c>
      <c r="D76" s="20" t="s">
        <v>376</v>
      </c>
      <c r="E76" s="20" t="s">
        <v>393</v>
      </c>
      <c r="F76" s="68" t="s">
        <v>378</v>
      </c>
    </row>
    <row r="77" customFormat="false" ht="15" hidden="false" customHeight="false" outlineLevel="0" collapsed="false">
      <c r="A77" s="0" t="n">
        <v>362</v>
      </c>
      <c r="B77" s="0" t="n">
        <v>751</v>
      </c>
      <c r="C77" s="0" t="s">
        <v>456</v>
      </c>
      <c r="D77" s="20" t="s">
        <v>376</v>
      </c>
      <c r="E77" s="20" t="s">
        <v>393</v>
      </c>
      <c r="F77" s="68" t="s">
        <v>457</v>
      </c>
    </row>
    <row r="78" customFormat="false" ht="15" hidden="false" customHeight="false" outlineLevel="0" collapsed="false">
      <c r="A78" s="0" t="n">
        <v>362</v>
      </c>
      <c r="B78" s="0" t="n">
        <v>751</v>
      </c>
      <c r="C78" s="0" t="s">
        <v>458</v>
      </c>
      <c r="D78" s="20" t="s">
        <v>376</v>
      </c>
      <c r="E78" s="20" t="s">
        <v>393</v>
      </c>
      <c r="F78" s="68" t="s">
        <v>459</v>
      </c>
    </row>
    <row r="79" customFormat="false" ht="15" hidden="false" customHeight="false" outlineLevel="0" collapsed="false">
      <c r="A79" s="0" t="n">
        <v>362</v>
      </c>
      <c r="B79" s="0" t="n">
        <v>751</v>
      </c>
      <c r="C79" s="0" t="s">
        <v>460</v>
      </c>
      <c r="D79" s="20" t="s">
        <v>376</v>
      </c>
      <c r="E79" s="20" t="s">
        <v>393</v>
      </c>
      <c r="F79" s="68" t="s">
        <v>461</v>
      </c>
    </row>
    <row r="80" customFormat="false" ht="15" hidden="false" customHeight="false" outlineLevel="0" collapsed="false">
      <c r="A80" s="0" t="n">
        <v>362</v>
      </c>
      <c r="B80" s="0" t="n">
        <v>751</v>
      </c>
      <c r="C80" s="0" t="s">
        <v>462</v>
      </c>
      <c r="D80" s="20" t="s">
        <v>376</v>
      </c>
      <c r="E80" s="20" t="s">
        <v>393</v>
      </c>
      <c r="F80" s="68" t="s">
        <v>463</v>
      </c>
    </row>
    <row r="82" customFormat="false" ht="15" hidden="false" customHeight="false" outlineLevel="0" collapsed="false">
      <c r="A82" s="0" t="n">
        <v>359</v>
      </c>
      <c r="B82" s="0" t="n">
        <v>748</v>
      </c>
      <c r="C82" s="0" t="s">
        <v>429</v>
      </c>
      <c r="D82" s="20" t="s">
        <v>376</v>
      </c>
      <c r="E82" s="20" t="s">
        <v>393</v>
      </c>
      <c r="F82" s="68" t="s">
        <v>430</v>
      </c>
    </row>
    <row r="84" customFormat="false" ht="15" hidden="false" customHeight="false" outlineLevel="0" collapsed="false">
      <c r="A84" s="0" t="n">
        <v>336</v>
      </c>
      <c r="B84" s="0" t="n">
        <v>706</v>
      </c>
      <c r="C84" s="0" t="s">
        <v>464</v>
      </c>
      <c r="D84" s="20" t="s">
        <v>376</v>
      </c>
      <c r="E84" s="20" t="s">
        <v>393</v>
      </c>
      <c r="F84" s="68" t="s">
        <v>465</v>
      </c>
    </row>
    <row r="85" customFormat="false" ht="15" hidden="false" customHeight="false" outlineLevel="0" collapsed="false">
      <c r="A85" s="0" t="n">
        <v>336</v>
      </c>
      <c r="B85" s="0" t="n">
        <v>706</v>
      </c>
      <c r="C85" s="0" t="s">
        <v>466</v>
      </c>
      <c r="D85" s="20" t="s">
        <v>376</v>
      </c>
      <c r="E85" s="20" t="s">
        <v>377</v>
      </c>
      <c r="F85" s="68" t="s">
        <v>387</v>
      </c>
    </row>
    <row r="86" customFormat="false" ht="15" hidden="false" customHeight="false" outlineLevel="0" collapsed="false">
      <c r="A86" s="0" t="n">
        <v>336</v>
      </c>
      <c r="B86" s="0" t="n">
        <v>706</v>
      </c>
      <c r="C86" s="0" t="s">
        <v>467</v>
      </c>
      <c r="D86" s="20" t="s">
        <v>376</v>
      </c>
      <c r="E86" s="20" t="s">
        <v>377</v>
      </c>
      <c r="F86" s="68" t="s">
        <v>387</v>
      </c>
    </row>
    <row r="87" customFormat="false" ht="15" hidden="false" customHeight="false" outlineLevel="0" collapsed="false">
      <c r="A87" s="0" t="n">
        <v>336</v>
      </c>
      <c r="B87" s="0" t="n">
        <v>706</v>
      </c>
      <c r="C87" s="0" t="s">
        <v>468</v>
      </c>
      <c r="D87" s="20" t="s">
        <v>376</v>
      </c>
      <c r="E87" s="20" t="s">
        <v>377</v>
      </c>
      <c r="F87" s="68" t="s">
        <v>465</v>
      </c>
    </row>
    <row r="88" customFormat="false" ht="15" hidden="false" customHeight="false" outlineLevel="0" collapsed="false">
      <c r="A88" s="0" t="n">
        <v>336</v>
      </c>
      <c r="B88" s="0" t="n">
        <v>706</v>
      </c>
      <c r="C88" s="0" t="s">
        <v>469</v>
      </c>
      <c r="D88" s="20" t="s">
        <v>376</v>
      </c>
      <c r="E88" s="20" t="s">
        <v>377</v>
      </c>
      <c r="F88" s="68" t="s">
        <v>465</v>
      </c>
    </row>
    <row r="89" customFormat="false" ht="15" hidden="false" customHeight="false" outlineLevel="0" collapsed="false">
      <c r="A89" s="0" t="n">
        <v>336</v>
      </c>
      <c r="B89" s="0" t="n">
        <v>706</v>
      </c>
      <c r="C89" s="0" t="s">
        <v>470</v>
      </c>
      <c r="D89" s="20" t="s">
        <v>376</v>
      </c>
      <c r="E89" s="20" t="s">
        <v>377</v>
      </c>
      <c r="F89" s="68" t="s">
        <v>471</v>
      </c>
    </row>
    <row r="90" customFormat="false" ht="15" hidden="false" customHeight="false" outlineLevel="0" collapsed="false">
      <c r="A90" s="0" t="n">
        <v>336</v>
      </c>
      <c r="B90" s="0" t="n">
        <v>706</v>
      </c>
      <c r="C90" s="0" t="s">
        <v>472</v>
      </c>
      <c r="D90" s="20" t="s">
        <v>376</v>
      </c>
      <c r="E90" s="20" t="s">
        <v>393</v>
      </c>
      <c r="F90" s="68" t="s">
        <v>387</v>
      </c>
    </row>
    <row r="91" customFormat="false" ht="15" hidden="false" customHeight="false" outlineLevel="0" collapsed="false">
      <c r="A91" s="0" t="n">
        <v>336</v>
      </c>
      <c r="B91" s="0" t="n">
        <v>706</v>
      </c>
      <c r="C91" s="0" t="s">
        <v>473</v>
      </c>
      <c r="D91" s="20" t="s">
        <v>376</v>
      </c>
      <c r="E91" s="20" t="s">
        <v>393</v>
      </c>
      <c r="F91" s="68" t="s">
        <v>414</v>
      </c>
    </row>
    <row r="92" customFormat="false" ht="15" hidden="false" customHeight="false" outlineLevel="0" collapsed="false">
      <c r="A92" s="0" t="n">
        <v>336</v>
      </c>
      <c r="B92" s="0" t="n">
        <v>706</v>
      </c>
      <c r="C92" s="0" t="s">
        <v>474</v>
      </c>
      <c r="D92" s="20" t="s">
        <v>376</v>
      </c>
      <c r="E92" s="20" t="s">
        <v>377</v>
      </c>
      <c r="F92" s="68" t="s">
        <v>418</v>
      </c>
    </row>
    <row r="93" customFormat="false" ht="15" hidden="false" customHeight="false" outlineLevel="0" collapsed="false">
      <c r="A93" s="0" t="n">
        <v>336</v>
      </c>
      <c r="B93" s="0" t="n">
        <v>706</v>
      </c>
      <c r="C93" s="0" t="s">
        <v>475</v>
      </c>
      <c r="D93" s="20" t="s">
        <v>376</v>
      </c>
      <c r="E93" s="20" t="s">
        <v>377</v>
      </c>
      <c r="F93" s="68" t="s">
        <v>476</v>
      </c>
    </row>
    <row r="94" customFormat="false" ht="15" hidden="false" customHeight="false" outlineLevel="0" collapsed="false">
      <c r="A94" s="0" t="n">
        <v>336</v>
      </c>
      <c r="B94" s="0" t="n">
        <v>706</v>
      </c>
      <c r="C94" s="0" t="s">
        <v>477</v>
      </c>
      <c r="D94" s="20" t="s">
        <v>376</v>
      </c>
      <c r="E94" s="20" t="s">
        <v>377</v>
      </c>
      <c r="F94" s="68" t="s">
        <v>478</v>
      </c>
    </row>
    <row r="95" customFormat="false" ht="15" hidden="false" customHeight="false" outlineLevel="0" collapsed="false">
      <c r="A95" s="0" t="n">
        <v>336</v>
      </c>
      <c r="B95" s="0" t="n">
        <v>706</v>
      </c>
      <c r="C95" s="0" t="s">
        <v>479</v>
      </c>
      <c r="D95" s="20" t="s">
        <v>376</v>
      </c>
      <c r="E95" s="20" t="s">
        <v>377</v>
      </c>
      <c r="F95" s="68" t="s">
        <v>480</v>
      </c>
    </row>
    <row r="96" customFormat="false" ht="15" hidden="false" customHeight="false" outlineLevel="0" collapsed="false">
      <c r="A96" s="0" t="n">
        <v>336</v>
      </c>
      <c r="B96" s="0" t="n">
        <v>706</v>
      </c>
      <c r="C96" s="0" t="s">
        <v>481</v>
      </c>
      <c r="D96" s="20" t="s">
        <v>376</v>
      </c>
      <c r="E96" s="20" t="s">
        <v>377</v>
      </c>
      <c r="F96" s="68" t="s">
        <v>465</v>
      </c>
    </row>
    <row r="97" customFormat="false" ht="15" hidden="false" customHeight="false" outlineLevel="0" collapsed="false">
      <c r="A97" s="0" t="n">
        <v>336</v>
      </c>
      <c r="B97" s="0" t="n">
        <v>706</v>
      </c>
      <c r="C97" s="0" t="s">
        <v>482</v>
      </c>
      <c r="D97" s="20" t="s">
        <v>376</v>
      </c>
      <c r="E97" s="20" t="s">
        <v>377</v>
      </c>
      <c r="F97" s="68" t="s">
        <v>461</v>
      </c>
    </row>
    <row r="98" customFormat="false" ht="15" hidden="false" customHeight="false" outlineLevel="0" collapsed="false">
      <c r="A98" s="0" t="n">
        <v>336</v>
      </c>
      <c r="B98" s="0" t="n">
        <v>706</v>
      </c>
      <c r="C98" s="0" t="s">
        <v>483</v>
      </c>
      <c r="D98" s="20" t="s">
        <v>376</v>
      </c>
      <c r="E98" s="20" t="s">
        <v>377</v>
      </c>
      <c r="F98" s="68" t="s">
        <v>383</v>
      </c>
    </row>
    <row r="100" customFormat="false" ht="15" hidden="false" customHeight="false" outlineLevel="0" collapsed="false">
      <c r="A100" s="0" t="n">
        <v>353</v>
      </c>
      <c r="B100" s="3" t="n">
        <v>739</v>
      </c>
      <c r="C100" s="0" t="s">
        <v>484</v>
      </c>
      <c r="D100" s="20" t="s">
        <v>376</v>
      </c>
      <c r="E100" s="20" t="s">
        <v>393</v>
      </c>
      <c r="F100" s="68" t="s">
        <v>403</v>
      </c>
      <c r="G100" s="0" t="n">
        <v>3</v>
      </c>
      <c r="H100" s="0" t="n">
        <v>0</v>
      </c>
    </row>
    <row r="101" customFormat="false" ht="15" hidden="false" customHeight="false" outlineLevel="0" collapsed="false">
      <c r="A101" s="0" t="n">
        <v>353</v>
      </c>
      <c r="B101" s="0" t="n">
        <v>739</v>
      </c>
      <c r="C101" s="0" t="s">
        <v>485</v>
      </c>
      <c r="D101" s="20" t="s">
        <v>376</v>
      </c>
      <c r="E101" s="20" t="s">
        <v>393</v>
      </c>
      <c r="F101" s="68" t="s">
        <v>486</v>
      </c>
      <c r="G101" s="0" t="n">
        <v>7</v>
      </c>
      <c r="H101" s="0" t="n">
        <v>7</v>
      </c>
    </row>
    <row r="102" customFormat="false" ht="15" hidden="false" customHeight="false" outlineLevel="0" collapsed="false">
      <c r="A102" s="0" t="n">
        <v>353</v>
      </c>
      <c r="B102" s="0" t="n">
        <v>739</v>
      </c>
      <c r="C102" s="0" t="s">
        <v>487</v>
      </c>
      <c r="D102" s="20" t="s">
        <v>376</v>
      </c>
      <c r="E102" s="20" t="s">
        <v>393</v>
      </c>
      <c r="F102" s="68" t="s">
        <v>387</v>
      </c>
      <c r="G102" s="0" t="n">
        <v>8</v>
      </c>
      <c r="H102" s="0" t="n">
        <v>0</v>
      </c>
    </row>
    <row r="103" customFormat="false" ht="18.75" hidden="false" customHeight="false" outlineLevel="0" collapsed="false">
      <c r="G103" s="70" t="n">
        <f aca="false">SUM(G100:G102)</f>
        <v>18</v>
      </c>
      <c r="H103" s="70" t="n">
        <f aca="false">SUM(H100:H102)</f>
        <v>7</v>
      </c>
      <c r="J103" s="0" t="s">
        <v>488</v>
      </c>
    </row>
    <row r="104" customFormat="false" ht="15" hidden="false" customHeight="false" outlineLevel="0" collapsed="false">
      <c r="A104" s="0" t="n">
        <v>354</v>
      </c>
      <c r="B104" s="3" t="n">
        <v>740</v>
      </c>
      <c r="C104" s="0" t="s">
        <v>489</v>
      </c>
      <c r="D104" s="0" t="s">
        <v>12</v>
      </c>
      <c r="E104" s="20" t="s">
        <v>490</v>
      </c>
      <c r="F104" s="68" t="s">
        <v>491</v>
      </c>
      <c r="G104" s="0" t="n">
        <v>0</v>
      </c>
      <c r="H104" s="0" t="n">
        <v>19</v>
      </c>
    </row>
    <row r="105" customFormat="false" ht="15" hidden="false" customHeight="false" outlineLevel="0" collapsed="false">
      <c r="A105" s="0" t="n">
        <v>354</v>
      </c>
      <c r="B105" s="0" t="n">
        <v>740</v>
      </c>
      <c r="C105" s="0" t="s">
        <v>492</v>
      </c>
      <c r="D105" s="0" t="s">
        <v>12</v>
      </c>
      <c r="E105" s="20" t="s">
        <v>493</v>
      </c>
      <c r="F105" s="68" t="s">
        <v>494</v>
      </c>
      <c r="G105" s="0" t="n">
        <v>0</v>
      </c>
      <c r="H105" s="0" t="n">
        <v>3</v>
      </c>
    </row>
    <row r="106" customFormat="false" ht="15" hidden="false" customHeight="false" outlineLevel="0" collapsed="false">
      <c r="A106" s="0" t="n">
        <v>354</v>
      </c>
      <c r="B106" s="0" t="n">
        <v>740</v>
      </c>
      <c r="C106" s="0" t="s">
        <v>495</v>
      </c>
      <c r="D106" s="20" t="s">
        <v>376</v>
      </c>
      <c r="E106" s="20" t="s">
        <v>377</v>
      </c>
      <c r="F106" s="68" t="s">
        <v>496</v>
      </c>
      <c r="G106" s="0" t="n">
        <v>1</v>
      </c>
      <c r="H106" s="0" t="n">
        <v>9</v>
      </c>
    </row>
    <row r="107" customFormat="false" ht="15" hidden="false" customHeight="false" outlineLevel="0" collapsed="false">
      <c r="A107" s="0" t="n">
        <v>354</v>
      </c>
      <c r="B107" s="0" t="n">
        <v>740</v>
      </c>
      <c r="C107" s="0" t="s">
        <v>497</v>
      </c>
      <c r="D107" s="20" t="s">
        <v>376</v>
      </c>
      <c r="E107" s="20" t="s">
        <v>377</v>
      </c>
      <c r="F107" s="68" t="s">
        <v>457</v>
      </c>
      <c r="G107" s="0" t="n">
        <v>4</v>
      </c>
      <c r="H107" s="0" t="n">
        <v>0</v>
      </c>
    </row>
    <row r="108" customFormat="false" ht="15" hidden="false" customHeight="false" outlineLevel="0" collapsed="false">
      <c r="A108" s="0" t="n">
        <v>354</v>
      </c>
      <c r="B108" s="0" t="n">
        <v>740</v>
      </c>
      <c r="C108" s="0" t="s">
        <v>498</v>
      </c>
      <c r="D108" s="20" t="s">
        <v>376</v>
      </c>
      <c r="E108" s="20" t="s">
        <v>412</v>
      </c>
      <c r="F108" s="68" t="s">
        <v>499</v>
      </c>
      <c r="G108" s="0" t="n">
        <v>2</v>
      </c>
      <c r="H108" s="0" t="n">
        <v>18</v>
      </c>
    </row>
    <row r="109" customFormat="false" ht="15" hidden="false" customHeight="false" outlineLevel="0" collapsed="false">
      <c r="A109" s="0" t="n">
        <v>354</v>
      </c>
      <c r="B109" s="0" t="n">
        <v>740</v>
      </c>
      <c r="C109" s="0" t="s">
        <v>500</v>
      </c>
      <c r="D109" s="20" t="s">
        <v>376</v>
      </c>
      <c r="E109" s="20" t="s">
        <v>377</v>
      </c>
      <c r="F109" s="68" t="s">
        <v>501</v>
      </c>
      <c r="G109" s="0" t="n">
        <v>2</v>
      </c>
      <c r="H109" s="0" t="n">
        <v>1</v>
      </c>
    </row>
    <row r="110" customFormat="false" ht="15" hidden="false" customHeight="false" outlineLevel="0" collapsed="false">
      <c r="A110" s="0" t="n">
        <v>354</v>
      </c>
      <c r="B110" s="0" t="n">
        <v>740</v>
      </c>
      <c r="C110" s="0" t="s">
        <v>502</v>
      </c>
      <c r="D110" s="20" t="s">
        <v>376</v>
      </c>
      <c r="E110" s="20" t="s">
        <v>377</v>
      </c>
      <c r="F110" s="68" t="s">
        <v>451</v>
      </c>
      <c r="G110" s="0" t="n">
        <v>6</v>
      </c>
      <c r="H110" s="0" t="n">
        <v>18</v>
      </c>
    </row>
    <row r="111" customFormat="false" ht="15" hidden="false" customHeight="false" outlineLevel="0" collapsed="false">
      <c r="A111" s="0" t="n">
        <v>354</v>
      </c>
      <c r="B111" s="0" t="n">
        <v>740</v>
      </c>
      <c r="C111" s="0" t="s">
        <v>503</v>
      </c>
      <c r="D111" s="20" t="s">
        <v>376</v>
      </c>
      <c r="E111" s="20" t="s">
        <v>377</v>
      </c>
      <c r="F111" s="68" t="s">
        <v>504</v>
      </c>
      <c r="G111" s="0" t="n">
        <v>7</v>
      </c>
      <c r="H111" s="0" t="n">
        <v>2</v>
      </c>
    </row>
    <row r="112" customFormat="false" ht="15" hidden="false" customHeight="false" outlineLevel="0" collapsed="false">
      <c r="A112" s="0" t="n">
        <v>354</v>
      </c>
      <c r="B112" s="0" t="n">
        <v>740</v>
      </c>
      <c r="C112" s="0" t="s">
        <v>505</v>
      </c>
      <c r="D112" s="20" t="s">
        <v>376</v>
      </c>
      <c r="E112" s="20" t="s">
        <v>377</v>
      </c>
      <c r="F112" s="68" t="s">
        <v>506</v>
      </c>
      <c r="G112" s="0" t="n">
        <v>4</v>
      </c>
      <c r="H112" s="0" t="n">
        <v>18</v>
      </c>
    </row>
    <row r="113" customFormat="false" ht="15" hidden="false" customHeight="false" outlineLevel="0" collapsed="false">
      <c r="A113" s="0" t="n">
        <v>354</v>
      </c>
      <c r="B113" s="0" t="n">
        <v>740</v>
      </c>
      <c r="C113" s="0" t="s">
        <v>507</v>
      </c>
      <c r="D113" s="20" t="s">
        <v>376</v>
      </c>
      <c r="E113" s="20" t="s">
        <v>377</v>
      </c>
      <c r="F113" s="68" t="s">
        <v>508</v>
      </c>
      <c r="G113" s="0" t="n">
        <v>7</v>
      </c>
      <c r="H113" s="0" t="n">
        <v>19</v>
      </c>
    </row>
    <row r="114" customFormat="false" ht="15.75" hidden="false" customHeight="false" outlineLevel="0" collapsed="false">
      <c r="G114" s="47" t="n">
        <f aca="false">SUM(G104:G113)+5</f>
        <v>38</v>
      </c>
      <c r="H114" s="47" t="n">
        <f aca="false">SUM(H104:H113)-100</f>
        <v>7</v>
      </c>
    </row>
    <row r="115" customFormat="false" ht="15" hidden="false" customHeight="false" outlineLevel="0" collapsed="false">
      <c r="A115" s="0" t="n">
        <v>5</v>
      </c>
      <c r="B115" s="0" t="n">
        <v>45</v>
      </c>
      <c r="C115" s="0" t="s">
        <v>509</v>
      </c>
      <c r="D115" s="0" t="s">
        <v>12</v>
      </c>
      <c r="E115" s="20" t="s">
        <v>490</v>
      </c>
      <c r="F115" s="68" t="s">
        <v>510</v>
      </c>
    </row>
    <row r="116" customFormat="false" ht="15" hidden="false" customHeight="false" outlineLevel="0" collapsed="false">
      <c r="A116" s="0" t="n">
        <v>5</v>
      </c>
      <c r="B116" s="0" t="n">
        <v>45</v>
      </c>
      <c r="C116" s="0" t="s">
        <v>511</v>
      </c>
      <c r="D116" s="0" t="s">
        <v>12</v>
      </c>
      <c r="E116" s="20" t="s">
        <v>493</v>
      </c>
      <c r="F116" s="68" t="s">
        <v>494</v>
      </c>
    </row>
    <row r="117" customFormat="false" ht="15" hidden="false" customHeight="false" outlineLevel="0" collapsed="false">
      <c r="A117" s="0" t="n">
        <v>5</v>
      </c>
      <c r="B117" s="0" t="n">
        <v>45</v>
      </c>
      <c r="C117" s="0" t="s">
        <v>512</v>
      </c>
      <c r="D117" s="20" t="s">
        <v>376</v>
      </c>
      <c r="E117" s="20" t="s">
        <v>393</v>
      </c>
      <c r="F117" s="68" t="s">
        <v>387</v>
      </c>
    </row>
    <row r="118" customFormat="false" ht="15" hidden="false" customHeight="false" outlineLevel="0" collapsed="false">
      <c r="A118" s="0" t="n">
        <v>5</v>
      </c>
      <c r="B118" s="0" t="n">
        <v>45</v>
      </c>
      <c r="C118" s="0" t="s">
        <v>513</v>
      </c>
      <c r="D118" s="20" t="s">
        <v>376</v>
      </c>
      <c r="E118" s="20" t="s">
        <v>377</v>
      </c>
      <c r="F118" s="68" t="s">
        <v>514</v>
      </c>
    </row>
    <row r="119" customFormat="false" ht="15" hidden="false" customHeight="false" outlineLevel="0" collapsed="false">
      <c r="A119" s="0" t="n">
        <v>5</v>
      </c>
      <c r="B119" s="0" t="n">
        <v>45</v>
      </c>
      <c r="C119" s="0" t="s">
        <v>513</v>
      </c>
      <c r="D119" s="0" t="s">
        <v>12</v>
      </c>
      <c r="E119" s="20" t="s">
        <v>420</v>
      </c>
      <c r="F119" s="68" t="s">
        <v>515</v>
      </c>
    </row>
    <row r="120" customFormat="false" ht="15" hidden="false" customHeight="false" outlineLevel="0" collapsed="false">
      <c r="A120" s="0" t="n">
        <v>5</v>
      </c>
      <c r="B120" s="0" t="n">
        <v>45</v>
      </c>
      <c r="C120" s="0" t="s">
        <v>516</v>
      </c>
      <c r="D120" s="20" t="s">
        <v>376</v>
      </c>
      <c r="E120" s="20" t="s">
        <v>393</v>
      </c>
      <c r="F120" s="68" t="s">
        <v>389</v>
      </c>
    </row>
    <row r="121" customFormat="false" ht="15" hidden="false" customHeight="false" outlineLevel="0" collapsed="false">
      <c r="A121" s="0" t="n">
        <v>5</v>
      </c>
      <c r="B121" s="0" t="n">
        <v>45</v>
      </c>
      <c r="C121" s="0" t="s">
        <v>517</v>
      </c>
      <c r="D121" s="20" t="s">
        <v>376</v>
      </c>
      <c r="E121" s="20" t="s">
        <v>393</v>
      </c>
      <c r="F121" s="68" t="s">
        <v>387</v>
      </c>
    </row>
    <row r="122" customFormat="false" ht="15" hidden="false" customHeight="false" outlineLevel="0" collapsed="false">
      <c r="A122" s="0" t="n">
        <v>5</v>
      </c>
      <c r="B122" s="0" t="n">
        <v>45</v>
      </c>
      <c r="C122" s="0" t="s">
        <v>518</v>
      </c>
      <c r="D122" s="20" t="s">
        <v>376</v>
      </c>
      <c r="E122" s="20" t="s">
        <v>377</v>
      </c>
      <c r="F122" s="68" t="s">
        <v>418</v>
      </c>
    </row>
    <row r="123" customFormat="false" ht="15" hidden="false" customHeight="false" outlineLevel="0" collapsed="false">
      <c r="A123" s="0" t="n">
        <v>5</v>
      </c>
      <c r="B123" s="0" t="n">
        <v>45</v>
      </c>
      <c r="C123" s="0" t="s">
        <v>519</v>
      </c>
      <c r="D123" s="20" t="s">
        <v>376</v>
      </c>
      <c r="E123" s="20" t="s">
        <v>393</v>
      </c>
      <c r="F123" s="68" t="s">
        <v>416</v>
      </c>
    </row>
    <row r="124" customFormat="false" ht="15" hidden="false" customHeight="false" outlineLevel="0" collapsed="false">
      <c r="A124" s="0" t="n">
        <v>5</v>
      </c>
      <c r="B124" s="0" t="n">
        <v>45</v>
      </c>
      <c r="C124" s="0" t="s">
        <v>520</v>
      </c>
      <c r="D124" s="20" t="s">
        <v>376</v>
      </c>
      <c r="E124" s="20" t="s">
        <v>393</v>
      </c>
      <c r="F124" s="68" t="s">
        <v>521</v>
      </c>
    </row>
    <row r="125" customFormat="false" ht="15" hidden="false" customHeight="false" outlineLevel="0" collapsed="false">
      <c r="A125" s="0" t="n">
        <v>5</v>
      </c>
      <c r="B125" s="0" t="n">
        <v>45</v>
      </c>
      <c r="C125" s="0" t="s">
        <v>522</v>
      </c>
      <c r="D125" s="20" t="s">
        <v>376</v>
      </c>
      <c r="E125" s="20" t="s">
        <v>393</v>
      </c>
      <c r="F125" s="68" t="s">
        <v>523</v>
      </c>
    </row>
    <row r="126" customFormat="false" ht="15" hidden="false" customHeight="false" outlineLevel="0" collapsed="false">
      <c r="A126" s="0" t="n">
        <v>5</v>
      </c>
      <c r="B126" s="0" t="n">
        <v>45</v>
      </c>
      <c r="C126" s="0" t="s">
        <v>524</v>
      </c>
      <c r="D126" s="20" t="s">
        <v>376</v>
      </c>
      <c r="E126" s="20" t="s">
        <v>377</v>
      </c>
      <c r="F126" s="68" t="s">
        <v>387</v>
      </c>
    </row>
    <row r="128" customFormat="false" ht="15" hidden="false" customHeight="false" outlineLevel="0" collapsed="false">
      <c r="A128" s="0" t="n">
        <v>208</v>
      </c>
      <c r="B128" s="0" t="n">
        <v>483</v>
      </c>
      <c r="C128" s="0" t="s">
        <v>525</v>
      </c>
      <c r="D128" s="20" t="s">
        <v>376</v>
      </c>
      <c r="E128" s="20" t="s">
        <v>377</v>
      </c>
      <c r="F128" s="68" t="s">
        <v>387</v>
      </c>
    </row>
    <row r="129" customFormat="false" ht="15" hidden="false" customHeight="false" outlineLevel="0" collapsed="false">
      <c r="A129" s="0" t="n">
        <v>208</v>
      </c>
      <c r="B129" s="0" t="n">
        <v>483</v>
      </c>
      <c r="C129" s="0" t="s">
        <v>526</v>
      </c>
      <c r="D129" s="20" t="s">
        <v>376</v>
      </c>
      <c r="E129" s="20" t="s">
        <v>377</v>
      </c>
      <c r="F129" s="68" t="s">
        <v>527</v>
      </c>
    </row>
    <row r="130" customFormat="false" ht="15" hidden="false" customHeight="false" outlineLevel="0" collapsed="false">
      <c r="A130" s="0" t="n">
        <v>208</v>
      </c>
      <c r="B130" s="0" t="n">
        <v>483</v>
      </c>
      <c r="C130" s="0" t="s">
        <v>526</v>
      </c>
      <c r="D130" s="0" t="s">
        <v>12</v>
      </c>
      <c r="E130" s="20" t="s">
        <v>420</v>
      </c>
      <c r="F130" s="68" t="s">
        <v>528</v>
      </c>
    </row>
    <row r="131" customFormat="false" ht="15" hidden="false" customHeight="false" outlineLevel="0" collapsed="false">
      <c r="A131" s="0" t="n">
        <v>208</v>
      </c>
      <c r="B131" s="0" t="n">
        <v>483</v>
      </c>
      <c r="C131" s="0" t="s">
        <v>529</v>
      </c>
      <c r="D131" s="20" t="s">
        <v>376</v>
      </c>
      <c r="E131" s="20" t="s">
        <v>393</v>
      </c>
      <c r="F131" s="68" t="s">
        <v>391</v>
      </c>
    </row>
    <row r="132" customFormat="false" ht="15" hidden="false" customHeight="false" outlineLevel="0" collapsed="false">
      <c r="A132" s="0" t="n">
        <v>208</v>
      </c>
      <c r="B132" s="0" t="n">
        <v>483</v>
      </c>
      <c r="C132" s="0" t="s">
        <v>530</v>
      </c>
      <c r="D132" s="20" t="s">
        <v>376</v>
      </c>
      <c r="E132" s="20" t="s">
        <v>393</v>
      </c>
      <c r="F132" s="68" t="s">
        <v>387</v>
      </c>
    </row>
    <row r="133" customFormat="false" ht="15" hidden="false" customHeight="false" outlineLevel="0" collapsed="false">
      <c r="A133" s="0" t="n">
        <v>208</v>
      </c>
      <c r="B133" s="0" t="n">
        <v>483</v>
      </c>
      <c r="C133" s="0" t="s">
        <v>531</v>
      </c>
      <c r="D133" s="20" t="s">
        <v>376</v>
      </c>
      <c r="E133" s="20" t="s">
        <v>377</v>
      </c>
      <c r="F133" s="68" t="s">
        <v>387</v>
      </c>
    </row>
    <row r="134" customFormat="false" ht="15" hidden="false" customHeight="false" outlineLevel="0" collapsed="false">
      <c r="A134" s="0" t="n">
        <v>208</v>
      </c>
      <c r="B134" s="0" t="n">
        <v>483</v>
      </c>
      <c r="C134" s="0" t="s">
        <v>532</v>
      </c>
      <c r="D134" s="20" t="s">
        <v>376</v>
      </c>
      <c r="E134" s="20" t="s">
        <v>377</v>
      </c>
      <c r="F134" s="68" t="s">
        <v>387</v>
      </c>
    </row>
    <row r="135" customFormat="false" ht="15" hidden="false" customHeight="false" outlineLevel="0" collapsed="false">
      <c r="A135" s="0" t="n">
        <v>208</v>
      </c>
      <c r="B135" s="0" t="n">
        <v>483</v>
      </c>
      <c r="C135" s="0" t="s">
        <v>533</v>
      </c>
      <c r="D135" s="20" t="s">
        <v>376</v>
      </c>
      <c r="E135" s="20" t="s">
        <v>377</v>
      </c>
      <c r="F135" s="68" t="s">
        <v>387</v>
      </c>
    </row>
    <row r="136" customFormat="false" ht="15" hidden="false" customHeight="false" outlineLevel="0" collapsed="false">
      <c r="A136" s="0" t="n">
        <v>208</v>
      </c>
      <c r="B136" s="0" t="n">
        <v>483</v>
      </c>
      <c r="C136" s="0" t="s">
        <v>534</v>
      </c>
      <c r="D136" s="20" t="s">
        <v>376</v>
      </c>
      <c r="E136" s="20" t="s">
        <v>377</v>
      </c>
      <c r="F136" s="68" t="s">
        <v>387</v>
      </c>
    </row>
    <row r="137" customFormat="false" ht="15" hidden="false" customHeight="false" outlineLevel="0" collapsed="false">
      <c r="A137" s="0" t="n">
        <v>208</v>
      </c>
      <c r="B137" s="0" t="n">
        <v>483</v>
      </c>
      <c r="C137" s="0" t="s">
        <v>535</v>
      </c>
      <c r="D137" s="20" t="s">
        <v>376</v>
      </c>
      <c r="E137" s="20" t="s">
        <v>393</v>
      </c>
      <c r="F137" s="68" t="s">
        <v>387</v>
      </c>
    </row>
    <row r="138" customFormat="false" ht="15" hidden="false" customHeight="false" outlineLevel="0" collapsed="false">
      <c r="A138" s="0" t="n">
        <v>208</v>
      </c>
      <c r="B138" s="0" t="n">
        <v>483</v>
      </c>
      <c r="C138" s="0" t="s">
        <v>536</v>
      </c>
      <c r="D138" s="20" t="s">
        <v>376</v>
      </c>
      <c r="E138" s="20" t="s">
        <v>393</v>
      </c>
      <c r="F138" s="68" t="s">
        <v>414</v>
      </c>
    </row>
    <row r="139" customFormat="false" ht="15" hidden="false" customHeight="false" outlineLevel="0" collapsed="false">
      <c r="A139" s="0" t="n">
        <v>208</v>
      </c>
      <c r="B139" s="0" t="n">
        <v>483</v>
      </c>
      <c r="C139" s="0" t="s">
        <v>537</v>
      </c>
      <c r="D139" s="20" t="s">
        <v>376</v>
      </c>
      <c r="E139" s="20" t="s">
        <v>393</v>
      </c>
      <c r="F139" s="68" t="s">
        <v>387</v>
      </c>
    </row>
    <row r="140" customFormat="false" ht="15" hidden="false" customHeight="false" outlineLevel="0" collapsed="false">
      <c r="A140" s="0" t="n">
        <v>208</v>
      </c>
      <c r="B140" s="0" t="n">
        <v>483</v>
      </c>
      <c r="C140" s="0" t="s">
        <v>538</v>
      </c>
      <c r="D140" s="20" t="s">
        <v>376</v>
      </c>
      <c r="E140" s="20" t="s">
        <v>393</v>
      </c>
      <c r="F140" s="68" t="s">
        <v>387</v>
      </c>
    </row>
    <row r="141" customFormat="false" ht="15" hidden="false" customHeight="false" outlineLevel="0" collapsed="false">
      <c r="A141" s="0" t="n">
        <v>208</v>
      </c>
      <c r="B141" s="0" t="n">
        <v>483</v>
      </c>
      <c r="C141" s="0" t="s">
        <v>539</v>
      </c>
      <c r="D141" s="20" t="s">
        <v>376</v>
      </c>
      <c r="E141" s="20" t="s">
        <v>377</v>
      </c>
      <c r="F141" s="68" t="s">
        <v>457</v>
      </c>
    </row>
    <row r="142" customFormat="false" ht="15" hidden="false" customHeight="false" outlineLevel="0" collapsed="false">
      <c r="A142" s="0" t="n">
        <v>208</v>
      </c>
      <c r="B142" s="0" t="n">
        <v>483</v>
      </c>
      <c r="C142" s="0" t="s">
        <v>540</v>
      </c>
      <c r="D142" s="20" t="s">
        <v>376</v>
      </c>
      <c r="E142" s="20" t="s">
        <v>377</v>
      </c>
      <c r="F142" s="68" t="s">
        <v>387</v>
      </c>
    </row>
    <row r="143" customFormat="false" ht="15" hidden="false" customHeight="false" outlineLevel="0" collapsed="false">
      <c r="A143" s="0" t="n">
        <v>208</v>
      </c>
      <c r="B143" s="0" t="n">
        <v>483</v>
      </c>
      <c r="C143" s="0" t="s">
        <v>541</v>
      </c>
      <c r="D143" s="20" t="s">
        <v>376</v>
      </c>
      <c r="E143" s="20" t="s">
        <v>377</v>
      </c>
      <c r="F143" s="68" t="s">
        <v>387</v>
      </c>
    </row>
    <row r="144" customFormat="false" ht="15" hidden="false" customHeight="false" outlineLevel="0" collapsed="false">
      <c r="A144" s="0" t="n">
        <v>208</v>
      </c>
      <c r="B144" s="0" t="n">
        <v>483</v>
      </c>
      <c r="C144" s="0" t="s">
        <v>542</v>
      </c>
      <c r="D144" s="20" t="s">
        <v>376</v>
      </c>
      <c r="E144" s="20" t="s">
        <v>393</v>
      </c>
      <c r="F144" s="68" t="s">
        <v>387</v>
      </c>
    </row>
    <row r="145" customFormat="false" ht="15" hidden="false" customHeight="false" outlineLevel="0" collapsed="false">
      <c r="A145" s="0" t="n">
        <v>208</v>
      </c>
      <c r="B145" s="0" t="n">
        <v>483</v>
      </c>
      <c r="C145" s="0" t="s">
        <v>543</v>
      </c>
      <c r="D145" s="20" t="s">
        <v>376</v>
      </c>
      <c r="E145" s="20" t="s">
        <v>393</v>
      </c>
      <c r="F145" s="68" t="s">
        <v>387</v>
      </c>
    </row>
    <row r="146" customFormat="false" ht="15" hidden="false" customHeight="false" outlineLevel="0" collapsed="false">
      <c r="A146" s="0" t="n">
        <v>208</v>
      </c>
      <c r="B146" s="0" t="n">
        <v>483</v>
      </c>
      <c r="C146" s="0" t="s">
        <v>544</v>
      </c>
      <c r="D146" s="20" t="s">
        <v>376</v>
      </c>
      <c r="E146" s="20" t="s">
        <v>393</v>
      </c>
      <c r="F146" s="68" t="s">
        <v>387</v>
      </c>
    </row>
    <row r="147" customFormat="false" ht="15" hidden="false" customHeight="false" outlineLevel="0" collapsed="false">
      <c r="A147" s="0" t="n">
        <v>208</v>
      </c>
      <c r="B147" s="0" t="n">
        <v>483</v>
      </c>
      <c r="C147" s="0" t="s">
        <v>545</v>
      </c>
      <c r="D147" s="20" t="s">
        <v>376</v>
      </c>
      <c r="E147" s="20" t="s">
        <v>393</v>
      </c>
      <c r="F147" s="68" t="s">
        <v>387</v>
      </c>
    </row>
    <row r="148" customFormat="false" ht="15" hidden="false" customHeight="false" outlineLevel="0" collapsed="false">
      <c r="A148" s="0" t="n">
        <v>208</v>
      </c>
      <c r="B148" s="0" t="n">
        <v>483</v>
      </c>
      <c r="C148" s="0" t="s">
        <v>546</v>
      </c>
      <c r="D148" s="20" t="s">
        <v>376</v>
      </c>
      <c r="E148" s="20" t="s">
        <v>393</v>
      </c>
      <c r="F148" s="68" t="s">
        <v>391</v>
      </c>
    </row>
    <row r="149" customFormat="false" ht="15" hidden="false" customHeight="false" outlineLevel="0" collapsed="false">
      <c r="A149" s="0" t="n">
        <v>208</v>
      </c>
      <c r="B149" s="0" t="n">
        <v>483</v>
      </c>
      <c r="C149" s="0" t="s">
        <v>547</v>
      </c>
      <c r="D149" s="20" t="s">
        <v>376</v>
      </c>
      <c r="E149" s="20" t="s">
        <v>377</v>
      </c>
      <c r="F149" s="68" t="s">
        <v>387</v>
      </c>
    </row>
    <row r="150" customFormat="false" ht="15" hidden="false" customHeight="false" outlineLevel="0" collapsed="false">
      <c r="A150" s="0" t="n">
        <v>208</v>
      </c>
      <c r="B150" s="0" t="n">
        <v>483</v>
      </c>
      <c r="C150" s="0" t="s">
        <v>548</v>
      </c>
      <c r="D150" s="20" t="s">
        <v>376</v>
      </c>
      <c r="E150" s="20" t="s">
        <v>393</v>
      </c>
      <c r="F150" s="68" t="s">
        <v>387</v>
      </c>
    </row>
    <row r="151" customFormat="false" ht="15" hidden="false" customHeight="false" outlineLevel="0" collapsed="false">
      <c r="A151" s="0" t="n">
        <v>208</v>
      </c>
      <c r="B151" s="0" t="n">
        <v>483</v>
      </c>
      <c r="C151" s="0" t="s">
        <v>549</v>
      </c>
      <c r="D151" s="20" t="s">
        <v>376</v>
      </c>
      <c r="E151" s="20" t="s">
        <v>393</v>
      </c>
      <c r="F151" s="68" t="s">
        <v>387</v>
      </c>
    </row>
    <row r="152" customFormat="false" ht="15" hidden="false" customHeight="false" outlineLevel="0" collapsed="false">
      <c r="A152" s="0" t="n">
        <v>208</v>
      </c>
      <c r="B152" s="0" t="n">
        <v>483</v>
      </c>
      <c r="C152" s="0" t="s">
        <v>550</v>
      </c>
      <c r="D152" s="20" t="s">
        <v>376</v>
      </c>
      <c r="E152" s="20" t="s">
        <v>393</v>
      </c>
      <c r="F152" s="68" t="s">
        <v>387</v>
      </c>
    </row>
    <row r="153" customFormat="false" ht="15" hidden="false" customHeight="false" outlineLevel="0" collapsed="false">
      <c r="A153" s="0" t="n">
        <v>208</v>
      </c>
      <c r="B153" s="0" t="n">
        <v>483</v>
      </c>
      <c r="C153" s="0" t="s">
        <v>551</v>
      </c>
      <c r="D153" s="20" t="s">
        <v>376</v>
      </c>
      <c r="E153" s="20" t="s">
        <v>377</v>
      </c>
      <c r="F153" s="68" t="s">
        <v>387</v>
      </c>
    </row>
    <row r="154" customFormat="false" ht="15" hidden="false" customHeight="false" outlineLevel="0" collapsed="false">
      <c r="A154" s="0" t="n">
        <v>208</v>
      </c>
      <c r="B154" s="0" t="n">
        <v>483</v>
      </c>
      <c r="C154" s="0" t="s">
        <v>552</v>
      </c>
      <c r="D154" s="20" t="s">
        <v>376</v>
      </c>
      <c r="E154" s="20" t="s">
        <v>377</v>
      </c>
      <c r="F154" s="68" t="s">
        <v>387</v>
      </c>
    </row>
    <row r="155" customFormat="false" ht="15" hidden="false" customHeight="false" outlineLevel="0" collapsed="false">
      <c r="A155" s="0" t="n">
        <v>208</v>
      </c>
      <c r="B155" s="0" t="n">
        <v>483</v>
      </c>
      <c r="C155" s="0" t="s">
        <v>553</v>
      </c>
      <c r="D155" s="20" t="s">
        <v>376</v>
      </c>
      <c r="E155" s="20" t="s">
        <v>377</v>
      </c>
      <c r="F155" s="68" t="s">
        <v>387</v>
      </c>
    </row>
    <row r="156" customFormat="false" ht="15" hidden="false" customHeight="false" outlineLevel="0" collapsed="false">
      <c r="A156" s="0" t="n">
        <v>208</v>
      </c>
      <c r="B156" s="0" t="n">
        <v>483</v>
      </c>
      <c r="C156" s="0" t="s">
        <v>554</v>
      </c>
      <c r="D156" s="20" t="s">
        <v>376</v>
      </c>
      <c r="E156" s="20" t="s">
        <v>377</v>
      </c>
      <c r="F156" s="68" t="s">
        <v>514</v>
      </c>
    </row>
    <row r="157" customFormat="false" ht="15" hidden="false" customHeight="false" outlineLevel="0" collapsed="false">
      <c r="A157" s="0" t="n">
        <v>208</v>
      </c>
      <c r="B157" s="0" t="n">
        <v>483</v>
      </c>
      <c r="C157" s="0" t="s">
        <v>555</v>
      </c>
      <c r="D157" s="20" t="s">
        <v>376</v>
      </c>
      <c r="E157" s="20" t="s">
        <v>377</v>
      </c>
      <c r="F157" s="68" t="s">
        <v>556</v>
      </c>
    </row>
    <row r="158" customFormat="false" ht="15" hidden="false" customHeight="false" outlineLevel="0" collapsed="false">
      <c r="A158" s="0" t="n">
        <v>208</v>
      </c>
      <c r="B158" s="0" t="n">
        <v>483</v>
      </c>
      <c r="C158" s="0" t="s">
        <v>557</v>
      </c>
      <c r="D158" s="20" t="s">
        <v>376</v>
      </c>
      <c r="E158" s="20" t="s">
        <v>377</v>
      </c>
      <c r="F158" s="68" t="s">
        <v>389</v>
      </c>
    </row>
    <row r="159" customFormat="false" ht="15" hidden="false" customHeight="false" outlineLevel="0" collapsed="false">
      <c r="A159" s="0" t="n">
        <v>208</v>
      </c>
      <c r="B159" s="0" t="n">
        <v>483</v>
      </c>
      <c r="C159" s="0" t="s">
        <v>558</v>
      </c>
      <c r="D159" s="20" t="s">
        <v>376</v>
      </c>
      <c r="E159" s="20" t="s">
        <v>377</v>
      </c>
      <c r="F159" s="68" t="s">
        <v>387</v>
      </c>
    </row>
    <row r="160" customFormat="false" ht="15" hidden="false" customHeight="false" outlineLevel="0" collapsed="false">
      <c r="A160" s="0" t="n">
        <v>208</v>
      </c>
      <c r="B160" s="0" t="n">
        <v>483</v>
      </c>
      <c r="C160" s="0" t="s">
        <v>559</v>
      </c>
      <c r="D160" s="20" t="s">
        <v>376</v>
      </c>
      <c r="E160" s="20" t="s">
        <v>393</v>
      </c>
      <c r="F160" s="68" t="s">
        <v>387</v>
      </c>
    </row>
    <row r="161" customFormat="false" ht="15" hidden="false" customHeight="false" outlineLevel="0" collapsed="false">
      <c r="A161" s="0" t="n">
        <v>208</v>
      </c>
      <c r="B161" s="0" t="n">
        <v>483</v>
      </c>
      <c r="C161" s="0" t="s">
        <v>560</v>
      </c>
      <c r="D161" s="20" t="s">
        <v>376</v>
      </c>
      <c r="E161" s="20" t="s">
        <v>377</v>
      </c>
      <c r="F161" s="68" t="s">
        <v>389</v>
      </c>
    </row>
    <row r="162" customFormat="false" ht="15" hidden="false" customHeight="false" outlineLevel="0" collapsed="false">
      <c r="A162" s="0" t="n">
        <v>208</v>
      </c>
      <c r="B162" s="0" t="n">
        <v>483</v>
      </c>
      <c r="C162" s="0" t="s">
        <v>561</v>
      </c>
      <c r="D162" s="20" t="s">
        <v>376</v>
      </c>
      <c r="E162" s="20" t="s">
        <v>377</v>
      </c>
      <c r="F162" s="68" t="s">
        <v>562</v>
      </c>
    </row>
    <row r="163" customFormat="false" ht="15" hidden="false" customHeight="false" outlineLevel="0" collapsed="false">
      <c r="A163" s="0" t="n">
        <v>208</v>
      </c>
      <c r="B163" s="0" t="n">
        <v>483</v>
      </c>
      <c r="C163" s="0" t="s">
        <v>563</v>
      </c>
      <c r="D163" s="20" t="s">
        <v>376</v>
      </c>
      <c r="E163" s="20" t="s">
        <v>377</v>
      </c>
      <c r="F163" s="68" t="s">
        <v>385</v>
      </c>
    </row>
    <row r="164" customFormat="false" ht="15" hidden="false" customHeight="false" outlineLevel="0" collapsed="false">
      <c r="A164" s="0" t="n">
        <v>208</v>
      </c>
      <c r="B164" s="0" t="n">
        <v>483</v>
      </c>
      <c r="C164" s="0" t="s">
        <v>564</v>
      </c>
      <c r="D164" s="20" t="s">
        <v>376</v>
      </c>
      <c r="E164" s="20" t="s">
        <v>377</v>
      </c>
      <c r="F164" s="68" t="s">
        <v>387</v>
      </c>
    </row>
    <row r="165" customFormat="false" ht="15" hidden="false" customHeight="false" outlineLevel="0" collapsed="false">
      <c r="A165" s="0" t="n">
        <v>208</v>
      </c>
      <c r="B165" s="0" t="n">
        <v>483</v>
      </c>
      <c r="C165" s="0" t="s">
        <v>565</v>
      </c>
      <c r="D165" s="20" t="s">
        <v>376</v>
      </c>
      <c r="E165" s="20" t="s">
        <v>377</v>
      </c>
      <c r="F165" s="68" t="s">
        <v>387</v>
      </c>
    </row>
    <row r="166" customFormat="false" ht="15" hidden="false" customHeight="false" outlineLevel="0" collapsed="false">
      <c r="A166" s="0" t="n">
        <v>208</v>
      </c>
      <c r="B166" s="0" t="n">
        <v>483</v>
      </c>
      <c r="C166" s="0" t="s">
        <v>566</v>
      </c>
      <c r="D166" s="20" t="s">
        <v>376</v>
      </c>
      <c r="E166" s="20" t="s">
        <v>377</v>
      </c>
      <c r="F166" s="68" t="s">
        <v>389</v>
      </c>
    </row>
    <row r="167" customFormat="false" ht="15" hidden="false" customHeight="false" outlineLevel="0" collapsed="false">
      <c r="A167" s="0" t="n">
        <v>208</v>
      </c>
      <c r="B167" s="0" t="n">
        <v>483</v>
      </c>
      <c r="C167" s="0" t="s">
        <v>567</v>
      </c>
      <c r="D167" s="20" t="s">
        <v>376</v>
      </c>
      <c r="E167" s="20" t="s">
        <v>377</v>
      </c>
      <c r="F167" s="68" t="s">
        <v>506</v>
      </c>
    </row>
    <row r="168" customFormat="false" ht="15" hidden="false" customHeight="false" outlineLevel="0" collapsed="false">
      <c r="A168" s="0" t="n">
        <v>208</v>
      </c>
      <c r="B168" s="0" t="n">
        <v>483</v>
      </c>
      <c r="C168" s="0" t="s">
        <v>568</v>
      </c>
      <c r="D168" s="20" t="s">
        <v>382</v>
      </c>
      <c r="E168" s="20" t="s">
        <v>377</v>
      </c>
      <c r="F168" s="68" t="s">
        <v>387</v>
      </c>
    </row>
    <row r="169" customFormat="false" ht="15" hidden="false" customHeight="false" outlineLevel="0" collapsed="false">
      <c r="A169" s="0" t="n">
        <v>208</v>
      </c>
      <c r="B169" s="0" t="n">
        <v>483</v>
      </c>
      <c r="C169" s="0" t="s">
        <v>569</v>
      </c>
      <c r="D169" s="20" t="s">
        <v>376</v>
      </c>
      <c r="E169" s="20" t="s">
        <v>377</v>
      </c>
      <c r="F169" s="68" t="s">
        <v>389</v>
      </c>
    </row>
    <row r="171" customFormat="false" ht="15.75" hidden="false" customHeight="false" outlineLevel="0" collapsed="false">
      <c r="A171" s="0" t="n">
        <v>208</v>
      </c>
      <c r="B171" s="71" t="n">
        <v>486</v>
      </c>
      <c r="C171" s="0" t="s">
        <v>570</v>
      </c>
      <c r="D171" s="20" t="s">
        <v>376</v>
      </c>
      <c r="E171" s="20" t="s">
        <v>377</v>
      </c>
      <c r="F171" s="68" t="s">
        <v>387</v>
      </c>
      <c r="G171" s="0" t="n">
        <v>8</v>
      </c>
      <c r="H171" s="0" t="n">
        <v>0</v>
      </c>
    </row>
    <row r="172" customFormat="false" ht="15" hidden="false" customHeight="false" outlineLevel="0" collapsed="false">
      <c r="A172" s="0" t="n">
        <v>208</v>
      </c>
      <c r="B172" s="0" t="n">
        <v>486</v>
      </c>
      <c r="C172" s="0" t="s">
        <v>571</v>
      </c>
      <c r="D172" s="20" t="s">
        <v>376</v>
      </c>
      <c r="E172" s="20" t="s">
        <v>377</v>
      </c>
      <c r="F172" s="68" t="s">
        <v>572</v>
      </c>
      <c r="G172" s="0" t="n">
        <v>4</v>
      </c>
      <c r="H172" s="0" t="n">
        <v>9</v>
      </c>
    </row>
    <row r="173" customFormat="false" ht="15" hidden="false" customHeight="false" outlineLevel="0" collapsed="false">
      <c r="A173" s="0" t="n">
        <v>208</v>
      </c>
      <c r="B173" s="0" t="n">
        <v>486</v>
      </c>
      <c r="C173" s="0" t="s">
        <v>573</v>
      </c>
      <c r="D173" s="20" t="s">
        <v>376</v>
      </c>
      <c r="E173" s="20" t="s">
        <v>377</v>
      </c>
      <c r="F173" s="68" t="s">
        <v>562</v>
      </c>
      <c r="G173" s="0" t="n">
        <v>3</v>
      </c>
      <c r="H173" s="0" t="n">
        <v>11</v>
      </c>
    </row>
    <row r="174" customFormat="false" ht="15" hidden="false" customHeight="false" outlineLevel="0" collapsed="false">
      <c r="A174" s="0" t="n">
        <v>208</v>
      </c>
      <c r="B174" s="0" t="n">
        <v>486</v>
      </c>
      <c r="C174" s="0" t="s">
        <v>574</v>
      </c>
      <c r="D174" s="20" t="s">
        <v>376</v>
      </c>
      <c r="E174" s="20" t="s">
        <v>377</v>
      </c>
      <c r="F174" s="68" t="s">
        <v>562</v>
      </c>
      <c r="G174" s="0" t="n">
        <v>3</v>
      </c>
      <c r="H174" s="0" t="n">
        <v>11</v>
      </c>
    </row>
    <row r="175" customFormat="false" ht="15.75" hidden="false" customHeight="false" outlineLevel="0" collapsed="false">
      <c r="G175" s="47" t="n">
        <f aca="false">SUM(G171:G174)+1</f>
        <v>19</v>
      </c>
      <c r="H175" s="47" t="n">
        <f aca="false">SUM(H171:H174)-20</f>
        <v>11</v>
      </c>
    </row>
    <row r="176" customFormat="false" ht="15" hidden="false" customHeight="false" outlineLevel="0" collapsed="false">
      <c r="A176" s="0" t="n">
        <v>212</v>
      </c>
      <c r="B176" s="3" t="n">
        <v>492</v>
      </c>
      <c r="C176" s="0" t="s">
        <v>575</v>
      </c>
      <c r="D176" s="20" t="s">
        <v>376</v>
      </c>
      <c r="E176" s="20" t="s">
        <v>393</v>
      </c>
      <c r="F176" s="68" t="s">
        <v>387</v>
      </c>
    </row>
    <row r="178" customFormat="false" ht="15" hidden="false" customHeight="false" outlineLevel="0" collapsed="false">
      <c r="A178" s="0" t="n">
        <v>265</v>
      </c>
      <c r="B178" s="0" t="n">
        <v>594</v>
      </c>
      <c r="C178" s="0" t="s">
        <v>576</v>
      </c>
      <c r="D178" s="20" t="s">
        <v>376</v>
      </c>
      <c r="E178" s="20" t="s">
        <v>393</v>
      </c>
      <c r="F178" s="68" t="s">
        <v>387</v>
      </c>
    </row>
    <row r="179" customFormat="false" ht="15" hidden="false" customHeight="false" outlineLevel="0" collapsed="false">
      <c r="A179" s="0" t="n">
        <v>265</v>
      </c>
      <c r="B179" s="0" t="n">
        <v>594</v>
      </c>
      <c r="C179" s="0" t="s">
        <v>577</v>
      </c>
      <c r="D179" s="20" t="s">
        <v>376</v>
      </c>
      <c r="E179" s="20" t="s">
        <v>377</v>
      </c>
      <c r="F179" s="68" t="s">
        <v>578</v>
      </c>
    </row>
  </sheetData>
  <hyperlinks>
    <hyperlink ref="M10" location="Index!A1" display="Index"/>
    <hyperlink ref="B41" location="'355'!A1" display="#'355'.A1"/>
    <hyperlink ref="B53" location="'359'!A1" display="#'359'.A1"/>
    <hyperlink ref="B100" location="'353'!A1" display="#'353'.A1"/>
    <hyperlink ref="B104" location="'354'!A1" display="#'354'.A1"/>
    <hyperlink ref="B171" location="'208'!A1" display="#'208'.A1"/>
    <hyperlink ref="B176" location="'216'!A1" display="#'216'.A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21" activePane="bottomLeft" state="frozen"/>
      <selection pane="topLeft" activeCell="A1" activeCellId="0" sqref="A1"/>
      <selection pane="bottomLeft" activeCell="A21" activeCellId="0" sqref="A2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.71"/>
    <col collapsed="false" customWidth="true" hidden="false" outlineLevel="0" max="5" min="5" style="0" width="31.71"/>
    <col collapsed="false" customWidth="true" hidden="false" outlineLevel="0" max="7" min="6" style="19" width="9.14"/>
    <col collapsed="false" customWidth="true" hidden="false" outlineLevel="0" max="8" min="8" style="0" width="10.57"/>
    <col collapsed="false" customWidth="true" hidden="false" outlineLevel="0" max="14" min="11" style="0" width="11"/>
    <col collapsed="false" customWidth="true" hidden="false" outlineLevel="0" max="16" min="15" style="0" width="12"/>
    <col collapsed="false" customWidth="true" hidden="false" outlineLevel="0" max="17" min="17" style="0" width="10"/>
    <col collapsed="false" customWidth="true" hidden="false" outlineLevel="0" max="18" min="18" style="0" width="13.86"/>
    <col collapsed="false" customWidth="true" hidden="false" outlineLevel="0" max="19" min="19" style="72" width="9.14"/>
  </cols>
  <sheetData>
    <row r="1" customFormat="false" ht="15" hidden="false" customHeight="false" outlineLevel="0" collapsed="false">
      <c r="H1" s="20" t="s">
        <v>81</v>
      </c>
      <c r="M1" s="21" t="s">
        <v>82</v>
      </c>
    </row>
    <row r="2" customFormat="false" ht="15" hidden="false" customHeight="false" outlineLevel="0" collapsed="false">
      <c r="H2" s="20" t="s">
        <v>84</v>
      </c>
    </row>
    <row r="3" customFormat="false" ht="15" hidden="false" customHeight="false" outlineLevel="0" collapsed="false">
      <c r="A3" s="20" t="s">
        <v>85</v>
      </c>
    </row>
    <row r="5" customFormat="false" ht="15" hidden="false" customHeight="false" outlineLevel="0" collapsed="false">
      <c r="A5" s="22" t="s">
        <v>86</v>
      </c>
      <c r="B5" s="23"/>
      <c r="C5" s="24" t="s">
        <v>87</v>
      </c>
      <c r="D5" s="24" t="s">
        <v>88</v>
      </c>
      <c r="E5" s="24" t="s">
        <v>89</v>
      </c>
      <c r="F5" s="25"/>
      <c r="G5" s="25"/>
      <c r="H5" s="24" t="s">
        <v>89</v>
      </c>
      <c r="I5" s="24" t="s">
        <v>90</v>
      </c>
      <c r="J5" s="23"/>
      <c r="K5" s="24" t="s">
        <v>91</v>
      </c>
      <c r="L5" s="24" t="s">
        <v>92</v>
      </c>
      <c r="M5" s="26" t="s">
        <v>93</v>
      </c>
      <c r="N5" s="23"/>
      <c r="O5" s="24" t="s">
        <v>94</v>
      </c>
      <c r="P5" s="24" t="s">
        <v>95</v>
      </c>
      <c r="Q5" s="24" t="s">
        <v>96</v>
      </c>
      <c r="R5" s="27" t="s">
        <v>97</v>
      </c>
    </row>
    <row r="6" customFormat="false" ht="15" hidden="false" customHeight="false" outlineLevel="0" collapsed="false">
      <c r="A6" s="28" t="s">
        <v>98</v>
      </c>
      <c r="B6" s="32"/>
      <c r="C6" s="26" t="s">
        <v>99</v>
      </c>
      <c r="D6" s="26" t="s">
        <v>100</v>
      </c>
      <c r="E6" s="26" t="s">
        <v>101</v>
      </c>
      <c r="F6" s="29"/>
      <c r="G6" s="29"/>
      <c r="H6" s="26" t="s">
        <v>101</v>
      </c>
      <c r="I6" s="26" t="s">
        <v>102</v>
      </c>
      <c r="J6" s="32"/>
      <c r="K6" s="26" t="s">
        <v>103</v>
      </c>
      <c r="L6" s="26" t="s">
        <v>104</v>
      </c>
      <c r="M6" s="30" t="s">
        <v>105</v>
      </c>
      <c r="N6" s="32"/>
      <c r="O6" s="26" t="s">
        <v>106</v>
      </c>
      <c r="P6" s="26" t="s">
        <v>107</v>
      </c>
      <c r="Q6" s="26" t="s">
        <v>108</v>
      </c>
      <c r="R6" s="31"/>
    </row>
    <row r="7" customFormat="false" ht="15" hidden="false" customHeight="false" outlineLevel="0" collapsed="false">
      <c r="A7" s="28" t="s">
        <v>99</v>
      </c>
      <c r="B7" s="32" t="s">
        <v>109</v>
      </c>
      <c r="C7" s="32"/>
      <c r="D7" s="26" t="s">
        <v>110</v>
      </c>
      <c r="E7" s="26" t="s">
        <v>111</v>
      </c>
      <c r="F7" s="33" t="s">
        <v>112</v>
      </c>
      <c r="G7" s="33"/>
      <c r="H7" s="26" t="s">
        <v>113</v>
      </c>
      <c r="I7" s="26" t="s">
        <v>114</v>
      </c>
      <c r="J7" s="32"/>
      <c r="K7" s="26" t="s">
        <v>115</v>
      </c>
      <c r="L7" s="32"/>
      <c r="M7" s="32"/>
      <c r="N7" s="32"/>
      <c r="O7" s="26" t="s">
        <v>116</v>
      </c>
      <c r="P7" s="26" t="s">
        <v>117</v>
      </c>
      <c r="Q7" s="26" t="s">
        <v>118</v>
      </c>
      <c r="R7" s="31"/>
    </row>
    <row r="8" customFormat="false" ht="15" hidden="false" customHeight="false" outlineLevel="0" collapsed="false">
      <c r="A8" s="34"/>
      <c r="B8" s="36"/>
      <c r="C8" s="36"/>
      <c r="D8" s="36"/>
      <c r="E8" s="30" t="s">
        <v>88</v>
      </c>
      <c r="F8" s="35"/>
      <c r="G8" s="35"/>
      <c r="H8" s="36"/>
      <c r="I8" s="30" t="s">
        <v>119</v>
      </c>
      <c r="J8" s="36" t="s">
        <v>120</v>
      </c>
      <c r="K8" s="30" t="s">
        <v>121</v>
      </c>
      <c r="L8" s="36" t="s">
        <v>122</v>
      </c>
      <c r="M8" s="36" t="s">
        <v>123</v>
      </c>
      <c r="N8" s="36" t="s">
        <v>124</v>
      </c>
      <c r="O8" s="30" t="s">
        <v>125</v>
      </c>
      <c r="P8" s="30" t="s">
        <v>126</v>
      </c>
      <c r="Q8" s="30" t="s">
        <v>127</v>
      </c>
      <c r="R8" s="37"/>
    </row>
    <row r="9" customFormat="false" ht="15" hidden="false" customHeight="false" outlineLevel="0" collapsed="false">
      <c r="A9" s="34"/>
      <c r="B9" s="36"/>
      <c r="C9" s="36"/>
      <c r="D9" s="38" t="s">
        <v>579</v>
      </c>
      <c r="E9" s="36"/>
      <c r="F9" s="35"/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</row>
    <row r="10" customFormat="false" ht="30" hidden="false" customHeight="false" outlineLevel="0" collapsed="false">
      <c r="A10" s="73" t="n">
        <v>347</v>
      </c>
      <c r="B10" s="73" t="n">
        <v>324</v>
      </c>
      <c r="C10" s="73" t="n">
        <v>726</v>
      </c>
      <c r="D10" s="74" t="s">
        <v>580</v>
      </c>
      <c r="E10" s="40" t="s">
        <v>129</v>
      </c>
      <c r="F10" s="75" t="n">
        <v>1</v>
      </c>
      <c r="G10" s="75"/>
      <c r="H10" s="76" t="s">
        <v>581</v>
      </c>
      <c r="I10" s="39"/>
      <c r="J10" s="39" t="n">
        <v>114</v>
      </c>
      <c r="K10" s="76" t="s">
        <v>582</v>
      </c>
      <c r="L10" s="76" t="n">
        <v>0</v>
      </c>
      <c r="M10" s="39" t="n">
        <v>16</v>
      </c>
      <c r="N10" s="39" t="s">
        <v>583</v>
      </c>
      <c r="O10" s="39"/>
      <c r="P10" s="39"/>
      <c r="Q10" s="39"/>
      <c r="R10" s="45" t="s">
        <v>584</v>
      </c>
      <c r="S10" s="77" t="n">
        <v>4</v>
      </c>
    </row>
    <row r="11" customFormat="false" ht="15" hidden="false" customHeight="false" outlineLevel="0" collapsed="false">
      <c r="A11" s="73"/>
      <c r="B11" s="73"/>
      <c r="C11" s="73"/>
      <c r="D11" s="74"/>
      <c r="E11" s="78"/>
      <c r="F11" s="79"/>
      <c r="G11" s="79"/>
      <c r="H11" s="76"/>
      <c r="I11" s="39"/>
      <c r="J11" s="39"/>
      <c r="K11" s="76"/>
      <c r="L11" s="44" t="n">
        <v>0</v>
      </c>
      <c r="M11" s="80" t="n">
        <v>16</v>
      </c>
      <c r="N11" s="39"/>
      <c r="O11" s="39"/>
      <c r="P11" s="39"/>
      <c r="Q11" s="39"/>
      <c r="R11" s="39"/>
    </row>
    <row r="12" customFormat="false" ht="30" hidden="false" customHeight="false" outlineLevel="0" collapsed="false">
      <c r="A12" s="73" t="n">
        <v>344</v>
      </c>
      <c r="B12" s="73" t="n">
        <v>321</v>
      </c>
      <c r="C12" s="73" t="n">
        <v>719</v>
      </c>
      <c r="D12" s="74" t="s">
        <v>580</v>
      </c>
      <c r="E12" s="78" t="s">
        <v>585</v>
      </c>
      <c r="F12" s="79" t="n">
        <v>0.25</v>
      </c>
      <c r="G12" s="79"/>
      <c r="H12" s="39"/>
      <c r="I12" s="39"/>
      <c r="J12" s="39" t="n">
        <v>78</v>
      </c>
      <c r="K12" s="76" t="s">
        <v>586</v>
      </c>
      <c r="L12" s="39" t="n">
        <v>2</v>
      </c>
      <c r="M12" s="39" t="n">
        <v>9</v>
      </c>
      <c r="N12" s="39" t="s">
        <v>587</v>
      </c>
      <c r="O12" s="39"/>
      <c r="P12" s="39"/>
      <c r="Q12" s="39"/>
      <c r="R12" s="39"/>
    </row>
    <row r="13" customFormat="false" ht="45" hidden="false" customHeight="false" outlineLevel="0" collapsed="false">
      <c r="A13" s="73"/>
      <c r="B13" s="73"/>
      <c r="C13" s="73"/>
      <c r="D13" s="73"/>
      <c r="E13" s="78" t="s">
        <v>588</v>
      </c>
      <c r="F13" s="79" t="n">
        <v>0.5</v>
      </c>
      <c r="G13" s="79"/>
      <c r="H13" s="39"/>
      <c r="I13" s="39"/>
      <c r="J13" s="39" t="n">
        <v>141</v>
      </c>
      <c r="K13" s="39" t="n">
        <v>5</v>
      </c>
      <c r="L13" s="39" t="n">
        <v>7</v>
      </c>
      <c r="M13" s="39" t="n">
        <v>11</v>
      </c>
      <c r="N13" s="39" t="s">
        <v>583</v>
      </c>
      <c r="O13" s="39"/>
      <c r="P13" s="39"/>
      <c r="Q13" s="39"/>
      <c r="R13" s="39"/>
    </row>
    <row r="14" customFormat="false" ht="45" hidden="false" customHeight="false" outlineLevel="0" collapsed="false">
      <c r="A14" s="73"/>
      <c r="B14" s="73"/>
      <c r="C14" s="73"/>
      <c r="D14" s="73"/>
      <c r="E14" s="40" t="s">
        <v>133</v>
      </c>
      <c r="F14" s="75" t="n">
        <v>0.25</v>
      </c>
      <c r="G14" s="75"/>
      <c r="H14" s="39"/>
      <c r="I14" s="39"/>
      <c r="J14" s="39" t="n">
        <v>141</v>
      </c>
      <c r="K14" s="39" t="n">
        <v>6</v>
      </c>
      <c r="L14" s="39" t="n">
        <v>8</v>
      </c>
      <c r="M14" s="39" t="n">
        <v>0</v>
      </c>
      <c r="N14" s="39" t="s">
        <v>583</v>
      </c>
      <c r="O14" s="39"/>
      <c r="P14" s="39"/>
      <c r="Q14" s="39"/>
      <c r="R14" s="45" t="s">
        <v>589</v>
      </c>
    </row>
    <row r="15" customFormat="false" ht="15" hidden="false" customHeight="false" outlineLevel="0" collapsed="false">
      <c r="A15" s="73"/>
      <c r="B15" s="73"/>
      <c r="C15" s="73"/>
      <c r="D15" s="73"/>
      <c r="E15" s="42"/>
      <c r="F15" s="79"/>
      <c r="G15" s="79"/>
      <c r="H15" s="39"/>
      <c r="I15" s="39"/>
      <c r="J15" s="39" t="n">
        <v>142</v>
      </c>
      <c r="K15" s="39" t="n">
        <v>1</v>
      </c>
      <c r="L15" s="39" t="n">
        <v>5</v>
      </c>
      <c r="M15" s="39" t="n">
        <v>2</v>
      </c>
      <c r="N15" s="39" t="s">
        <v>583</v>
      </c>
      <c r="O15" s="39"/>
      <c r="P15" s="39"/>
      <c r="Q15" s="39"/>
      <c r="R15" s="39"/>
    </row>
    <row r="16" customFormat="false" ht="15" hidden="false" customHeight="false" outlineLevel="0" collapsed="false">
      <c r="A16" s="73"/>
      <c r="B16" s="73"/>
      <c r="C16" s="73"/>
      <c r="D16" s="73"/>
      <c r="E16" s="42"/>
      <c r="F16" s="79"/>
      <c r="G16" s="79"/>
      <c r="H16" s="39"/>
      <c r="I16" s="39"/>
      <c r="J16" s="39" t="n">
        <v>142</v>
      </c>
      <c r="K16" s="39" t="n">
        <v>10</v>
      </c>
      <c r="L16" s="39" t="n">
        <v>7</v>
      </c>
      <c r="M16" s="39" t="n">
        <v>12</v>
      </c>
      <c r="N16" s="39" t="s">
        <v>583</v>
      </c>
      <c r="O16" s="39"/>
      <c r="P16" s="39"/>
      <c r="Q16" s="39"/>
      <c r="R16" s="39"/>
    </row>
    <row r="17" customFormat="false" ht="15" hidden="false" customHeight="false" outlineLevel="0" collapsed="false">
      <c r="A17" s="73"/>
      <c r="B17" s="73"/>
      <c r="C17" s="73"/>
      <c r="D17" s="73"/>
      <c r="E17" s="42"/>
      <c r="F17" s="79"/>
      <c r="G17" s="79"/>
      <c r="H17" s="39"/>
      <c r="I17" s="39"/>
      <c r="J17" s="39"/>
      <c r="K17" s="39"/>
      <c r="L17" s="50" t="n">
        <f aca="false">SUM(L12:L16)</f>
        <v>29</v>
      </c>
      <c r="M17" s="50" t="n">
        <f aca="false">SUM(M12:M16)</f>
        <v>34</v>
      </c>
      <c r="N17" s="39"/>
      <c r="O17" s="39"/>
      <c r="P17" s="39"/>
      <c r="Q17" s="39"/>
      <c r="R17" s="39"/>
    </row>
    <row r="18" customFormat="false" ht="15.75" hidden="false" customHeight="false" outlineLevel="0" collapsed="false">
      <c r="A18" s="73"/>
      <c r="B18" s="73"/>
      <c r="C18" s="73"/>
      <c r="D18" s="73"/>
      <c r="E18" s="42"/>
      <c r="F18" s="79" t="s">
        <v>12</v>
      </c>
      <c r="G18" s="79"/>
      <c r="H18" s="39"/>
      <c r="I18" s="39"/>
      <c r="J18" s="39"/>
      <c r="K18" s="39"/>
      <c r="L18" s="81" t="n">
        <v>30</v>
      </c>
      <c r="M18" s="81" t="n">
        <v>14</v>
      </c>
      <c r="N18" s="39"/>
      <c r="O18" s="39"/>
      <c r="P18" s="39"/>
      <c r="Q18" s="39"/>
      <c r="R18" s="39"/>
      <c r="S18" s="77" t="n">
        <f aca="false">(L18*20+14)/4/4</f>
        <v>38.375</v>
      </c>
    </row>
    <row r="19" customFormat="false" ht="30" hidden="false" customHeight="false" outlineLevel="0" collapsed="false">
      <c r="A19" s="73" t="n">
        <v>5</v>
      </c>
      <c r="B19" s="73" t="n">
        <v>4</v>
      </c>
      <c r="C19" s="73" t="n">
        <v>45</v>
      </c>
      <c r="D19" s="82" t="s">
        <v>590</v>
      </c>
      <c r="E19" s="78" t="s">
        <v>591</v>
      </c>
      <c r="F19" s="79" t="s">
        <v>592</v>
      </c>
      <c r="G19" s="79" t="n">
        <v>320</v>
      </c>
      <c r="H19" s="39"/>
      <c r="I19" s="39"/>
      <c r="J19" s="39" t="n">
        <v>74</v>
      </c>
      <c r="K19" s="39" t="n">
        <v>11</v>
      </c>
      <c r="L19" s="39" t="n">
        <v>8</v>
      </c>
      <c r="M19" s="39" t="n">
        <v>0</v>
      </c>
      <c r="N19" s="39" t="s">
        <v>587</v>
      </c>
      <c r="O19" s="39"/>
      <c r="P19" s="39"/>
      <c r="Q19" s="39"/>
      <c r="R19" s="39"/>
    </row>
    <row r="20" customFormat="false" ht="30" hidden="false" customHeight="false" outlineLevel="0" collapsed="false">
      <c r="A20" s="73"/>
      <c r="B20" s="73"/>
      <c r="C20" s="73"/>
      <c r="D20" s="73"/>
      <c r="E20" s="78" t="s">
        <v>593</v>
      </c>
      <c r="F20" s="79" t="s">
        <v>594</v>
      </c>
      <c r="G20" s="79" t="n">
        <v>827</v>
      </c>
      <c r="H20" s="39"/>
      <c r="I20" s="39"/>
      <c r="J20" s="39" t="n">
        <v>81</v>
      </c>
      <c r="K20" s="83" t="s">
        <v>595</v>
      </c>
      <c r="L20" s="39" t="n">
        <v>1</v>
      </c>
      <c r="M20" s="39" t="n">
        <v>0</v>
      </c>
      <c r="N20" s="39" t="s">
        <v>587</v>
      </c>
      <c r="O20" s="39"/>
      <c r="P20" s="39"/>
      <c r="Q20" s="39"/>
      <c r="R20" s="39"/>
    </row>
    <row r="21" customFormat="false" ht="30" hidden="false" customHeight="false" outlineLevel="0" collapsed="false">
      <c r="A21" s="73"/>
      <c r="B21" s="73"/>
      <c r="C21" s="73"/>
      <c r="D21" s="73"/>
      <c r="E21" s="78" t="s">
        <v>596</v>
      </c>
      <c r="F21" s="79" t="s">
        <v>597</v>
      </c>
      <c r="G21" s="79" t="n">
        <v>1324</v>
      </c>
      <c r="H21" s="39"/>
      <c r="I21" s="39"/>
      <c r="J21" s="39"/>
      <c r="K21" s="39" t="n">
        <v>7</v>
      </c>
      <c r="L21" s="39" t="n">
        <v>8</v>
      </c>
      <c r="M21" s="39" t="n">
        <v>0</v>
      </c>
      <c r="N21" s="39" t="s">
        <v>583</v>
      </c>
      <c r="O21" s="39"/>
      <c r="P21" s="39"/>
      <c r="Q21" s="39"/>
      <c r="R21" s="39"/>
    </row>
    <row r="22" customFormat="false" ht="30" hidden="false" customHeight="false" outlineLevel="0" collapsed="false">
      <c r="A22" s="73"/>
      <c r="B22" s="73"/>
      <c r="C22" s="73"/>
      <c r="D22" s="73"/>
      <c r="E22" s="42" t="s">
        <v>598</v>
      </c>
      <c r="F22" s="79" t="s">
        <v>599</v>
      </c>
      <c r="G22" s="79" t="n">
        <v>127</v>
      </c>
      <c r="H22" s="39"/>
      <c r="I22" s="39"/>
      <c r="J22" s="39"/>
      <c r="K22" s="39" t="s">
        <v>600</v>
      </c>
      <c r="L22" s="39" t="n">
        <v>2</v>
      </c>
      <c r="M22" s="39" t="n">
        <v>18</v>
      </c>
      <c r="N22" s="39" t="s">
        <v>583</v>
      </c>
      <c r="O22" s="39"/>
      <c r="P22" s="39"/>
      <c r="Q22" s="39"/>
      <c r="R22" s="39"/>
    </row>
    <row r="23" customFormat="false" ht="30" hidden="false" customHeight="false" outlineLevel="0" collapsed="false">
      <c r="A23" s="73"/>
      <c r="B23" s="73"/>
      <c r="C23" s="73"/>
      <c r="D23" s="73"/>
      <c r="E23" s="78" t="s">
        <v>601</v>
      </c>
      <c r="F23" s="79" t="s">
        <v>602</v>
      </c>
      <c r="G23" s="79" t="n">
        <v>20</v>
      </c>
      <c r="H23" s="39"/>
      <c r="I23" s="39"/>
      <c r="J23" s="39"/>
      <c r="K23" s="39" t="s">
        <v>603</v>
      </c>
      <c r="L23" s="39" t="n">
        <v>5</v>
      </c>
      <c r="M23" s="39" t="n">
        <v>2</v>
      </c>
      <c r="N23" s="39" t="s">
        <v>587</v>
      </c>
      <c r="O23" s="39"/>
      <c r="P23" s="39"/>
      <c r="Q23" s="39"/>
      <c r="R23" s="39"/>
    </row>
    <row r="24" customFormat="false" ht="30" hidden="false" customHeight="false" outlineLevel="0" collapsed="false">
      <c r="A24" s="73"/>
      <c r="B24" s="73"/>
      <c r="C24" s="73"/>
      <c r="D24" s="73"/>
      <c r="E24" s="42" t="s">
        <v>604</v>
      </c>
      <c r="F24" s="79" t="s">
        <v>599</v>
      </c>
      <c r="G24" s="79" t="n">
        <v>127</v>
      </c>
      <c r="H24" s="39"/>
      <c r="I24" s="39"/>
      <c r="J24" s="39"/>
      <c r="K24" s="39" t="n">
        <v>17</v>
      </c>
      <c r="L24" s="39" t="n">
        <v>8</v>
      </c>
      <c r="M24" s="39" t="n">
        <v>0</v>
      </c>
      <c r="N24" s="39" t="s">
        <v>587</v>
      </c>
      <c r="O24" s="39"/>
      <c r="P24" s="39"/>
      <c r="Q24" s="39"/>
      <c r="R24" s="39"/>
    </row>
    <row r="25" customFormat="false" ht="30" hidden="false" customHeight="false" outlineLevel="0" collapsed="false">
      <c r="A25" s="73"/>
      <c r="B25" s="73"/>
      <c r="C25" s="73"/>
      <c r="D25" s="73"/>
      <c r="E25" s="78" t="s">
        <v>605</v>
      </c>
      <c r="F25" s="79" t="s">
        <v>606</v>
      </c>
      <c r="G25" s="79" t="n">
        <v>1350</v>
      </c>
      <c r="H25" s="39"/>
      <c r="I25" s="39"/>
      <c r="J25" s="39"/>
      <c r="K25" s="39" t="n">
        <v>18</v>
      </c>
      <c r="L25" s="39" t="n">
        <v>7</v>
      </c>
      <c r="M25" s="39" t="n">
        <v>8</v>
      </c>
      <c r="N25" s="39" t="s">
        <v>583</v>
      </c>
      <c r="O25" s="39"/>
      <c r="P25" s="39"/>
      <c r="Q25" s="39"/>
      <c r="R25" s="39"/>
    </row>
    <row r="26" customFormat="false" ht="30" hidden="false" customHeight="false" outlineLevel="0" collapsed="false">
      <c r="A26" s="73"/>
      <c r="B26" s="73"/>
      <c r="C26" s="73"/>
      <c r="D26" s="73"/>
      <c r="E26" s="40" t="s">
        <v>607</v>
      </c>
      <c r="F26" s="75" t="s">
        <v>608</v>
      </c>
      <c r="G26" s="75" t="n">
        <v>34</v>
      </c>
      <c r="H26" s="39"/>
      <c r="I26" s="39"/>
      <c r="J26" s="39"/>
      <c r="K26" s="39" t="s">
        <v>609</v>
      </c>
      <c r="L26" s="39" t="n">
        <v>1</v>
      </c>
      <c r="M26" s="39" t="n">
        <v>8</v>
      </c>
      <c r="N26" s="39" t="s">
        <v>587</v>
      </c>
      <c r="O26" s="39"/>
      <c r="P26" s="39"/>
      <c r="Q26" s="39"/>
      <c r="R26" s="45" t="s">
        <v>610</v>
      </c>
    </row>
    <row r="27" customFormat="false" ht="15" hidden="false" customHeight="false" outlineLevel="0" collapsed="false">
      <c r="A27" s="73"/>
      <c r="B27" s="73"/>
      <c r="C27" s="73"/>
      <c r="D27" s="73"/>
      <c r="E27" s="42"/>
      <c r="F27" s="79" t="s">
        <v>12</v>
      </c>
      <c r="G27" s="75" t="n">
        <f aca="false">SUM(G19:G26)</f>
        <v>4129</v>
      </c>
      <c r="H27" s="39"/>
      <c r="I27" s="39"/>
      <c r="J27" s="39"/>
      <c r="K27" s="39" t="s">
        <v>611</v>
      </c>
      <c r="L27" s="39" t="n">
        <v>2</v>
      </c>
      <c r="M27" s="39" t="n">
        <v>0</v>
      </c>
      <c r="N27" s="39" t="s">
        <v>587</v>
      </c>
      <c r="O27" s="39"/>
      <c r="P27" s="39"/>
      <c r="Q27" s="39"/>
      <c r="R27" s="39"/>
    </row>
    <row r="28" customFormat="false" ht="15" hidden="false" customHeight="false" outlineLevel="0" collapsed="false">
      <c r="A28" s="73"/>
      <c r="B28" s="73"/>
      <c r="C28" s="73"/>
      <c r="D28" s="73"/>
      <c r="E28" s="42"/>
      <c r="F28" s="79" t="s">
        <v>12</v>
      </c>
      <c r="G28" s="79"/>
      <c r="H28" s="39"/>
      <c r="I28" s="39"/>
      <c r="J28" s="39"/>
      <c r="K28" s="39" t="n">
        <v>363</v>
      </c>
      <c r="L28" s="39" t="n">
        <v>3</v>
      </c>
      <c r="M28" s="39" t="n">
        <v>1</v>
      </c>
      <c r="N28" s="39" t="s">
        <v>612</v>
      </c>
      <c r="O28" s="39"/>
      <c r="P28" s="39"/>
      <c r="Q28" s="39"/>
      <c r="R28" s="39"/>
    </row>
    <row r="29" customFormat="false" ht="15" hidden="false" customHeight="false" outlineLevel="0" collapsed="false">
      <c r="A29" s="73"/>
      <c r="B29" s="73"/>
      <c r="C29" s="73"/>
      <c r="D29" s="73"/>
      <c r="E29" s="42"/>
      <c r="F29" s="79" t="s">
        <v>12</v>
      </c>
      <c r="G29" s="79"/>
      <c r="H29" s="39"/>
      <c r="I29" s="39"/>
      <c r="J29" s="39"/>
      <c r="K29" s="39" t="n">
        <v>453</v>
      </c>
      <c r="L29" s="39" t="n">
        <v>0</v>
      </c>
      <c r="M29" s="39" t="n">
        <v>3</v>
      </c>
      <c r="N29" s="39" t="s">
        <v>613</v>
      </c>
      <c r="O29" s="39"/>
      <c r="P29" s="39"/>
      <c r="Q29" s="39"/>
      <c r="R29" s="39"/>
    </row>
    <row r="30" customFormat="false" ht="15.75" hidden="false" customHeight="false" outlineLevel="0" collapsed="false">
      <c r="A30" s="73"/>
      <c r="B30" s="73"/>
      <c r="C30" s="73"/>
      <c r="D30" s="73"/>
      <c r="E30" s="42"/>
      <c r="F30" s="79" t="s">
        <v>12</v>
      </c>
      <c r="G30" s="79"/>
      <c r="H30" s="39"/>
      <c r="I30" s="39"/>
      <c r="J30" s="39"/>
      <c r="K30" s="39"/>
      <c r="L30" s="84" t="n">
        <f aca="false">SUM(L19:L29)</f>
        <v>45</v>
      </c>
      <c r="M30" s="84" t="n">
        <f aca="false">SUM(M19:M29)</f>
        <v>40</v>
      </c>
      <c r="N30" s="39"/>
      <c r="O30" s="39"/>
      <c r="P30" s="39"/>
      <c r="Q30" s="39"/>
      <c r="R30" s="39"/>
    </row>
    <row r="31" customFormat="false" ht="15.75" hidden="false" customHeight="false" outlineLevel="0" collapsed="false">
      <c r="A31" s="73"/>
      <c r="B31" s="73"/>
      <c r="C31" s="73"/>
      <c r="D31" s="73"/>
      <c r="E31" s="42"/>
      <c r="F31" s="41"/>
      <c r="G31" s="41"/>
      <c r="H31" s="39"/>
      <c r="I31" s="39"/>
      <c r="J31" s="39"/>
      <c r="K31" s="39"/>
      <c r="L31" s="81" t="n">
        <v>47</v>
      </c>
      <c r="M31" s="81" t="n">
        <v>0</v>
      </c>
      <c r="N31" s="39"/>
      <c r="O31" s="39"/>
      <c r="P31" s="39"/>
      <c r="Q31" s="39"/>
      <c r="R31" s="39"/>
    </row>
    <row r="32" customFormat="false" ht="30" hidden="false" customHeight="false" outlineLevel="0" collapsed="false">
      <c r="A32" s="73" t="n">
        <v>35</v>
      </c>
      <c r="B32" s="73"/>
      <c r="C32" s="73" t="n">
        <v>169</v>
      </c>
      <c r="D32" s="73" t="s">
        <v>614</v>
      </c>
      <c r="E32" s="40" t="s">
        <v>129</v>
      </c>
      <c r="F32" s="41"/>
      <c r="G32" s="41"/>
      <c r="H32" s="39"/>
      <c r="I32" s="39"/>
      <c r="J32" s="39" t="n">
        <v>59</v>
      </c>
      <c r="K32" s="39" t="s">
        <v>615</v>
      </c>
      <c r="L32" s="84" t="s">
        <v>616</v>
      </c>
      <c r="M32" s="81"/>
      <c r="N32" s="39"/>
      <c r="O32" s="39"/>
      <c r="P32" s="39"/>
      <c r="Q32" s="39"/>
      <c r="R32" s="39"/>
    </row>
    <row r="33" customFormat="false" ht="15.75" hidden="false" customHeight="false" outlineLevel="0" collapsed="false">
      <c r="A33" s="73"/>
      <c r="B33" s="73"/>
      <c r="C33" s="73"/>
      <c r="D33" s="73"/>
      <c r="E33" s="42"/>
      <c r="F33" s="41"/>
      <c r="G33" s="41"/>
      <c r="H33" s="39"/>
      <c r="I33" s="39"/>
      <c r="J33" s="39"/>
      <c r="K33" s="39"/>
      <c r="L33" s="81"/>
      <c r="M33" s="81"/>
      <c r="N33" s="39"/>
      <c r="O33" s="39"/>
      <c r="P33" s="39"/>
      <c r="Q33" s="39"/>
      <c r="R33" s="39"/>
    </row>
    <row r="34" customFormat="false" ht="15.75" hidden="false" customHeight="false" outlineLevel="0" collapsed="false">
      <c r="A34" s="73"/>
      <c r="B34" s="73"/>
      <c r="C34" s="73"/>
      <c r="D34" s="73"/>
      <c r="E34" s="42"/>
      <c r="F34" s="41"/>
      <c r="G34" s="41"/>
      <c r="H34" s="39"/>
      <c r="I34" s="39"/>
      <c r="J34" s="39"/>
      <c r="K34" s="39"/>
      <c r="L34" s="81"/>
      <c r="M34" s="81"/>
      <c r="N34" s="39"/>
      <c r="O34" s="39"/>
      <c r="P34" s="39"/>
      <c r="Q34" s="39"/>
      <c r="R34" s="39"/>
    </row>
    <row r="35" customFormat="false" ht="15.75" hidden="false" customHeight="false" outlineLevel="0" collapsed="false">
      <c r="A35" s="73"/>
      <c r="B35" s="73"/>
      <c r="C35" s="73"/>
      <c r="D35" s="73"/>
      <c r="E35" s="42"/>
      <c r="F35" s="41"/>
      <c r="G35" s="41"/>
      <c r="H35" s="39"/>
      <c r="I35" s="39"/>
      <c r="J35" s="39"/>
      <c r="K35" s="39"/>
      <c r="L35" s="81"/>
      <c r="M35" s="81"/>
      <c r="N35" s="39"/>
      <c r="O35" s="39"/>
      <c r="P35" s="39"/>
      <c r="Q35" s="39"/>
      <c r="R35" s="39"/>
    </row>
    <row r="36" customFormat="false" ht="15.75" hidden="false" customHeight="false" outlineLevel="0" collapsed="false">
      <c r="A36" s="73"/>
      <c r="B36" s="73"/>
      <c r="C36" s="73"/>
      <c r="D36" s="73"/>
      <c r="E36" s="42"/>
      <c r="F36" s="41"/>
      <c r="G36" s="41"/>
      <c r="H36" s="39"/>
      <c r="I36" s="39"/>
      <c r="J36" s="39"/>
      <c r="K36" s="39"/>
      <c r="L36" s="81"/>
      <c r="M36" s="81"/>
      <c r="N36" s="39"/>
      <c r="O36" s="39"/>
      <c r="P36" s="39"/>
      <c r="Q36" s="39"/>
      <c r="R36" s="39"/>
    </row>
    <row r="37" customFormat="false" ht="15.75" hidden="false" customHeight="false" outlineLevel="0" collapsed="false">
      <c r="A37" s="73"/>
      <c r="B37" s="73"/>
      <c r="C37" s="73"/>
      <c r="D37" s="73"/>
      <c r="E37" s="42"/>
      <c r="F37" s="41"/>
      <c r="G37" s="41"/>
      <c r="H37" s="39"/>
      <c r="I37" s="39"/>
      <c r="J37" s="39"/>
      <c r="K37" s="39"/>
      <c r="L37" s="81"/>
      <c r="M37" s="81"/>
      <c r="N37" s="39"/>
      <c r="O37" s="39"/>
      <c r="P37" s="39"/>
      <c r="Q37" s="39"/>
      <c r="R37" s="39"/>
    </row>
    <row r="38" customFormat="false" ht="30" hidden="false" customHeight="false" outlineLevel="0" collapsed="false">
      <c r="A38" s="73" t="n">
        <v>208</v>
      </c>
      <c r="B38" s="73" t="n">
        <v>192</v>
      </c>
      <c r="C38" s="73" t="n">
        <v>483</v>
      </c>
      <c r="D38" s="82" t="s">
        <v>152</v>
      </c>
      <c r="E38" s="78" t="s">
        <v>617</v>
      </c>
      <c r="F38" s="41" t="s">
        <v>618</v>
      </c>
      <c r="G38" s="39" t="n">
        <v>2577</v>
      </c>
      <c r="H38" s="39"/>
      <c r="I38" s="39"/>
      <c r="J38" s="39" t="n">
        <v>41</v>
      </c>
      <c r="K38" s="39" t="s">
        <v>586</v>
      </c>
      <c r="L38" s="39" t="n">
        <v>6</v>
      </c>
      <c r="M38" s="39" t="n">
        <v>0</v>
      </c>
      <c r="N38" s="39" t="s">
        <v>587</v>
      </c>
      <c r="O38" s="39"/>
      <c r="P38" s="39"/>
      <c r="Q38" s="39"/>
      <c r="R38" s="39"/>
    </row>
    <row r="39" customFormat="false" ht="30" hidden="false" customHeight="false" outlineLevel="0" collapsed="false">
      <c r="A39" s="73"/>
      <c r="B39" s="85"/>
      <c r="C39" s="73"/>
      <c r="D39" s="73"/>
      <c r="E39" s="40" t="s">
        <v>129</v>
      </c>
      <c r="F39" s="75" t="s">
        <v>619</v>
      </c>
      <c r="G39" s="39" t="n">
        <v>391</v>
      </c>
      <c r="H39" s="39"/>
      <c r="I39" s="39"/>
      <c r="J39" s="39"/>
      <c r="K39" s="39" t="n">
        <v>18</v>
      </c>
      <c r="L39" s="39" t="n">
        <v>8</v>
      </c>
      <c r="M39" s="39" t="n">
        <v>0</v>
      </c>
      <c r="N39" s="39" t="s">
        <v>587</v>
      </c>
      <c r="O39" s="39"/>
      <c r="P39" s="39"/>
      <c r="Q39" s="39"/>
      <c r="R39" s="45" t="s">
        <v>620</v>
      </c>
    </row>
    <row r="40" customFormat="false" ht="30" hidden="false" customHeight="false" outlineLevel="0" collapsed="false">
      <c r="A40" s="73"/>
      <c r="B40" s="73"/>
      <c r="C40" s="73"/>
      <c r="D40" s="73"/>
      <c r="E40" s="78" t="s">
        <v>621</v>
      </c>
      <c r="F40" s="41" t="s">
        <v>622</v>
      </c>
      <c r="G40" s="39" t="n">
        <v>211</v>
      </c>
      <c r="H40" s="39"/>
      <c r="I40" s="39"/>
      <c r="J40" s="39"/>
      <c r="K40" s="39" t="n">
        <v>23</v>
      </c>
      <c r="L40" s="39" t="n">
        <v>8</v>
      </c>
      <c r="M40" s="39" t="n">
        <v>0</v>
      </c>
      <c r="N40" s="39" t="s">
        <v>587</v>
      </c>
      <c r="O40" s="39"/>
      <c r="P40" s="39"/>
      <c r="Q40" s="39"/>
      <c r="R40" s="39"/>
    </row>
    <row r="41" customFormat="false" ht="30" hidden="false" customHeight="false" outlineLevel="0" collapsed="false">
      <c r="A41" s="73"/>
      <c r="B41" s="73"/>
      <c r="C41" s="73"/>
      <c r="D41" s="73"/>
      <c r="E41" s="78" t="s">
        <v>623</v>
      </c>
      <c r="F41" s="41" t="s">
        <v>624</v>
      </c>
      <c r="G41" s="39" t="n">
        <v>1261</v>
      </c>
      <c r="H41" s="39"/>
      <c r="I41" s="39"/>
      <c r="J41" s="39" t="n">
        <v>51</v>
      </c>
      <c r="K41" s="39" t="n">
        <v>16</v>
      </c>
      <c r="L41" s="39" t="n">
        <v>4</v>
      </c>
      <c r="M41" s="39" t="n">
        <v>0</v>
      </c>
      <c r="N41" s="39"/>
      <c r="O41" s="39"/>
      <c r="P41" s="39"/>
      <c r="Q41" s="39"/>
      <c r="R41" s="39"/>
    </row>
    <row r="42" customFormat="false" ht="30" hidden="false" customHeight="false" outlineLevel="0" collapsed="false">
      <c r="A42" s="73"/>
      <c r="B42" s="73"/>
      <c r="C42" s="73"/>
      <c r="D42" s="73"/>
      <c r="E42" s="78" t="s">
        <v>625</v>
      </c>
      <c r="F42" s="41" t="s">
        <v>626</v>
      </c>
      <c r="G42" s="39" t="n">
        <v>617</v>
      </c>
      <c r="H42" s="39"/>
      <c r="I42" s="39"/>
      <c r="J42" s="39"/>
      <c r="K42" s="39" t="n">
        <f aca="false">+K41+1</f>
        <v>17</v>
      </c>
      <c r="L42" s="39" t="n">
        <v>8</v>
      </c>
      <c r="M42" s="39" t="n">
        <v>0</v>
      </c>
      <c r="N42" s="39"/>
      <c r="O42" s="39"/>
      <c r="P42" s="39"/>
      <c r="Q42" s="39"/>
      <c r="R42" s="39"/>
    </row>
    <row r="43" customFormat="false" ht="60" hidden="false" customHeight="false" outlineLevel="0" collapsed="false">
      <c r="A43" s="73"/>
      <c r="B43" s="73"/>
      <c r="C43" s="73"/>
      <c r="D43" s="73"/>
      <c r="E43" s="78" t="s">
        <v>627</v>
      </c>
      <c r="F43" s="41" t="s">
        <v>628</v>
      </c>
      <c r="G43" s="39" t="n">
        <f aca="false">823*2</f>
        <v>1646</v>
      </c>
      <c r="H43" s="39"/>
      <c r="I43" s="39"/>
      <c r="J43" s="39"/>
      <c r="K43" s="39" t="n">
        <f aca="false">+K42+1</f>
        <v>18</v>
      </c>
      <c r="L43" s="39" t="n">
        <v>8</v>
      </c>
      <c r="M43" s="39" t="n">
        <v>0</v>
      </c>
      <c r="N43" s="39"/>
      <c r="O43" s="39"/>
      <c r="P43" s="39"/>
      <c r="Q43" s="39"/>
      <c r="R43" s="39"/>
    </row>
    <row r="44" customFormat="false" ht="30" hidden="false" customHeight="false" outlineLevel="0" collapsed="false">
      <c r="A44" s="73"/>
      <c r="B44" s="73"/>
      <c r="C44" s="73"/>
      <c r="D44" s="73"/>
      <c r="E44" s="78" t="s">
        <v>617</v>
      </c>
      <c r="F44" s="41" t="s">
        <v>629</v>
      </c>
      <c r="G44" s="39" t="n">
        <v>1029</v>
      </c>
      <c r="H44" s="39"/>
      <c r="I44" s="39"/>
      <c r="J44" s="39"/>
      <c r="K44" s="39" t="n">
        <f aca="false">+K43+1</f>
        <v>19</v>
      </c>
      <c r="L44" s="39" t="n">
        <v>8</v>
      </c>
      <c r="M44" s="39" t="n">
        <v>0</v>
      </c>
      <c r="N44" s="39"/>
      <c r="O44" s="39"/>
      <c r="P44" s="39"/>
      <c r="Q44" s="39"/>
      <c r="R44" s="39"/>
    </row>
    <row r="45" customFormat="false" ht="15" hidden="false" customHeight="false" outlineLevel="0" collapsed="false">
      <c r="A45" s="73"/>
      <c r="B45" s="73"/>
      <c r="C45" s="73"/>
      <c r="D45" s="73"/>
      <c r="E45" s="42"/>
      <c r="F45" s="41"/>
      <c r="G45" s="80" t="n">
        <f aca="false">SUM(G38:G44)</f>
        <v>7732</v>
      </c>
      <c r="H45" s="39"/>
      <c r="I45" s="39"/>
      <c r="J45" s="39"/>
      <c r="K45" s="39" t="n">
        <f aca="false">+K44+1</f>
        <v>20</v>
      </c>
      <c r="L45" s="39" t="n">
        <v>8</v>
      </c>
      <c r="M45" s="39" t="n">
        <v>0</v>
      </c>
      <c r="N45" s="39"/>
      <c r="O45" s="39"/>
      <c r="P45" s="39"/>
      <c r="Q45" s="39"/>
      <c r="R45" s="39"/>
      <c r="S45" s="77" t="n">
        <v>96</v>
      </c>
    </row>
    <row r="46" customFormat="false" ht="15" hidden="false" customHeight="false" outlineLevel="0" collapsed="false">
      <c r="A46" s="73"/>
      <c r="B46" s="73"/>
      <c r="C46" s="73"/>
      <c r="D46" s="73"/>
      <c r="E46" s="42"/>
      <c r="F46" s="41"/>
      <c r="G46" s="41"/>
      <c r="H46" s="39"/>
      <c r="I46" s="39"/>
      <c r="J46" s="39"/>
      <c r="K46" s="39" t="n">
        <f aca="false">+K45+1</f>
        <v>21</v>
      </c>
      <c r="L46" s="39" t="n">
        <v>8</v>
      </c>
      <c r="M46" s="39" t="n">
        <v>0</v>
      </c>
      <c r="N46" s="39"/>
      <c r="O46" s="39"/>
      <c r="P46" s="39"/>
      <c r="Q46" s="39"/>
      <c r="R46" s="39"/>
    </row>
    <row r="47" customFormat="false" ht="15" hidden="false" customHeight="false" outlineLevel="0" collapsed="false">
      <c r="A47" s="73"/>
      <c r="B47" s="73"/>
      <c r="C47" s="73"/>
      <c r="D47" s="73"/>
      <c r="E47" s="42"/>
      <c r="F47" s="41"/>
      <c r="G47" s="41"/>
      <c r="H47" s="39"/>
      <c r="I47" s="39"/>
      <c r="J47" s="39"/>
      <c r="K47" s="39" t="n">
        <f aca="false">+K46+1</f>
        <v>22</v>
      </c>
      <c r="L47" s="39" t="n">
        <v>8</v>
      </c>
      <c r="M47" s="39" t="n">
        <v>0</v>
      </c>
      <c r="N47" s="39"/>
      <c r="O47" s="39"/>
      <c r="P47" s="39"/>
      <c r="Q47" s="39"/>
      <c r="R47" s="39"/>
    </row>
    <row r="48" customFormat="false" ht="15" hidden="false" customHeight="false" outlineLevel="0" collapsed="false">
      <c r="A48" s="73"/>
      <c r="B48" s="73"/>
      <c r="C48" s="73"/>
      <c r="D48" s="73"/>
      <c r="E48" s="42"/>
      <c r="F48" s="41"/>
      <c r="G48" s="41"/>
      <c r="H48" s="39"/>
      <c r="I48" s="39"/>
      <c r="J48" s="39"/>
      <c r="K48" s="39" t="n">
        <f aca="false">+K47+1</f>
        <v>23</v>
      </c>
      <c r="L48" s="39" t="n">
        <v>8</v>
      </c>
      <c r="M48" s="39" t="n">
        <v>0</v>
      </c>
      <c r="N48" s="39"/>
      <c r="O48" s="39"/>
      <c r="P48" s="39"/>
      <c r="Q48" s="39"/>
      <c r="R48" s="39"/>
    </row>
    <row r="49" customFormat="false" ht="15" hidden="false" customHeight="false" outlineLevel="0" collapsed="false">
      <c r="A49" s="73"/>
      <c r="B49" s="73"/>
      <c r="C49" s="73"/>
      <c r="D49" s="73"/>
      <c r="E49" s="42"/>
      <c r="F49" s="41"/>
      <c r="G49" s="41"/>
      <c r="H49" s="39"/>
      <c r="I49" s="39"/>
      <c r="J49" s="39"/>
      <c r="K49" s="39" t="n">
        <f aca="false">+K48+1</f>
        <v>24</v>
      </c>
      <c r="L49" s="39" t="n">
        <v>9</v>
      </c>
      <c r="M49" s="39" t="n">
        <v>6</v>
      </c>
      <c r="N49" s="39"/>
      <c r="O49" s="39"/>
      <c r="P49" s="39"/>
      <c r="Q49" s="39"/>
      <c r="R49" s="39"/>
    </row>
    <row r="50" customFormat="false" ht="15" hidden="false" customHeight="false" outlineLevel="0" collapsed="false">
      <c r="A50" s="73"/>
      <c r="B50" s="73"/>
      <c r="C50" s="73"/>
      <c r="D50" s="73"/>
      <c r="E50" s="42"/>
      <c r="F50" s="41"/>
      <c r="G50" s="41"/>
      <c r="H50" s="39"/>
      <c r="I50" s="39"/>
      <c r="J50" s="39" t="n">
        <v>52</v>
      </c>
      <c r="K50" s="39" t="n">
        <v>9</v>
      </c>
      <c r="L50" s="39" t="n">
        <v>8</v>
      </c>
      <c r="M50" s="39" t="n">
        <v>0</v>
      </c>
      <c r="N50" s="39"/>
      <c r="O50" s="39"/>
      <c r="P50" s="39"/>
      <c r="Q50" s="39"/>
      <c r="R50" s="39"/>
    </row>
    <row r="51" customFormat="false" ht="15" hidden="false" customHeight="false" outlineLevel="0" collapsed="false">
      <c r="A51" s="73"/>
      <c r="B51" s="73"/>
      <c r="C51" s="73"/>
      <c r="D51" s="73"/>
      <c r="E51" s="42"/>
      <c r="F51" s="41"/>
      <c r="G51" s="41"/>
      <c r="H51" s="39"/>
      <c r="I51" s="39"/>
      <c r="J51" s="39"/>
      <c r="K51" s="39" t="n">
        <v>11</v>
      </c>
      <c r="L51" s="39" t="n">
        <v>7</v>
      </c>
      <c r="M51" s="39" t="n">
        <v>12</v>
      </c>
      <c r="N51" s="39"/>
      <c r="O51" s="39"/>
      <c r="P51" s="39"/>
      <c r="Q51" s="39"/>
      <c r="R51" s="39"/>
    </row>
    <row r="52" customFormat="false" ht="15" hidden="false" customHeight="false" outlineLevel="0" collapsed="false">
      <c r="A52" s="73"/>
      <c r="B52" s="73"/>
      <c r="C52" s="73"/>
      <c r="D52" s="73"/>
      <c r="E52" s="42"/>
      <c r="F52" s="41"/>
      <c r="G52" s="41"/>
      <c r="H52" s="39"/>
      <c r="I52" s="39"/>
      <c r="J52" s="39"/>
      <c r="K52" s="39" t="n">
        <v>12</v>
      </c>
      <c r="L52" s="39" t="n">
        <v>8</v>
      </c>
      <c r="M52" s="39" t="n">
        <v>0</v>
      </c>
      <c r="N52" s="39"/>
      <c r="O52" s="39"/>
      <c r="P52" s="39"/>
      <c r="Q52" s="39"/>
      <c r="R52" s="39"/>
    </row>
    <row r="53" customFormat="false" ht="15" hidden="false" customHeight="false" outlineLevel="0" collapsed="false">
      <c r="A53" s="73"/>
      <c r="B53" s="73"/>
      <c r="C53" s="73"/>
      <c r="D53" s="73"/>
      <c r="E53" s="42"/>
      <c r="F53" s="41"/>
      <c r="G53" s="41"/>
      <c r="H53" s="39"/>
      <c r="I53" s="39"/>
      <c r="J53" s="39"/>
      <c r="K53" s="39" t="n">
        <v>13</v>
      </c>
      <c r="L53" s="39" t="n">
        <v>8</v>
      </c>
      <c r="M53" s="39" t="n">
        <v>0</v>
      </c>
      <c r="N53" s="39"/>
      <c r="O53" s="39"/>
      <c r="P53" s="39"/>
      <c r="Q53" s="39"/>
      <c r="R53" s="39"/>
    </row>
    <row r="54" customFormat="false" ht="15" hidden="false" customHeight="false" outlineLevel="0" collapsed="false">
      <c r="A54" s="73"/>
      <c r="B54" s="73"/>
      <c r="C54" s="73"/>
      <c r="D54" s="73"/>
      <c r="E54" s="42"/>
      <c r="F54" s="41"/>
      <c r="G54" s="41"/>
      <c r="H54" s="39"/>
      <c r="I54" s="39"/>
      <c r="J54" s="39"/>
      <c r="K54" s="39" t="n">
        <v>16</v>
      </c>
      <c r="L54" s="39" t="n">
        <v>8</v>
      </c>
      <c r="M54" s="39" t="n">
        <v>0</v>
      </c>
      <c r="N54" s="39"/>
      <c r="O54" s="39"/>
      <c r="P54" s="39"/>
      <c r="Q54" s="39"/>
      <c r="R54" s="39"/>
    </row>
    <row r="55" customFormat="false" ht="15" hidden="false" customHeight="false" outlineLevel="0" collapsed="false">
      <c r="A55" s="73"/>
      <c r="B55" s="73"/>
      <c r="C55" s="73"/>
      <c r="D55" s="73"/>
      <c r="E55" s="42"/>
      <c r="F55" s="41"/>
      <c r="G55" s="41"/>
      <c r="H55" s="39"/>
      <c r="I55" s="39"/>
      <c r="J55" s="39"/>
      <c r="K55" s="39" t="n">
        <f aca="false">+K54+1</f>
        <v>17</v>
      </c>
      <c r="L55" s="39" t="n">
        <v>8</v>
      </c>
      <c r="M55" s="39" t="n">
        <v>0</v>
      </c>
      <c r="N55" s="39"/>
      <c r="O55" s="39"/>
      <c r="P55" s="39"/>
      <c r="Q55" s="39"/>
      <c r="R55" s="39"/>
    </row>
    <row r="56" customFormat="false" ht="15" hidden="false" customHeight="false" outlineLevel="0" collapsed="false">
      <c r="A56" s="73"/>
      <c r="B56" s="73"/>
      <c r="C56" s="73"/>
      <c r="D56" s="73"/>
      <c r="E56" s="42"/>
      <c r="F56" s="41"/>
      <c r="G56" s="41"/>
      <c r="H56" s="39"/>
      <c r="I56" s="39"/>
      <c r="J56" s="39"/>
      <c r="K56" s="39" t="n">
        <f aca="false">+K55+1</f>
        <v>18</v>
      </c>
      <c r="L56" s="39" t="n">
        <v>8</v>
      </c>
      <c r="M56" s="39" t="n">
        <v>0</v>
      </c>
      <c r="N56" s="39"/>
      <c r="O56" s="39"/>
      <c r="P56" s="39"/>
      <c r="Q56" s="39"/>
      <c r="R56" s="39"/>
    </row>
    <row r="57" customFormat="false" ht="15" hidden="false" customHeight="false" outlineLevel="0" collapsed="false">
      <c r="A57" s="73"/>
      <c r="B57" s="73"/>
      <c r="C57" s="73"/>
      <c r="D57" s="73"/>
      <c r="E57" s="42"/>
      <c r="F57" s="41"/>
      <c r="G57" s="41"/>
      <c r="H57" s="39"/>
      <c r="I57" s="39"/>
      <c r="J57" s="39"/>
      <c r="K57" s="39" t="n">
        <f aca="false">+K56+1</f>
        <v>19</v>
      </c>
      <c r="L57" s="39" t="n">
        <v>8</v>
      </c>
      <c r="M57" s="39" t="n">
        <v>0</v>
      </c>
      <c r="N57" s="39"/>
      <c r="O57" s="39"/>
      <c r="P57" s="39"/>
      <c r="Q57" s="39"/>
      <c r="R57" s="39"/>
    </row>
    <row r="58" customFormat="false" ht="15" hidden="false" customHeight="false" outlineLevel="0" collapsed="false">
      <c r="A58" s="73"/>
      <c r="B58" s="73"/>
      <c r="C58" s="73"/>
      <c r="D58" s="73"/>
      <c r="E58" s="42"/>
      <c r="F58" s="41"/>
      <c r="G58" s="41"/>
      <c r="H58" s="39"/>
      <c r="I58" s="39"/>
      <c r="J58" s="39"/>
      <c r="K58" s="39" t="n">
        <f aca="false">+K57+1</f>
        <v>20</v>
      </c>
      <c r="L58" s="39" t="n">
        <v>7</v>
      </c>
      <c r="M58" s="39" t="n">
        <v>12</v>
      </c>
      <c r="N58" s="39"/>
      <c r="O58" s="39"/>
      <c r="P58" s="39"/>
      <c r="Q58" s="39"/>
      <c r="R58" s="39"/>
    </row>
    <row r="59" customFormat="false" ht="15" hidden="false" customHeight="false" outlineLevel="0" collapsed="false">
      <c r="A59" s="73"/>
      <c r="B59" s="73"/>
      <c r="C59" s="73"/>
      <c r="D59" s="73"/>
      <c r="E59" s="42"/>
      <c r="F59" s="41"/>
      <c r="G59" s="41"/>
      <c r="H59" s="39"/>
      <c r="I59" s="39"/>
      <c r="J59" s="39"/>
      <c r="K59" s="39" t="n">
        <v>24</v>
      </c>
      <c r="L59" s="39" t="n">
        <v>8</v>
      </c>
      <c r="M59" s="39" t="n">
        <v>0</v>
      </c>
      <c r="N59" s="39"/>
      <c r="O59" s="39"/>
      <c r="P59" s="39"/>
      <c r="Q59" s="39"/>
      <c r="R59" s="39"/>
    </row>
    <row r="60" customFormat="false" ht="15" hidden="false" customHeight="false" outlineLevel="0" collapsed="false">
      <c r="A60" s="73"/>
      <c r="B60" s="73"/>
      <c r="C60" s="73"/>
      <c r="D60" s="73"/>
      <c r="E60" s="42"/>
      <c r="F60" s="41"/>
      <c r="G60" s="41"/>
      <c r="H60" s="39"/>
      <c r="I60" s="39"/>
      <c r="J60" s="39"/>
      <c r="K60" s="39" t="n">
        <v>25</v>
      </c>
      <c r="L60" s="39" t="n">
        <v>8</v>
      </c>
      <c r="M60" s="39" t="n">
        <v>0</v>
      </c>
      <c r="N60" s="39"/>
      <c r="O60" s="39"/>
      <c r="P60" s="39"/>
      <c r="Q60" s="39"/>
      <c r="R60" s="39"/>
    </row>
    <row r="61" customFormat="false" ht="15" hidden="false" customHeight="false" outlineLevel="0" collapsed="false">
      <c r="A61" s="73"/>
      <c r="B61" s="73"/>
      <c r="C61" s="73"/>
      <c r="D61" s="73"/>
      <c r="E61" s="42"/>
      <c r="F61" s="41"/>
      <c r="G61" s="41"/>
      <c r="H61" s="39"/>
      <c r="I61" s="39"/>
      <c r="J61" s="39" t="n">
        <v>62</v>
      </c>
      <c r="K61" s="39" t="n">
        <v>4</v>
      </c>
      <c r="L61" s="39" t="n">
        <v>8</v>
      </c>
      <c r="M61" s="39" t="n">
        <v>0</v>
      </c>
      <c r="N61" s="39"/>
      <c r="O61" s="39"/>
      <c r="P61" s="39"/>
      <c r="Q61" s="39"/>
      <c r="R61" s="39"/>
    </row>
    <row r="62" customFormat="false" ht="15" hidden="false" customHeight="false" outlineLevel="0" collapsed="false">
      <c r="A62" s="73"/>
      <c r="B62" s="73"/>
      <c r="C62" s="73"/>
      <c r="D62" s="73"/>
      <c r="E62" s="42"/>
      <c r="F62" s="41"/>
      <c r="G62" s="41"/>
      <c r="H62" s="39"/>
      <c r="I62" s="39"/>
      <c r="J62" s="39"/>
      <c r="K62" s="39" t="n">
        <v>5</v>
      </c>
      <c r="L62" s="39" t="n">
        <v>8</v>
      </c>
      <c r="M62" s="39" t="n">
        <v>0</v>
      </c>
      <c r="N62" s="39"/>
      <c r="O62" s="39"/>
      <c r="P62" s="39"/>
      <c r="Q62" s="39"/>
      <c r="R62" s="39"/>
    </row>
    <row r="63" customFormat="false" ht="15" hidden="false" customHeight="false" outlineLevel="0" collapsed="false">
      <c r="A63" s="73"/>
      <c r="B63" s="73"/>
      <c r="C63" s="73"/>
      <c r="D63" s="73"/>
      <c r="E63" s="42"/>
      <c r="F63" s="41"/>
      <c r="G63" s="41"/>
      <c r="H63" s="39"/>
      <c r="I63" s="39"/>
      <c r="J63" s="39" t="n">
        <v>63</v>
      </c>
      <c r="K63" s="39" t="n">
        <v>1</v>
      </c>
      <c r="L63" s="39" t="n">
        <v>8</v>
      </c>
      <c r="M63" s="39" t="n">
        <v>0</v>
      </c>
      <c r="N63" s="39"/>
      <c r="O63" s="39"/>
      <c r="P63" s="39"/>
      <c r="Q63" s="39"/>
      <c r="R63" s="39"/>
    </row>
    <row r="64" customFormat="false" ht="15" hidden="false" customHeight="false" outlineLevel="0" collapsed="false">
      <c r="A64" s="73"/>
      <c r="B64" s="73"/>
      <c r="C64" s="73"/>
      <c r="D64" s="73"/>
      <c r="E64" s="42"/>
      <c r="F64" s="41"/>
      <c r="G64" s="41"/>
      <c r="H64" s="39"/>
      <c r="I64" s="39"/>
      <c r="J64" s="39"/>
      <c r="K64" s="39" t="n">
        <v>2</v>
      </c>
      <c r="L64" s="39" t="n">
        <v>8</v>
      </c>
      <c r="M64" s="39" t="n">
        <v>0</v>
      </c>
      <c r="N64" s="39"/>
      <c r="O64" s="39"/>
      <c r="P64" s="39"/>
      <c r="Q64" s="39"/>
      <c r="R64" s="39"/>
    </row>
    <row r="65" customFormat="false" ht="15" hidden="false" customHeight="false" outlineLevel="0" collapsed="false">
      <c r="A65" s="73"/>
      <c r="B65" s="73"/>
      <c r="C65" s="73"/>
      <c r="D65" s="73"/>
      <c r="E65" s="42"/>
      <c r="F65" s="41"/>
      <c r="G65" s="41"/>
      <c r="H65" s="39"/>
      <c r="I65" s="39"/>
      <c r="J65" s="39" t="n">
        <v>71</v>
      </c>
      <c r="K65" s="39" t="n">
        <v>11</v>
      </c>
      <c r="L65" s="39" t="n">
        <v>2</v>
      </c>
      <c r="M65" s="39" t="n">
        <v>13</v>
      </c>
      <c r="N65" s="39"/>
      <c r="O65" s="39"/>
      <c r="P65" s="39"/>
      <c r="Q65" s="39"/>
      <c r="R65" s="39"/>
    </row>
    <row r="66" customFormat="false" ht="15" hidden="false" customHeight="false" outlineLevel="0" collapsed="false">
      <c r="A66" s="73"/>
      <c r="B66" s="73"/>
      <c r="C66" s="73"/>
      <c r="D66" s="73"/>
      <c r="E66" s="42"/>
      <c r="F66" s="41"/>
      <c r="G66" s="41"/>
      <c r="H66" s="39"/>
      <c r="I66" s="39"/>
      <c r="J66" s="39"/>
      <c r="K66" s="39" t="s">
        <v>630</v>
      </c>
      <c r="L66" s="39" t="n">
        <v>1</v>
      </c>
      <c r="M66" s="39" t="n">
        <v>15</v>
      </c>
      <c r="N66" s="39"/>
      <c r="O66" s="39"/>
      <c r="P66" s="39"/>
      <c r="Q66" s="39"/>
      <c r="R66" s="39"/>
    </row>
    <row r="67" customFormat="false" ht="15" hidden="false" customHeight="false" outlineLevel="0" collapsed="false">
      <c r="A67" s="73"/>
      <c r="B67" s="73"/>
      <c r="C67" s="73"/>
      <c r="D67" s="73"/>
      <c r="E67" s="42"/>
      <c r="F67" s="41"/>
      <c r="G67" s="41"/>
      <c r="H67" s="39"/>
      <c r="I67" s="39"/>
      <c r="J67" s="39"/>
      <c r="K67" s="39" t="s">
        <v>631</v>
      </c>
      <c r="L67" s="39" t="n">
        <v>5</v>
      </c>
      <c r="M67" s="39" t="n">
        <v>2</v>
      </c>
      <c r="N67" s="39"/>
      <c r="O67" s="39"/>
      <c r="P67" s="39"/>
      <c r="Q67" s="39"/>
      <c r="R67" s="39"/>
    </row>
    <row r="68" customFormat="false" ht="15" hidden="false" customHeight="false" outlineLevel="0" collapsed="false">
      <c r="A68" s="73"/>
      <c r="B68" s="73"/>
      <c r="C68" s="73"/>
      <c r="D68" s="73"/>
      <c r="E68" s="42"/>
      <c r="F68" s="41"/>
      <c r="G68" s="41"/>
      <c r="H68" s="39"/>
      <c r="I68" s="39"/>
      <c r="J68" s="39"/>
      <c r="K68" s="39" t="n">
        <v>20</v>
      </c>
      <c r="L68" s="39" t="n">
        <v>8</v>
      </c>
      <c r="M68" s="39" t="n">
        <v>0</v>
      </c>
      <c r="N68" s="39"/>
      <c r="O68" s="39"/>
      <c r="P68" s="39"/>
      <c r="Q68" s="39"/>
      <c r="R68" s="39"/>
    </row>
    <row r="69" customFormat="false" ht="15" hidden="false" customHeight="false" outlineLevel="0" collapsed="false">
      <c r="A69" s="73"/>
      <c r="B69" s="73"/>
      <c r="C69" s="73"/>
      <c r="D69" s="73"/>
      <c r="E69" s="42"/>
      <c r="F69" s="41"/>
      <c r="G69" s="41"/>
      <c r="H69" s="39"/>
      <c r="I69" s="39"/>
      <c r="J69" s="39"/>
      <c r="K69" s="39" t="n">
        <v>21</v>
      </c>
      <c r="L69" s="39" t="n">
        <v>8</v>
      </c>
      <c r="M69" s="39" t="n">
        <v>0</v>
      </c>
      <c r="N69" s="39"/>
      <c r="O69" s="39"/>
      <c r="P69" s="39"/>
      <c r="Q69" s="39"/>
      <c r="R69" s="39"/>
    </row>
    <row r="70" customFormat="false" ht="15" hidden="false" customHeight="false" outlineLevel="0" collapsed="false">
      <c r="A70" s="73"/>
      <c r="B70" s="73"/>
      <c r="C70" s="73"/>
      <c r="D70" s="73"/>
      <c r="E70" s="42"/>
      <c r="F70" s="41"/>
      <c r="G70" s="41"/>
      <c r="H70" s="39"/>
      <c r="I70" s="39"/>
      <c r="J70" s="39"/>
      <c r="K70" s="39" t="s">
        <v>632</v>
      </c>
      <c r="L70" s="39" t="n">
        <v>5</v>
      </c>
      <c r="M70" s="39" t="n">
        <v>2</v>
      </c>
      <c r="N70" s="39"/>
      <c r="O70" s="39"/>
      <c r="P70" s="39"/>
      <c r="Q70" s="39"/>
      <c r="R70" s="39"/>
    </row>
    <row r="71" customFormat="false" ht="15" hidden="false" customHeight="false" outlineLevel="0" collapsed="false">
      <c r="A71" s="73"/>
      <c r="B71" s="73"/>
      <c r="C71" s="73"/>
      <c r="D71" s="73"/>
      <c r="E71" s="42"/>
      <c r="F71" s="41"/>
      <c r="G71" s="41"/>
      <c r="H71" s="39"/>
      <c r="I71" s="39"/>
      <c r="J71" s="39" t="n">
        <v>76</v>
      </c>
      <c r="K71" s="39" t="s">
        <v>633</v>
      </c>
      <c r="L71" s="39" t="n">
        <v>5</v>
      </c>
      <c r="M71" s="39" t="n">
        <v>11</v>
      </c>
      <c r="N71" s="39"/>
      <c r="O71" s="39"/>
      <c r="P71" s="39"/>
      <c r="Q71" s="39"/>
      <c r="R71" s="39"/>
    </row>
    <row r="72" customFormat="false" ht="15" hidden="false" customHeight="false" outlineLevel="0" collapsed="false">
      <c r="A72" s="73"/>
      <c r="B72" s="73"/>
      <c r="C72" s="73"/>
      <c r="D72" s="73"/>
      <c r="E72" s="42"/>
      <c r="F72" s="41"/>
      <c r="G72" s="41"/>
      <c r="H72" s="39"/>
      <c r="I72" s="39"/>
      <c r="J72" s="39"/>
      <c r="K72" s="39" t="s">
        <v>634</v>
      </c>
      <c r="L72" s="39" t="n">
        <v>4</v>
      </c>
      <c r="M72" s="39" t="n">
        <v>18</v>
      </c>
      <c r="N72" s="39"/>
      <c r="O72" s="39"/>
      <c r="P72" s="39"/>
      <c r="Q72" s="39"/>
      <c r="R72" s="39"/>
    </row>
    <row r="73" customFormat="false" ht="15" hidden="false" customHeight="false" outlineLevel="0" collapsed="false">
      <c r="A73" s="73"/>
      <c r="B73" s="73"/>
      <c r="C73" s="73"/>
      <c r="D73" s="73"/>
      <c r="E73" s="42"/>
      <c r="F73" s="41"/>
      <c r="G73" s="41"/>
      <c r="H73" s="39"/>
      <c r="I73" s="39"/>
      <c r="J73" s="39"/>
      <c r="K73" s="39" t="s">
        <v>635</v>
      </c>
      <c r="L73" s="39" t="n">
        <v>5</v>
      </c>
      <c r="M73" s="39" t="n">
        <v>2</v>
      </c>
      <c r="N73" s="39"/>
      <c r="O73" s="39"/>
      <c r="P73" s="39"/>
      <c r="Q73" s="39"/>
      <c r="R73" s="39"/>
    </row>
    <row r="74" customFormat="false" ht="15" hidden="false" customHeight="false" outlineLevel="0" collapsed="false">
      <c r="A74" s="73"/>
      <c r="B74" s="73"/>
      <c r="C74" s="73"/>
      <c r="D74" s="73"/>
      <c r="E74" s="42"/>
      <c r="F74" s="41"/>
      <c r="G74" s="41"/>
      <c r="H74" s="39"/>
      <c r="I74" s="39"/>
      <c r="J74" s="39"/>
      <c r="K74" s="39" t="n">
        <v>10</v>
      </c>
      <c r="L74" s="39" t="n">
        <v>8</v>
      </c>
      <c r="M74" s="39" t="n">
        <v>0</v>
      </c>
      <c r="N74" s="39"/>
      <c r="O74" s="39"/>
      <c r="P74" s="39"/>
      <c r="Q74" s="39"/>
      <c r="R74" s="39"/>
    </row>
    <row r="75" customFormat="false" ht="15" hidden="false" customHeight="false" outlineLevel="0" collapsed="false">
      <c r="A75" s="73"/>
      <c r="B75" s="73"/>
      <c r="C75" s="73"/>
      <c r="D75" s="73"/>
      <c r="E75" s="42"/>
      <c r="F75" s="41"/>
      <c r="G75" s="41"/>
      <c r="H75" s="39"/>
      <c r="I75" s="39"/>
      <c r="J75" s="39"/>
      <c r="K75" s="39" t="n">
        <v>11</v>
      </c>
      <c r="L75" s="39" t="n">
        <v>8</v>
      </c>
      <c r="M75" s="39" t="n">
        <v>0</v>
      </c>
      <c r="N75" s="39"/>
      <c r="O75" s="39"/>
      <c r="P75" s="39"/>
      <c r="Q75" s="39"/>
      <c r="R75" s="39"/>
    </row>
    <row r="76" customFormat="false" ht="15" hidden="false" customHeight="false" outlineLevel="0" collapsed="false">
      <c r="A76" s="73"/>
      <c r="B76" s="73"/>
      <c r="C76" s="73"/>
      <c r="D76" s="73"/>
      <c r="E76" s="42"/>
      <c r="F76" s="41"/>
      <c r="G76" s="41"/>
      <c r="H76" s="39"/>
      <c r="I76" s="39"/>
      <c r="J76" s="39"/>
      <c r="K76" s="39" t="s">
        <v>630</v>
      </c>
      <c r="L76" s="39" t="n">
        <v>5</v>
      </c>
      <c r="M76" s="39" t="n">
        <v>2</v>
      </c>
      <c r="N76" s="39"/>
      <c r="O76" s="39"/>
      <c r="P76" s="39"/>
      <c r="Q76" s="39"/>
      <c r="R76" s="39"/>
    </row>
    <row r="77" customFormat="false" ht="15" hidden="false" customHeight="false" outlineLevel="0" collapsed="false">
      <c r="A77" s="73"/>
      <c r="B77" s="73"/>
      <c r="C77" s="73"/>
      <c r="D77" s="73"/>
      <c r="E77" s="42"/>
      <c r="F77" s="41"/>
      <c r="G77" s="41"/>
      <c r="H77" s="39"/>
      <c r="I77" s="39"/>
      <c r="J77" s="39"/>
      <c r="K77" s="39" t="n">
        <v>20</v>
      </c>
      <c r="L77" s="39" t="n">
        <v>8</v>
      </c>
      <c r="M77" s="39" t="n">
        <v>0</v>
      </c>
      <c r="N77" s="39"/>
      <c r="O77" s="39"/>
      <c r="P77" s="39"/>
      <c r="Q77" s="39"/>
      <c r="R77" s="39"/>
    </row>
    <row r="78" customFormat="false" ht="15" hidden="false" customHeight="false" outlineLevel="0" collapsed="false">
      <c r="A78" s="73"/>
      <c r="B78" s="73"/>
      <c r="C78" s="73"/>
      <c r="D78" s="73"/>
      <c r="E78" s="42"/>
      <c r="F78" s="41"/>
      <c r="G78" s="41"/>
      <c r="H78" s="39"/>
      <c r="I78" s="39"/>
      <c r="J78" s="39"/>
      <c r="K78" s="50" t="n">
        <f aca="false">COUNT(K38:K77)</f>
        <v>32</v>
      </c>
      <c r="L78" s="50" t="n">
        <f aca="false">SUM(L30:L77)</f>
        <v>373</v>
      </c>
      <c r="M78" s="50" t="n">
        <f aca="false">SUM(M30:M77)</f>
        <v>135</v>
      </c>
      <c r="N78" s="39"/>
      <c r="O78" s="39"/>
      <c r="P78" s="39"/>
      <c r="Q78" s="39"/>
      <c r="R78" s="39"/>
    </row>
    <row r="79" customFormat="false" ht="15" hidden="false" customHeight="false" outlineLevel="0" collapsed="false">
      <c r="A79" s="73"/>
      <c r="B79" s="73"/>
      <c r="C79" s="73"/>
      <c r="D79" s="73"/>
      <c r="E79" s="42"/>
      <c r="F79" s="41"/>
      <c r="G79" s="41"/>
      <c r="H79" s="39"/>
      <c r="I79" s="39"/>
      <c r="J79" s="39" t="s">
        <v>636</v>
      </c>
      <c r="K79" s="50"/>
      <c r="L79" s="50"/>
      <c r="M79" s="50"/>
      <c r="N79" s="39"/>
      <c r="O79" s="39"/>
      <c r="P79" s="39"/>
      <c r="Q79" s="39"/>
      <c r="R79" s="39"/>
    </row>
    <row r="80" customFormat="false" ht="18.75" hidden="false" customHeight="false" outlineLevel="0" collapsed="false">
      <c r="A80" s="73"/>
      <c r="B80" s="73"/>
      <c r="C80" s="73"/>
      <c r="D80" s="73"/>
      <c r="E80" s="42"/>
      <c r="F80" s="41"/>
      <c r="G80" s="41"/>
      <c r="H80" s="39"/>
      <c r="I80" s="39"/>
      <c r="J80" s="39"/>
      <c r="K80" s="50"/>
      <c r="L80" s="51" t="n">
        <v>380</v>
      </c>
      <c r="M80" s="51" t="n">
        <v>12</v>
      </c>
      <c r="N80" s="39"/>
      <c r="O80" s="39"/>
      <c r="P80" s="39"/>
      <c r="Q80" s="39"/>
      <c r="R80" s="39"/>
    </row>
    <row r="81" customFormat="false" ht="18.75" hidden="false" customHeight="false" outlineLevel="0" collapsed="false">
      <c r="A81" s="73"/>
      <c r="B81" s="73"/>
      <c r="C81" s="73"/>
      <c r="D81" s="73"/>
      <c r="E81" s="42"/>
      <c r="F81" s="41"/>
      <c r="G81" s="41"/>
      <c r="H81" s="39"/>
      <c r="I81" s="39"/>
      <c r="J81" s="39"/>
      <c r="K81" s="39"/>
      <c r="L81" s="46" t="n">
        <f aca="false">L80*20+M80</f>
        <v>7612</v>
      </c>
      <c r="M81" s="46" t="n">
        <f aca="false">L81*391/7732</f>
        <v>384.931712364201</v>
      </c>
      <c r="N81" s="39"/>
      <c r="O81" s="39"/>
      <c r="P81" s="39"/>
      <c r="Q81" s="39"/>
      <c r="R81" s="39"/>
    </row>
    <row r="82" customFormat="false" ht="45.75" hidden="false" customHeight="false" outlineLevel="0" collapsed="false">
      <c r="A82" s="73" t="n">
        <v>208</v>
      </c>
      <c r="B82" s="73"/>
      <c r="C82" s="73" t="n">
        <v>486</v>
      </c>
      <c r="D82" s="73"/>
      <c r="E82" s="86" t="s">
        <v>637</v>
      </c>
      <c r="F82" s="41" t="s">
        <v>638</v>
      </c>
      <c r="G82" s="41"/>
      <c r="H82" s="39"/>
      <c r="I82" s="39"/>
      <c r="J82" s="39"/>
      <c r="K82" s="39"/>
      <c r="L82" s="46"/>
      <c r="M82" s="46"/>
      <c r="N82" s="39"/>
      <c r="O82" s="39"/>
      <c r="P82" s="39"/>
      <c r="Q82" s="39"/>
      <c r="R82" s="39"/>
    </row>
    <row r="83" customFormat="false" ht="30.75" hidden="false" customHeight="false" outlineLevel="0" collapsed="false">
      <c r="A83" s="73"/>
      <c r="B83" s="73"/>
      <c r="C83" s="73"/>
      <c r="D83" s="73"/>
      <c r="E83" s="42" t="s">
        <v>639</v>
      </c>
      <c r="F83" s="41" t="s">
        <v>640</v>
      </c>
      <c r="G83" s="41"/>
      <c r="H83" s="39"/>
      <c r="I83" s="39"/>
      <c r="J83" s="39"/>
      <c r="K83" s="39"/>
      <c r="L83" s="46"/>
      <c r="M83" s="46"/>
      <c r="N83" s="39"/>
      <c r="O83" s="39"/>
      <c r="P83" s="39"/>
      <c r="Q83" s="39"/>
      <c r="R83" s="39"/>
    </row>
    <row r="84" customFormat="false" ht="18.75" hidden="false" customHeight="false" outlineLevel="0" collapsed="false">
      <c r="A84" s="73"/>
      <c r="B84" s="73"/>
      <c r="C84" s="73"/>
      <c r="D84" s="73"/>
      <c r="E84" s="42"/>
      <c r="F84" s="41"/>
      <c r="G84" s="41"/>
      <c r="H84" s="39"/>
      <c r="I84" s="39"/>
      <c r="J84" s="39"/>
      <c r="K84" s="39"/>
      <c r="L84" s="46" t="n">
        <v>19</v>
      </c>
      <c r="M84" s="46" t="n">
        <v>11</v>
      </c>
      <c r="N84" s="39"/>
      <c r="O84" s="39"/>
      <c r="P84" s="39"/>
      <c r="Q84" s="39"/>
      <c r="R84" s="39"/>
    </row>
    <row r="85" customFormat="false" ht="18.75" hidden="false" customHeight="false" outlineLevel="0" collapsed="false">
      <c r="A85" s="73"/>
      <c r="B85" s="73"/>
      <c r="C85" s="73"/>
      <c r="D85" s="73"/>
      <c r="E85" s="42"/>
      <c r="F85" s="41"/>
      <c r="G85" s="41"/>
      <c r="H85" s="39"/>
      <c r="I85" s="39"/>
      <c r="J85" s="39"/>
      <c r="K85" s="39"/>
      <c r="L85" s="46" t="n">
        <f aca="false">L84*20+M84</f>
        <v>391</v>
      </c>
      <c r="M85" s="46" t="n">
        <f aca="false">L85/5</f>
        <v>78.2</v>
      </c>
      <c r="N85" s="39"/>
      <c r="O85" s="39"/>
      <c r="P85" s="39"/>
      <c r="Q85" s="39"/>
      <c r="R85" s="50" t="s">
        <v>620</v>
      </c>
    </row>
    <row r="86" customFormat="false" ht="18.75" hidden="false" customHeight="false" outlineLevel="0" collapsed="false">
      <c r="A86" s="73"/>
      <c r="B86" s="73"/>
      <c r="C86" s="73"/>
      <c r="D86" s="73"/>
      <c r="E86" s="42"/>
      <c r="F86" s="41"/>
      <c r="G86" s="41"/>
      <c r="H86" s="39"/>
      <c r="I86" s="39"/>
      <c r="J86" s="39"/>
      <c r="K86" s="39"/>
      <c r="L86" s="46"/>
      <c r="M86" s="46"/>
      <c r="N86" s="39"/>
      <c r="O86" s="39"/>
      <c r="P86" s="39"/>
      <c r="Q86" s="39"/>
      <c r="R86" s="39"/>
    </row>
    <row r="87" customFormat="false" ht="18.75" hidden="false" customHeight="false" outlineLevel="0" collapsed="false">
      <c r="A87" s="73"/>
      <c r="B87" s="73"/>
      <c r="C87" s="73"/>
      <c r="D87" s="73"/>
      <c r="E87" s="42"/>
      <c r="F87" s="41"/>
      <c r="G87" s="41"/>
      <c r="H87" s="39"/>
      <c r="I87" s="39"/>
      <c r="J87" s="39"/>
      <c r="K87" s="39"/>
      <c r="L87" s="46"/>
      <c r="M87" s="46"/>
      <c r="N87" s="39"/>
      <c r="O87" s="39"/>
      <c r="P87" s="39"/>
      <c r="Q87" s="39"/>
      <c r="R87" s="39"/>
    </row>
    <row r="88" customFormat="false" ht="30" hidden="false" customHeight="false" outlineLevel="0" collapsed="false">
      <c r="A88" s="73" t="n">
        <v>216</v>
      </c>
      <c r="B88" s="73" t="n">
        <v>200</v>
      </c>
      <c r="C88" s="73" t="n">
        <v>492</v>
      </c>
      <c r="D88" s="73" t="s">
        <v>152</v>
      </c>
      <c r="E88" s="40" t="s">
        <v>641</v>
      </c>
      <c r="F88" s="41" t="s">
        <v>642</v>
      </c>
      <c r="G88" s="41" t="n">
        <v>28</v>
      </c>
      <c r="H88" s="39"/>
      <c r="I88" s="39"/>
      <c r="J88" s="39" t="n">
        <v>380</v>
      </c>
      <c r="K88" s="39"/>
      <c r="L88" s="39" t="n">
        <v>4</v>
      </c>
      <c r="M88" s="39" t="n">
        <v>0</v>
      </c>
      <c r="N88" s="39" t="s">
        <v>643</v>
      </c>
      <c r="O88" s="39"/>
      <c r="P88" s="39"/>
      <c r="Q88" s="39"/>
      <c r="R88" s="45" t="s">
        <v>644</v>
      </c>
    </row>
    <row r="89" customFormat="false" ht="30" hidden="false" customHeight="false" outlineLevel="0" collapsed="false">
      <c r="A89" s="73"/>
      <c r="B89" s="73"/>
      <c r="C89" s="73"/>
      <c r="D89" s="73"/>
      <c r="E89" s="78" t="s">
        <v>645</v>
      </c>
      <c r="F89" s="41" t="s">
        <v>646</v>
      </c>
      <c r="G89" s="41" t="n">
        <v>21</v>
      </c>
      <c r="H89" s="39"/>
      <c r="I89" s="39"/>
      <c r="J89" s="39" t="n">
        <v>470</v>
      </c>
      <c r="K89" s="39"/>
      <c r="L89" s="39" t="n">
        <v>0</v>
      </c>
      <c r="M89" s="39" t="n">
        <v>5</v>
      </c>
      <c r="N89" s="39" t="s">
        <v>647</v>
      </c>
      <c r="O89" s="39"/>
      <c r="P89" s="39"/>
      <c r="Q89" s="39"/>
      <c r="R89" s="39"/>
    </row>
    <row r="90" customFormat="false" ht="30" hidden="false" customHeight="false" outlineLevel="0" collapsed="false">
      <c r="A90" s="73"/>
      <c r="B90" s="73"/>
      <c r="C90" s="73"/>
      <c r="D90" s="73"/>
      <c r="E90" s="78" t="s">
        <v>648</v>
      </c>
      <c r="F90" s="41" t="s">
        <v>649</v>
      </c>
      <c r="G90" s="41" t="n">
        <v>24</v>
      </c>
      <c r="H90" s="39"/>
      <c r="I90" s="39"/>
      <c r="J90" s="39"/>
      <c r="K90" s="39"/>
      <c r="L90" s="50" t="n">
        <v>4</v>
      </c>
      <c r="M90" s="50" t="n">
        <v>5</v>
      </c>
      <c r="N90" s="39"/>
      <c r="O90" s="39"/>
      <c r="P90" s="39"/>
      <c r="Q90" s="39"/>
      <c r="R90" s="39"/>
    </row>
    <row r="91" customFormat="false" ht="45" hidden="false" customHeight="false" outlineLevel="0" collapsed="false">
      <c r="A91" s="73"/>
      <c r="B91" s="73"/>
      <c r="C91" s="73"/>
      <c r="D91" s="73"/>
      <c r="E91" s="42" t="s">
        <v>650</v>
      </c>
      <c r="F91" s="41" t="s">
        <v>651</v>
      </c>
      <c r="G91" s="41" t="n">
        <v>12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</row>
    <row r="92" customFormat="false" ht="15" hidden="false" customHeight="false" outlineLevel="0" collapsed="false">
      <c r="A92" s="73"/>
      <c r="B92" s="73"/>
      <c r="C92" s="73"/>
      <c r="D92" s="73"/>
      <c r="E92" s="42"/>
      <c r="F92" s="41"/>
      <c r="G92" s="48" t="n">
        <f aca="false">SUM(G88:G91)</f>
        <v>85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</row>
    <row r="93" customFormat="false" ht="15" hidden="false" customHeight="false" outlineLevel="0" collapsed="false">
      <c r="A93" s="73"/>
      <c r="B93" s="73"/>
      <c r="C93" s="73"/>
      <c r="D93" s="73"/>
      <c r="E93" s="42"/>
      <c r="F93" s="41"/>
      <c r="G93" s="41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</row>
    <row r="94" customFormat="false" ht="30" hidden="false" customHeight="false" outlineLevel="0" collapsed="false">
      <c r="A94" s="73" t="n">
        <v>265</v>
      </c>
      <c r="B94" s="73" t="n">
        <v>248</v>
      </c>
      <c r="C94" s="73" t="n">
        <v>594</v>
      </c>
      <c r="D94" s="73" t="s">
        <v>652</v>
      </c>
      <c r="E94" s="40" t="s">
        <v>129</v>
      </c>
      <c r="F94" s="41" t="n">
        <v>1</v>
      </c>
      <c r="G94" s="41"/>
      <c r="H94" s="39"/>
      <c r="I94" s="39"/>
      <c r="J94" s="39" t="n">
        <v>106</v>
      </c>
      <c r="K94" s="39" t="n">
        <v>5</v>
      </c>
      <c r="L94" s="39" t="n">
        <v>8</v>
      </c>
      <c r="M94" s="39" t="n">
        <v>0</v>
      </c>
      <c r="N94" s="39" t="s">
        <v>587</v>
      </c>
      <c r="O94" s="39"/>
      <c r="P94" s="39"/>
      <c r="Q94" s="39"/>
      <c r="R94" s="45" t="s">
        <v>653</v>
      </c>
      <c r="S94" s="87" t="n">
        <v>64</v>
      </c>
    </row>
    <row r="95" customFormat="false" ht="15" hidden="false" customHeight="false" outlineLevel="0" collapsed="false">
      <c r="A95" s="73"/>
      <c r="B95" s="73"/>
      <c r="C95" s="73"/>
      <c r="D95" s="73"/>
      <c r="E95" s="42"/>
      <c r="F95" s="41"/>
      <c r="G95" s="41"/>
      <c r="H95" s="39"/>
      <c r="I95" s="39"/>
      <c r="J95" s="39" t="n">
        <v>107</v>
      </c>
      <c r="K95" s="39" t="s">
        <v>654</v>
      </c>
      <c r="L95" s="39" t="n">
        <v>4</v>
      </c>
      <c r="M95" s="39" t="n">
        <v>16</v>
      </c>
      <c r="N95" s="39" t="s">
        <v>155</v>
      </c>
      <c r="O95" s="39"/>
      <c r="P95" s="39"/>
      <c r="Q95" s="39"/>
      <c r="R95" s="39"/>
    </row>
    <row r="96" customFormat="false" ht="15" hidden="false" customHeight="false" outlineLevel="0" collapsed="false">
      <c r="A96" s="73"/>
      <c r="B96" s="73"/>
      <c r="C96" s="73"/>
      <c r="D96" s="73"/>
      <c r="E96" s="42"/>
      <c r="F96" s="41"/>
      <c r="G96" s="41"/>
      <c r="H96" s="39"/>
      <c r="I96" s="39"/>
      <c r="J96" s="39"/>
      <c r="K96" s="39"/>
      <c r="L96" s="50" t="n">
        <f aca="false">SUM(L94:L95)</f>
        <v>12</v>
      </c>
      <c r="M96" s="50" t="n">
        <f aca="false">SUM(M94:M95)</f>
        <v>16</v>
      </c>
      <c r="N96" s="39"/>
      <c r="O96" s="39"/>
      <c r="P96" s="39"/>
      <c r="Q96" s="39"/>
      <c r="R96" s="39"/>
    </row>
    <row r="97" customFormat="false" ht="15" hidden="false" customHeight="false" outlineLevel="0" collapsed="false">
      <c r="A97" s="73" t="s">
        <v>12</v>
      </c>
      <c r="B97" s="73"/>
      <c r="C97" s="73"/>
      <c r="D97" s="73"/>
      <c r="E97" s="42"/>
      <c r="F97" s="41"/>
      <c r="G97" s="41"/>
      <c r="H97" s="39"/>
      <c r="I97" s="39"/>
      <c r="J97" s="39"/>
      <c r="K97" s="39"/>
      <c r="L97" s="50"/>
      <c r="M97" s="39"/>
      <c r="N97" s="39"/>
      <c r="O97" s="39"/>
      <c r="P97" s="39"/>
      <c r="Q97" s="39"/>
      <c r="R97" s="39"/>
    </row>
    <row r="98" customFormat="false" ht="45" hidden="false" customHeight="false" outlineLevel="0" collapsed="false">
      <c r="A98" s="73" t="n">
        <v>336</v>
      </c>
      <c r="B98" s="73" t="s">
        <v>655</v>
      </c>
      <c r="C98" s="73" t="n">
        <v>706</v>
      </c>
      <c r="D98" s="73" t="s">
        <v>656</v>
      </c>
      <c r="E98" s="40" t="s">
        <v>135</v>
      </c>
      <c r="F98" s="41" t="s">
        <v>657</v>
      </c>
      <c r="G98" s="41" t="n">
        <v>8</v>
      </c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 t="s">
        <v>658</v>
      </c>
    </row>
    <row r="99" customFormat="false" ht="30" hidden="false" customHeight="false" outlineLevel="0" collapsed="false">
      <c r="A99" s="73"/>
      <c r="B99" s="73"/>
      <c r="C99" s="73"/>
      <c r="D99" s="73"/>
      <c r="E99" s="42" t="s">
        <v>659</v>
      </c>
      <c r="F99" s="41" t="s">
        <v>660</v>
      </c>
      <c r="G99" s="41" t="n">
        <f aca="false">83*2</f>
        <v>166</v>
      </c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</row>
    <row r="100" customFormat="false" ht="30" hidden="false" customHeight="false" outlineLevel="0" collapsed="false">
      <c r="A100" s="73"/>
      <c r="B100" s="73"/>
      <c r="C100" s="73"/>
      <c r="D100" s="73"/>
      <c r="E100" s="42" t="s">
        <v>661</v>
      </c>
      <c r="F100" s="41" t="s">
        <v>662</v>
      </c>
      <c r="G100" s="41" t="n">
        <v>301.5</v>
      </c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</row>
    <row r="101" customFormat="false" ht="30" hidden="false" customHeight="false" outlineLevel="0" collapsed="false">
      <c r="A101" s="73"/>
      <c r="B101" s="73"/>
      <c r="C101" s="73"/>
      <c r="D101" s="73"/>
      <c r="E101" s="42" t="s">
        <v>663</v>
      </c>
      <c r="F101" s="41" t="s">
        <v>662</v>
      </c>
      <c r="G101" s="41" t="n">
        <v>301.5</v>
      </c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customFormat="false" ht="30" hidden="false" customHeight="false" outlineLevel="0" collapsed="false">
      <c r="A102" s="73"/>
      <c r="B102" s="73"/>
      <c r="C102" s="73"/>
      <c r="D102" s="73"/>
      <c r="E102" s="42" t="s">
        <v>664</v>
      </c>
      <c r="F102" s="41" t="s">
        <v>665</v>
      </c>
      <c r="G102" s="41" t="n">
        <v>761</v>
      </c>
      <c r="H102" s="39" t="n">
        <f aca="false">76*20+18</f>
        <v>1538</v>
      </c>
      <c r="I102" s="39"/>
      <c r="J102" s="39"/>
      <c r="K102" s="39"/>
      <c r="L102" s="39"/>
      <c r="M102" s="39"/>
      <c r="N102" s="39"/>
      <c r="O102" s="39"/>
      <c r="P102" s="39"/>
      <c r="Q102" s="39"/>
      <c r="R102" s="39"/>
    </row>
    <row r="103" customFormat="false" ht="15" hidden="false" customHeight="false" outlineLevel="0" collapsed="false">
      <c r="A103" s="73"/>
      <c r="B103" s="73"/>
      <c r="C103" s="73"/>
      <c r="D103" s="73"/>
      <c r="E103" s="42"/>
      <c r="F103" s="41"/>
      <c r="G103" s="48" t="n">
        <f aca="false">SUM(G98:G102)</f>
        <v>1538</v>
      </c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</row>
    <row r="104" customFormat="false" ht="30" hidden="false" customHeight="false" outlineLevel="0" collapsed="false">
      <c r="A104" s="73" t="n">
        <v>339</v>
      </c>
      <c r="B104" s="73" t="n">
        <v>318</v>
      </c>
      <c r="C104" s="73" t="n">
        <v>709</v>
      </c>
      <c r="D104" s="73" t="s">
        <v>656</v>
      </c>
      <c r="E104" s="88" t="s">
        <v>666</v>
      </c>
      <c r="F104" s="41" t="s">
        <v>667</v>
      </c>
      <c r="G104" s="41" t="n">
        <f aca="false">96*8</f>
        <v>768</v>
      </c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</row>
    <row r="105" customFormat="false" ht="30" hidden="false" customHeight="false" outlineLevel="0" collapsed="false">
      <c r="A105" s="73"/>
      <c r="B105" s="73"/>
      <c r="C105" s="73"/>
      <c r="D105" s="73"/>
      <c r="E105" s="88" t="s">
        <v>585</v>
      </c>
      <c r="F105" s="41" t="s">
        <v>668</v>
      </c>
      <c r="G105" s="89" t="n">
        <v>405</v>
      </c>
      <c r="H105" s="39"/>
      <c r="I105" s="39" t="n">
        <v>5</v>
      </c>
      <c r="J105" s="39"/>
      <c r="K105" s="39"/>
      <c r="L105" s="39"/>
      <c r="M105" s="39"/>
      <c r="N105" s="39"/>
      <c r="O105" s="39"/>
      <c r="P105" s="39"/>
      <c r="Q105" s="39"/>
      <c r="R105" s="39"/>
    </row>
    <row r="106" customFormat="false" ht="30" hidden="false" customHeight="false" outlineLevel="0" collapsed="false">
      <c r="A106" s="73"/>
      <c r="B106" s="73"/>
      <c r="C106" s="73"/>
      <c r="D106" s="73"/>
      <c r="E106" s="88" t="s">
        <v>669</v>
      </c>
      <c r="F106" s="41" t="s">
        <v>670</v>
      </c>
      <c r="G106" s="41" t="n">
        <v>689</v>
      </c>
      <c r="H106" s="39"/>
      <c r="I106" s="39" t="n">
        <v>36</v>
      </c>
      <c r="J106" s="39" t="n">
        <v>12</v>
      </c>
      <c r="K106" s="39"/>
      <c r="L106" s="39"/>
      <c r="M106" s="39"/>
      <c r="N106" s="39"/>
      <c r="O106" s="39"/>
      <c r="P106" s="39"/>
      <c r="Q106" s="39"/>
      <c r="R106" s="39"/>
    </row>
    <row r="107" customFormat="false" ht="30" hidden="false" customHeight="false" outlineLevel="0" collapsed="false">
      <c r="A107" s="73"/>
      <c r="B107" s="73"/>
      <c r="C107" s="73"/>
      <c r="D107" s="73"/>
      <c r="E107" s="40" t="s">
        <v>148</v>
      </c>
      <c r="F107" s="90" t="s">
        <v>671</v>
      </c>
      <c r="G107" s="41" t="n">
        <f aca="false">281*2</f>
        <v>562</v>
      </c>
      <c r="H107" s="39"/>
      <c r="I107" s="39" t="n">
        <v>4</v>
      </c>
      <c r="J107" s="39" t="n">
        <v>6</v>
      </c>
      <c r="K107" s="39"/>
      <c r="L107" s="39"/>
      <c r="M107" s="39"/>
      <c r="N107" s="39"/>
      <c r="O107" s="39"/>
      <c r="P107" s="39"/>
      <c r="Q107" s="39"/>
      <c r="R107" s="39"/>
    </row>
    <row r="108" customFormat="false" ht="30" hidden="false" customHeight="false" outlineLevel="0" collapsed="false">
      <c r="A108" s="73"/>
      <c r="B108" s="73"/>
      <c r="C108" s="73"/>
      <c r="D108" s="73"/>
      <c r="E108" s="42" t="s">
        <v>672</v>
      </c>
      <c r="F108" s="41" t="s">
        <v>673</v>
      </c>
      <c r="G108" s="41" t="n">
        <f aca="false">365*2</f>
        <v>730</v>
      </c>
      <c r="H108" s="39"/>
      <c r="I108" s="39" t="n">
        <v>15</v>
      </c>
      <c r="J108" s="39" t="n">
        <v>12</v>
      </c>
      <c r="K108" s="39"/>
      <c r="L108" s="39"/>
      <c r="M108" s="39"/>
      <c r="N108" s="39"/>
      <c r="O108" s="39"/>
      <c r="P108" s="39"/>
      <c r="Q108" s="39"/>
      <c r="R108" s="39"/>
    </row>
    <row r="109" customFormat="false" ht="45" hidden="false" customHeight="false" outlineLevel="0" collapsed="false">
      <c r="A109" s="73"/>
      <c r="B109" s="73"/>
      <c r="C109" s="73"/>
      <c r="D109" s="73"/>
      <c r="E109" s="42" t="s">
        <v>674</v>
      </c>
      <c r="F109" s="41" t="s">
        <v>675</v>
      </c>
      <c r="G109" s="41" t="n">
        <f aca="false">95*14</f>
        <v>1330</v>
      </c>
      <c r="H109" s="39"/>
      <c r="I109" s="39" t="n">
        <v>7</v>
      </c>
      <c r="J109" s="39" t="n">
        <v>15</v>
      </c>
      <c r="K109" s="39"/>
      <c r="L109" s="39"/>
      <c r="M109" s="39"/>
      <c r="N109" s="39"/>
      <c r="O109" s="39"/>
      <c r="P109" s="39"/>
      <c r="Q109" s="39"/>
      <c r="R109" s="39"/>
    </row>
    <row r="110" customFormat="false" ht="30" hidden="false" customHeight="false" outlineLevel="0" collapsed="false">
      <c r="A110" s="73"/>
      <c r="B110" s="73"/>
      <c r="C110" s="73"/>
      <c r="D110" s="73"/>
      <c r="E110" s="42" t="s">
        <v>676</v>
      </c>
      <c r="F110" s="41" t="s">
        <v>677</v>
      </c>
      <c r="G110" s="41" t="n">
        <f aca="false">36*8</f>
        <v>288</v>
      </c>
      <c r="H110" s="39" t="s">
        <v>12</v>
      </c>
      <c r="I110" s="39" t="n">
        <f aca="false">SUM(I105:I109)</f>
        <v>67</v>
      </c>
      <c r="J110" s="39" t="n">
        <f aca="false">SUM(J105:J109)</f>
        <v>45</v>
      </c>
      <c r="K110" s="39"/>
      <c r="L110" s="39"/>
      <c r="M110" s="39"/>
      <c r="N110" s="39"/>
      <c r="O110" s="39"/>
      <c r="P110" s="39"/>
      <c r="Q110" s="39"/>
      <c r="R110" s="39"/>
    </row>
    <row r="111" customFormat="false" ht="45" hidden="false" customHeight="false" outlineLevel="0" collapsed="false">
      <c r="A111" s="73"/>
      <c r="B111" s="73"/>
      <c r="C111" s="73"/>
      <c r="D111" s="73"/>
      <c r="E111" s="42" t="s">
        <v>678</v>
      </c>
      <c r="F111" s="41" t="s">
        <v>679</v>
      </c>
      <c r="G111" s="41" t="n">
        <f aca="false">18*8</f>
        <v>144</v>
      </c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</row>
    <row r="112" customFormat="false" ht="30" hidden="false" customHeight="false" outlineLevel="0" collapsed="false">
      <c r="A112" s="73"/>
      <c r="B112" s="73"/>
      <c r="C112" s="73"/>
      <c r="D112" s="73"/>
      <c r="E112" s="40" t="s">
        <v>129</v>
      </c>
      <c r="F112" s="90" t="s">
        <v>680</v>
      </c>
      <c r="G112" s="41" t="n">
        <f aca="false">557*2</f>
        <v>1114</v>
      </c>
      <c r="H112" s="39"/>
      <c r="I112" s="39"/>
      <c r="J112" s="39"/>
      <c r="K112" s="39" t="s">
        <v>681</v>
      </c>
      <c r="L112" s="39"/>
      <c r="M112" s="39"/>
      <c r="N112" s="39"/>
      <c r="O112" s="39"/>
      <c r="P112" s="39"/>
      <c r="Q112" s="39"/>
      <c r="R112" s="39"/>
    </row>
    <row r="113" customFormat="false" ht="30" hidden="false" customHeight="false" outlineLevel="0" collapsed="false">
      <c r="A113" s="73"/>
      <c r="B113" s="73"/>
      <c r="C113" s="73"/>
      <c r="D113" s="73"/>
      <c r="E113" s="42" t="s">
        <v>682</v>
      </c>
      <c r="F113" s="41" t="s">
        <v>683</v>
      </c>
      <c r="G113" s="41" t="n">
        <f aca="false">877*2</f>
        <v>1754</v>
      </c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customFormat="false" ht="15" hidden="false" customHeight="false" outlineLevel="0" collapsed="false">
      <c r="A114" s="73"/>
      <c r="B114" s="73"/>
      <c r="C114" s="73"/>
      <c r="D114" s="73"/>
      <c r="E114" s="42"/>
      <c r="F114" s="41"/>
      <c r="G114" s="48" t="n">
        <f aca="false">SUM(G104:G113)</f>
        <v>7784</v>
      </c>
      <c r="H114" s="39"/>
      <c r="I114" s="39" t="n">
        <f aca="false">69*20+5</f>
        <v>1385</v>
      </c>
      <c r="J114" s="39"/>
      <c r="K114" s="39"/>
      <c r="L114" s="39"/>
      <c r="M114" s="39"/>
      <c r="N114" s="39"/>
      <c r="O114" s="39"/>
      <c r="P114" s="39"/>
      <c r="Q114" s="39"/>
      <c r="R114" s="39"/>
    </row>
    <row r="115" customFormat="false" ht="15" hidden="false" customHeight="false" outlineLevel="0" collapsed="false">
      <c r="A115" s="73"/>
      <c r="B115" s="73"/>
      <c r="C115" s="73"/>
      <c r="D115" s="73"/>
      <c r="E115" s="42"/>
      <c r="F115" s="41"/>
      <c r="G115" s="41" t="s">
        <v>684</v>
      </c>
      <c r="H115" s="39" t="n">
        <f aca="false">1385*281/3892</f>
        <v>99.9961459403906</v>
      </c>
      <c r="I115" s="39" t="s">
        <v>12</v>
      </c>
      <c r="J115" s="39"/>
      <c r="K115" s="39"/>
      <c r="L115" s="39"/>
      <c r="M115" s="39"/>
      <c r="N115" s="39"/>
      <c r="O115" s="39"/>
      <c r="P115" s="39"/>
      <c r="Q115" s="39"/>
      <c r="R115" s="39"/>
    </row>
    <row r="116" customFormat="false" ht="15" hidden="false" customHeight="false" outlineLevel="0" collapsed="false">
      <c r="A116" s="73"/>
      <c r="B116" s="73"/>
      <c r="C116" s="73"/>
      <c r="D116" s="73"/>
      <c r="E116" s="42"/>
      <c r="F116" s="41"/>
      <c r="G116" s="41" t="s">
        <v>685</v>
      </c>
      <c r="H116" s="39" t="n">
        <f aca="false">H115/20</f>
        <v>4.99980729701953</v>
      </c>
      <c r="I116" s="39"/>
      <c r="J116" s="39"/>
      <c r="K116" s="39"/>
      <c r="L116" s="39"/>
      <c r="M116" s="39"/>
      <c r="N116" s="39"/>
      <c r="O116" s="39"/>
      <c r="P116" s="39"/>
      <c r="Q116" s="39"/>
      <c r="R116" s="39"/>
    </row>
    <row r="117" customFormat="false" ht="18.75" hidden="false" customHeight="false" outlineLevel="0" collapsed="false">
      <c r="A117" s="73"/>
      <c r="B117" s="73"/>
      <c r="C117" s="73"/>
      <c r="D117" s="73"/>
      <c r="E117" s="42"/>
      <c r="F117" s="41"/>
      <c r="G117" s="41"/>
      <c r="H117" s="39"/>
      <c r="I117" s="39"/>
      <c r="J117" s="39"/>
      <c r="K117" s="39"/>
      <c r="L117" s="46" t="n">
        <v>69</v>
      </c>
      <c r="M117" s="46" t="n">
        <v>5</v>
      </c>
      <c r="N117" s="39"/>
      <c r="O117" s="39"/>
      <c r="P117" s="39"/>
      <c r="Q117" s="39"/>
      <c r="R117" s="39"/>
    </row>
    <row r="118" customFormat="false" ht="18.75" hidden="false" customHeight="false" outlineLevel="0" collapsed="false">
      <c r="A118" s="73"/>
      <c r="B118" s="73"/>
      <c r="C118" s="73"/>
      <c r="D118" s="73"/>
      <c r="E118" s="42"/>
      <c r="F118" s="41"/>
      <c r="G118" s="41"/>
      <c r="H118" s="39"/>
      <c r="I118" s="39"/>
      <c r="J118" s="39"/>
      <c r="K118" s="39"/>
      <c r="L118" s="46" t="n">
        <f aca="false">L117*20+M117</f>
        <v>1385</v>
      </c>
      <c r="M118" s="46"/>
      <c r="N118" s="39" t="s">
        <v>686</v>
      </c>
      <c r="O118" s="39"/>
      <c r="P118" s="39"/>
      <c r="Q118" s="39"/>
      <c r="R118" s="39"/>
      <c r="S118" s="72" t="n">
        <f aca="false">189.2/4</f>
        <v>47.3</v>
      </c>
    </row>
    <row r="119" customFormat="false" ht="30" hidden="false" customHeight="false" outlineLevel="0" collapsed="false">
      <c r="A119" s="73" t="n">
        <v>340</v>
      </c>
      <c r="B119" s="73" t="n">
        <v>319</v>
      </c>
      <c r="C119" s="73" t="n">
        <v>714</v>
      </c>
      <c r="D119" s="73"/>
      <c r="E119" s="42" t="s">
        <v>687</v>
      </c>
      <c r="F119" s="41" t="s">
        <v>688</v>
      </c>
      <c r="G119" s="41" t="n">
        <v>95</v>
      </c>
      <c r="H119" s="41"/>
      <c r="I119" s="39"/>
      <c r="J119" s="39"/>
      <c r="K119" s="39"/>
      <c r="L119" s="39"/>
      <c r="M119" s="39"/>
      <c r="N119" s="39"/>
      <c r="O119" s="39"/>
      <c r="P119" s="39"/>
      <c r="Q119" s="39"/>
      <c r="R119" s="39"/>
    </row>
    <row r="120" customFormat="false" ht="30" hidden="false" customHeight="false" outlineLevel="0" collapsed="false">
      <c r="A120" s="73"/>
      <c r="B120" s="73"/>
      <c r="C120" s="73"/>
      <c r="D120" s="73"/>
      <c r="E120" s="42" t="s">
        <v>689</v>
      </c>
      <c r="F120" s="41" t="s">
        <v>690</v>
      </c>
      <c r="G120" s="41" t="n">
        <v>28</v>
      </c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</row>
    <row r="121" customFormat="false" ht="30" hidden="false" customHeight="false" outlineLevel="0" collapsed="false">
      <c r="A121" s="73"/>
      <c r="B121" s="73"/>
      <c r="C121" s="73"/>
      <c r="D121" s="73"/>
      <c r="E121" s="40" t="s">
        <v>691</v>
      </c>
      <c r="F121" s="41" t="s">
        <v>692</v>
      </c>
      <c r="G121" s="41" t="n">
        <v>160</v>
      </c>
      <c r="H121" s="39"/>
      <c r="I121" s="39"/>
      <c r="J121" s="39" t="n">
        <v>78</v>
      </c>
      <c r="K121" s="39" t="s">
        <v>693</v>
      </c>
      <c r="L121" s="39" t="n">
        <v>0</v>
      </c>
      <c r="M121" s="39" t="n">
        <v>18</v>
      </c>
      <c r="N121" s="39"/>
      <c r="O121" s="39"/>
      <c r="P121" s="39"/>
      <c r="Q121" s="39"/>
      <c r="R121" s="39"/>
    </row>
    <row r="122" customFormat="false" ht="15" hidden="false" customHeight="false" outlineLevel="0" collapsed="false">
      <c r="A122" s="73"/>
      <c r="B122" s="73"/>
      <c r="C122" s="73"/>
      <c r="D122" s="73"/>
      <c r="E122" s="42"/>
      <c r="F122" s="41"/>
      <c r="G122" s="48" t="n">
        <f aca="false">SUM(G119:G121)</f>
        <v>283</v>
      </c>
      <c r="H122" s="39"/>
      <c r="I122" s="39"/>
      <c r="J122" s="39" t="n">
        <v>79</v>
      </c>
      <c r="K122" s="39" t="n">
        <v>4</v>
      </c>
      <c r="L122" s="39" t="n">
        <v>7</v>
      </c>
      <c r="M122" s="39" t="n">
        <v>11</v>
      </c>
      <c r="N122" s="39"/>
      <c r="O122" s="39"/>
      <c r="P122" s="39"/>
      <c r="Q122" s="39"/>
      <c r="R122" s="39"/>
    </row>
    <row r="123" customFormat="false" ht="15" hidden="false" customHeight="false" outlineLevel="0" collapsed="false">
      <c r="A123" s="73"/>
      <c r="B123" s="73"/>
      <c r="C123" s="73"/>
      <c r="D123" s="73"/>
      <c r="E123" s="42"/>
      <c r="F123" s="41"/>
      <c r="G123" s="41"/>
      <c r="H123" s="39"/>
      <c r="I123" s="39"/>
      <c r="J123" s="39" t="n">
        <v>79</v>
      </c>
      <c r="K123" s="91" t="s">
        <v>694</v>
      </c>
      <c r="L123" s="39" t="n">
        <v>5</v>
      </c>
      <c r="M123" s="39" t="n">
        <v>14</v>
      </c>
      <c r="N123" s="39"/>
      <c r="O123" s="39"/>
      <c r="P123" s="39"/>
      <c r="Q123" s="39"/>
      <c r="R123" s="39"/>
    </row>
    <row r="124" customFormat="false" ht="15" hidden="false" customHeight="false" outlineLevel="0" collapsed="false">
      <c r="A124" s="73"/>
      <c r="B124" s="73"/>
      <c r="C124" s="73"/>
      <c r="D124" s="73"/>
      <c r="E124" s="42"/>
      <c r="F124" s="41"/>
      <c r="G124" s="41"/>
      <c r="H124" s="39"/>
      <c r="I124" s="39"/>
      <c r="J124" s="39"/>
      <c r="K124" s="39"/>
      <c r="L124" s="50" t="n">
        <f aca="false">SUM(L121:L123)</f>
        <v>12</v>
      </c>
      <c r="M124" s="50" t="n">
        <f aca="false">SUM(M121:M123)</f>
        <v>43</v>
      </c>
      <c r="N124" s="39"/>
      <c r="O124" s="39"/>
      <c r="P124" s="39"/>
      <c r="Q124" s="39"/>
      <c r="R124" s="39"/>
    </row>
    <row r="125" customFormat="false" ht="15" hidden="false" customHeight="false" outlineLevel="0" collapsed="false">
      <c r="A125" s="73"/>
      <c r="B125" s="73"/>
      <c r="C125" s="73"/>
      <c r="D125" s="73"/>
      <c r="E125" s="42"/>
      <c r="F125" s="41"/>
      <c r="G125" s="41"/>
      <c r="H125" s="39"/>
      <c r="I125" s="39"/>
      <c r="J125" s="39"/>
      <c r="K125" s="39"/>
      <c r="L125" s="50"/>
      <c r="M125" s="50"/>
      <c r="N125" s="39"/>
      <c r="O125" s="39"/>
      <c r="P125" s="39"/>
      <c r="Q125" s="39"/>
      <c r="R125" s="39"/>
    </row>
    <row r="126" customFormat="false" ht="15" hidden="false" customHeight="false" outlineLevel="0" collapsed="false">
      <c r="A126" s="73"/>
      <c r="B126" s="73"/>
      <c r="C126" s="73"/>
      <c r="D126" s="73"/>
      <c r="E126" s="42"/>
      <c r="F126" s="41"/>
      <c r="G126" s="41"/>
      <c r="H126" s="39"/>
      <c r="I126" s="39"/>
      <c r="J126" s="39"/>
      <c r="K126" s="39"/>
      <c r="L126" s="50"/>
      <c r="M126" s="50"/>
      <c r="N126" s="39"/>
      <c r="O126" s="39"/>
      <c r="P126" s="39"/>
      <c r="Q126" s="39"/>
      <c r="R126" s="39"/>
    </row>
    <row r="127" customFormat="false" ht="30" hidden="false" customHeight="false" outlineLevel="0" collapsed="false">
      <c r="A127" s="73" t="n">
        <v>353</v>
      </c>
      <c r="B127" s="73" t="n">
        <v>330</v>
      </c>
      <c r="C127" s="73" t="n">
        <v>739</v>
      </c>
      <c r="D127" s="73"/>
      <c r="E127" s="40" t="s">
        <v>695</v>
      </c>
      <c r="F127" s="41" t="s">
        <v>195</v>
      </c>
      <c r="G127" s="41" t="n">
        <v>367</v>
      </c>
      <c r="H127" s="39"/>
      <c r="I127" s="39"/>
      <c r="J127" s="39" t="n">
        <v>78</v>
      </c>
      <c r="K127" s="39" t="n">
        <v>2</v>
      </c>
      <c r="L127" s="92" t="n">
        <v>3</v>
      </c>
      <c r="M127" s="92" t="n">
        <v>0</v>
      </c>
      <c r="N127" s="39" t="s">
        <v>587</v>
      </c>
      <c r="O127" s="39"/>
      <c r="P127" s="39"/>
      <c r="Q127" s="39"/>
      <c r="R127" s="39"/>
    </row>
    <row r="128" customFormat="false" ht="30" hidden="false" customHeight="false" outlineLevel="0" collapsed="false">
      <c r="A128" s="73"/>
      <c r="B128" s="73"/>
      <c r="C128" s="73"/>
      <c r="D128" s="73"/>
      <c r="E128" s="78" t="s">
        <v>696</v>
      </c>
      <c r="F128" s="41" t="s">
        <v>195</v>
      </c>
      <c r="G128" s="41" t="n">
        <v>367</v>
      </c>
      <c r="H128" s="39"/>
      <c r="I128" s="39"/>
      <c r="J128" s="39"/>
      <c r="K128" s="39" t="n">
        <v>3</v>
      </c>
      <c r="L128" s="92" t="n">
        <v>7</v>
      </c>
      <c r="M128" s="92" t="n">
        <v>7</v>
      </c>
      <c r="N128" s="39" t="s">
        <v>587</v>
      </c>
      <c r="O128" s="39"/>
      <c r="P128" s="39"/>
      <c r="Q128" s="39"/>
      <c r="R128" s="39"/>
    </row>
    <row r="129" customFormat="false" ht="30" hidden="false" customHeight="false" outlineLevel="0" collapsed="false">
      <c r="A129" s="73"/>
      <c r="B129" s="73"/>
      <c r="C129" s="73"/>
      <c r="D129" s="73"/>
      <c r="E129" s="40" t="s">
        <v>697</v>
      </c>
      <c r="F129" s="41" t="s">
        <v>698</v>
      </c>
      <c r="G129" s="41" t="n">
        <f aca="false">69*3</f>
        <v>207</v>
      </c>
      <c r="H129" s="39"/>
      <c r="I129" s="39"/>
      <c r="J129" s="39"/>
      <c r="K129" s="39" t="n">
        <v>8</v>
      </c>
      <c r="L129" s="92" t="n">
        <v>8</v>
      </c>
      <c r="M129" s="92" t="n">
        <v>0</v>
      </c>
      <c r="N129" s="39" t="s">
        <v>587</v>
      </c>
      <c r="O129" s="39"/>
      <c r="P129" s="39"/>
      <c r="Q129" s="39"/>
      <c r="R129" s="39"/>
    </row>
    <row r="130" customFormat="false" ht="30" hidden="false" customHeight="false" outlineLevel="0" collapsed="false">
      <c r="A130" s="73"/>
      <c r="B130" s="73"/>
      <c r="C130" s="73"/>
      <c r="D130" s="73"/>
      <c r="E130" s="78" t="s">
        <v>699</v>
      </c>
      <c r="F130" s="41" t="s">
        <v>700</v>
      </c>
      <c r="G130" s="41" t="n">
        <v>160</v>
      </c>
      <c r="H130" s="39"/>
      <c r="I130" s="39"/>
      <c r="J130" s="39"/>
      <c r="K130" s="50" t="s">
        <v>12</v>
      </c>
      <c r="L130" s="92" t="n">
        <f aca="false">SUM(L127:L129)</f>
        <v>18</v>
      </c>
      <c r="M130" s="92" t="n">
        <f aca="false">SUM(M127:M129)</f>
        <v>7</v>
      </c>
      <c r="N130" s="39"/>
      <c r="O130" s="39"/>
      <c r="P130" s="39"/>
      <c r="Q130" s="39"/>
      <c r="R130" s="39"/>
    </row>
    <row r="131" customFormat="false" ht="15.75" hidden="false" customHeight="false" outlineLevel="0" collapsed="false">
      <c r="A131" s="73"/>
      <c r="B131" s="73"/>
      <c r="C131" s="73"/>
      <c r="D131" s="73"/>
      <c r="E131" s="42"/>
      <c r="F131" s="41"/>
      <c r="G131" s="48" t="n">
        <f aca="false">SUM(G127:G130)</f>
        <v>1101</v>
      </c>
      <c r="H131" s="39"/>
      <c r="I131" s="39"/>
      <c r="J131" s="39"/>
      <c r="K131" s="39"/>
      <c r="L131" s="92" t="n">
        <f aca="false">L130*20+7</f>
        <v>367</v>
      </c>
      <c r="M131" s="92"/>
      <c r="N131" s="39"/>
      <c r="O131" s="39"/>
      <c r="P131" s="39"/>
      <c r="Q131" s="39"/>
      <c r="R131" s="39"/>
      <c r="S131" s="93" t="n">
        <v>69</v>
      </c>
    </row>
    <row r="132" customFormat="false" ht="30" hidden="false" customHeight="false" outlineLevel="0" collapsed="false">
      <c r="A132" s="73" t="n">
        <v>354</v>
      </c>
      <c r="B132" s="73" t="n">
        <v>331</v>
      </c>
      <c r="C132" s="73" t="n">
        <v>740</v>
      </c>
      <c r="D132" s="73" t="s">
        <v>656</v>
      </c>
      <c r="E132" s="40" t="s">
        <v>697</v>
      </c>
      <c r="F132" s="41" t="s">
        <v>195</v>
      </c>
      <c r="G132" s="41"/>
      <c r="H132" s="39"/>
      <c r="I132" s="39"/>
      <c r="J132" s="39" t="n">
        <v>114</v>
      </c>
      <c r="K132" s="39" t="n">
        <v>11</v>
      </c>
      <c r="L132" s="92" t="n">
        <v>1</v>
      </c>
      <c r="M132" s="92" t="n">
        <v>9</v>
      </c>
      <c r="N132" s="39"/>
      <c r="O132" s="39"/>
      <c r="P132" s="39"/>
      <c r="Q132" s="39"/>
      <c r="R132" s="39"/>
    </row>
    <row r="133" customFormat="false" ht="30" hidden="false" customHeight="false" outlineLevel="0" collapsed="false">
      <c r="A133" s="73"/>
      <c r="B133" s="73"/>
      <c r="C133" s="73"/>
      <c r="D133" s="73"/>
      <c r="E133" s="40" t="s">
        <v>695</v>
      </c>
      <c r="F133" s="41" t="s">
        <v>195</v>
      </c>
      <c r="G133" s="41"/>
      <c r="H133" s="39"/>
      <c r="I133" s="39"/>
      <c r="J133" s="39"/>
      <c r="K133" s="39" t="n">
        <v>12</v>
      </c>
      <c r="L133" s="92" t="n">
        <v>4</v>
      </c>
      <c r="M133" s="92" t="n">
        <v>0</v>
      </c>
      <c r="N133" s="39"/>
      <c r="O133" s="39"/>
      <c r="P133" s="39"/>
      <c r="Q133" s="39"/>
      <c r="R133" s="39"/>
    </row>
    <row r="134" customFormat="false" ht="30" hidden="false" customHeight="false" outlineLevel="0" collapsed="false">
      <c r="A134" s="73"/>
      <c r="B134" s="73"/>
      <c r="C134" s="73"/>
      <c r="D134" s="73"/>
      <c r="E134" s="40" t="s">
        <v>701</v>
      </c>
      <c r="F134" s="41" t="s">
        <v>195</v>
      </c>
      <c r="G134" s="41"/>
      <c r="H134" s="39"/>
      <c r="I134" s="39"/>
      <c r="J134" s="39"/>
      <c r="K134" s="39" t="s">
        <v>586</v>
      </c>
      <c r="L134" s="92" t="n">
        <v>2</v>
      </c>
      <c r="M134" s="92" t="n">
        <v>18</v>
      </c>
      <c r="N134" s="39"/>
      <c r="O134" s="39"/>
      <c r="P134" s="39"/>
      <c r="Q134" s="39"/>
      <c r="R134" s="39"/>
    </row>
    <row r="135" customFormat="false" ht="15" hidden="false" customHeight="false" outlineLevel="0" collapsed="false">
      <c r="A135" s="73"/>
      <c r="B135" s="73"/>
      <c r="C135" s="73"/>
      <c r="D135" s="73"/>
      <c r="E135" s="42"/>
      <c r="F135" s="41"/>
      <c r="G135" s="41"/>
      <c r="H135" s="39"/>
      <c r="I135" s="39"/>
      <c r="J135" s="39"/>
      <c r="K135" s="39" t="n">
        <v>19</v>
      </c>
      <c r="L135" s="92" t="n">
        <v>2</v>
      </c>
      <c r="M135" s="92" t="n">
        <v>1</v>
      </c>
      <c r="N135" s="39"/>
      <c r="O135" s="39"/>
      <c r="P135" s="39"/>
      <c r="Q135" s="39"/>
      <c r="R135" s="39"/>
    </row>
    <row r="136" customFormat="false" ht="15" hidden="false" customHeight="false" outlineLevel="0" collapsed="false">
      <c r="A136" s="73"/>
      <c r="B136" s="73"/>
      <c r="C136" s="73"/>
      <c r="D136" s="73"/>
      <c r="E136" s="42"/>
      <c r="F136" s="41"/>
      <c r="G136" s="41"/>
      <c r="H136" s="39"/>
      <c r="I136" s="39"/>
      <c r="J136" s="39"/>
      <c r="K136" s="39" t="n">
        <v>20</v>
      </c>
      <c r="L136" s="92" t="n">
        <v>6</v>
      </c>
      <c r="M136" s="92" t="n">
        <v>18</v>
      </c>
      <c r="N136" s="39"/>
      <c r="O136" s="39"/>
      <c r="P136" s="39"/>
      <c r="Q136" s="39"/>
      <c r="R136" s="39"/>
    </row>
    <row r="137" customFormat="false" ht="15" hidden="false" customHeight="false" outlineLevel="0" collapsed="false">
      <c r="A137" s="73"/>
      <c r="B137" s="73"/>
      <c r="C137" s="73"/>
      <c r="D137" s="73"/>
      <c r="E137" s="42"/>
      <c r="F137" s="41"/>
      <c r="G137" s="41"/>
      <c r="H137" s="39"/>
      <c r="I137" s="39"/>
      <c r="J137" s="39" t="n">
        <v>115</v>
      </c>
      <c r="K137" s="39" t="n">
        <v>16</v>
      </c>
      <c r="L137" s="92" t="n">
        <v>7</v>
      </c>
      <c r="M137" s="92" t="n">
        <v>2</v>
      </c>
      <c r="N137" s="39"/>
      <c r="O137" s="39"/>
      <c r="P137" s="39"/>
      <c r="Q137" s="39"/>
      <c r="R137" s="39"/>
    </row>
    <row r="138" customFormat="false" ht="15" hidden="false" customHeight="false" outlineLevel="0" collapsed="false">
      <c r="A138" s="73"/>
      <c r="B138" s="73"/>
      <c r="C138" s="73"/>
      <c r="D138" s="73"/>
      <c r="E138" s="42"/>
      <c r="F138" s="41"/>
      <c r="G138" s="41"/>
      <c r="H138" s="39"/>
      <c r="I138" s="39"/>
      <c r="J138" s="39"/>
      <c r="K138" s="39" t="n">
        <v>17</v>
      </c>
      <c r="L138" s="92" t="n">
        <v>4</v>
      </c>
      <c r="M138" s="92" t="n">
        <v>18</v>
      </c>
      <c r="N138" s="39"/>
      <c r="O138" s="39"/>
      <c r="P138" s="39"/>
      <c r="Q138" s="39"/>
      <c r="R138" s="39"/>
    </row>
    <row r="139" customFormat="false" ht="15" hidden="false" customHeight="false" outlineLevel="0" collapsed="false">
      <c r="A139" s="73"/>
      <c r="B139" s="73"/>
      <c r="C139" s="73"/>
      <c r="D139" s="73"/>
      <c r="E139" s="42"/>
      <c r="F139" s="41"/>
      <c r="G139" s="41"/>
      <c r="H139" s="39"/>
      <c r="I139" s="39"/>
      <c r="J139" s="39"/>
      <c r="K139" s="39" t="n">
        <v>24</v>
      </c>
      <c r="L139" s="92" t="n">
        <v>7</v>
      </c>
      <c r="M139" s="92" t="n">
        <v>19</v>
      </c>
      <c r="N139" s="39"/>
      <c r="O139" s="39"/>
      <c r="P139" s="39"/>
      <c r="Q139" s="39"/>
      <c r="R139" s="39"/>
    </row>
    <row r="140" customFormat="false" ht="15" hidden="false" customHeight="false" outlineLevel="0" collapsed="false">
      <c r="A140" s="73"/>
      <c r="B140" s="73"/>
      <c r="C140" s="73"/>
      <c r="D140" s="73"/>
      <c r="E140" s="42"/>
      <c r="F140" s="41"/>
      <c r="G140" s="41"/>
      <c r="H140" s="39"/>
      <c r="I140" s="39"/>
      <c r="J140" s="39"/>
      <c r="K140" s="39" t="n">
        <v>25</v>
      </c>
      <c r="L140" s="92" t="n">
        <v>4</v>
      </c>
      <c r="M140" s="92" t="n">
        <v>11</v>
      </c>
      <c r="N140" s="39"/>
      <c r="O140" s="39"/>
      <c r="P140" s="39"/>
      <c r="Q140" s="39"/>
      <c r="R140" s="39"/>
    </row>
    <row r="141" customFormat="false" ht="15" hidden="false" customHeight="false" outlineLevel="0" collapsed="false">
      <c r="A141" s="73"/>
      <c r="B141" s="73"/>
      <c r="C141" s="73"/>
      <c r="D141" s="73"/>
      <c r="E141" s="42"/>
      <c r="F141" s="41"/>
      <c r="G141" s="41"/>
      <c r="H141" s="39"/>
      <c r="I141" s="39"/>
      <c r="J141" s="39" t="n">
        <v>129</v>
      </c>
      <c r="K141" s="94" t="n">
        <v>6</v>
      </c>
      <c r="L141" s="92" t="n">
        <v>7</v>
      </c>
      <c r="M141" s="92" t="n">
        <v>14</v>
      </c>
      <c r="N141" s="39"/>
      <c r="O141" s="39"/>
      <c r="P141" s="39"/>
      <c r="Q141" s="39"/>
      <c r="R141" s="39"/>
    </row>
    <row r="142" customFormat="false" ht="15" hidden="false" customHeight="false" outlineLevel="0" collapsed="false">
      <c r="A142" s="73"/>
      <c r="B142" s="73"/>
      <c r="C142" s="73"/>
      <c r="D142" s="73"/>
      <c r="E142" s="42"/>
      <c r="F142" s="41"/>
      <c r="G142" s="41"/>
      <c r="H142" s="39"/>
      <c r="I142" s="39"/>
      <c r="J142" s="39"/>
      <c r="K142" s="39" t="s">
        <v>694</v>
      </c>
      <c r="L142" s="92" t="n">
        <v>2</v>
      </c>
      <c r="M142" s="92" t="n">
        <v>18</v>
      </c>
      <c r="N142" s="39"/>
      <c r="O142" s="39"/>
      <c r="P142" s="39"/>
      <c r="Q142" s="39"/>
      <c r="R142" s="39"/>
    </row>
    <row r="143" customFormat="false" ht="15" hidden="false" customHeight="false" outlineLevel="0" collapsed="false">
      <c r="A143" s="73"/>
      <c r="B143" s="73"/>
      <c r="C143" s="73"/>
      <c r="D143" s="73"/>
      <c r="E143" s="42"/>
      <c r="F143" s="41"/>
      <c r="G143" s="41"/>
      <c r="H143" s="39"/>
      <c r="I143" s="39"/>
      <c r="J143" s="39"/>
      <c r="K143" s="39" t="s">
        <v>702</v>
      </c>
      <c r="L143" s="92" t="n">
        <v>3</v>
      </c>
      <c r="M143" s="92" t="n">
        <v>5</v>
      </c>
      <c r="N143" s="39"/>
      <c r="O143" s="39"/>
      <c r="P143" s="39"/>
      <c r="Q143" s="39"/>
      <c r="R143" s="39"/>
    </row>
    <row r="144" customFormat="false" ht="15" hidden="false" customHeight="false" outlineLevel="0" collapsed="false">
      <c r="A144" s="73"/>
      <c r="B144" s="73"/>
      <c r="C144" s="73"/>
      <c r="D144" s="73"/>
      <c r="E144" s="42"/>
      <c r="F144" s="41"/>
      <c r="G144" s="41"/>
      <c r="H144" s="39"/>
      <c r="I144" s="39"/>
      <c r="J144" s="39"/>
      <c r="K144" s="39" t="n">
        <v>8</v>
      </c>
      <c r="L144" s="92" t="n">
        <v>4</v>
      </c>
      <c r="M144" s="92" t="n">
        <v>0</v>
      </c>
      <c r="N144" s="39"/>
      <c r="O144" s="39"/>
      <c r="P144" s="39"/>
      <c r="Q144" s="39"/>
      <c r="R144" s="39"/>
    </row>
    <row r="145" customFormat="false" ht="15" hidden="false" customHeight="false" outlineLevel="0" collapsed="false">
      <c r="A145" s="73"/>
      <c r="B145" s="73"/>
      <c r="C145" s="73"/>
      <c r="D145" s="73"/>
      <c r="E145" s="42"/>
      <c r="F145" s="41"/>
      <c r="G145" s="41"/>
      <c r="H145" s="39"/>
      <c r="I145" s="39"/>
      <c r="J145" s="39"/>
      <c r="K145" s="39" t="n">
        <v>9</v>
      </c>
      <c r="L145" s="92" t="n">
        <v>1</v>
      </c>
      <c r="M145" s="92" t="n">
        <v>16</v>
      </c>
      <c r="N145" s="39"/>
      <c r="O145" s="39"/>
      <c r="P145" s="39"/>
      <c r="Q145" s="39"/>
      <c r="R145" s="39"/>
    </row>
    <row r="146" customFormat="false" ht="15" hidden="false" customHeight="false" outlineLevel="0" collapsed="false">
      <c r="A146" s="73"/>
      <c r="B146" s="73"/>
      <c r="C146" s="73"/>
      <c r="D146" s="73"/>
      <c r="E146" s="42"/>
      <c r="F146" s="41"/>
      <c r="G146" s="41"/>
      <c r="H146" s="39"/>
      <c r="I146" s="39"/>
      <c r="J146" s="39"/>
      <c r="K146" s="39" t="n">
        <v>25</v>
      </c>
      <c r="L146" s="92" t="n">
        <v>7</v>
      </c>
      <c r="M146" s="92" t="n">
        <v>8</v>
      </c>
      <c r="N146" s="39"/>
      <c r="O146" s="39"/>
      <c r="P146" s="39"/>
      <c r="Q146" s="39"/>
      <c r="R146" s="39"/>
    </row>
    <row r="147" customFormat="false" ht="15" hidden="false" customHeight="false" outlineLevel="0" collapsed="false">
      <c r="A147" s="73"/>
      <c r="B147" s="73"/>
      <c r="C147" s="73"/>
      <c r="D147" s="73"/>
      <c r="E147" s="42"/>
      <c r="F147" s="41"/>
      <c r="G147" s="41"/>
      <c r="H147" s="39"/>
      <c r="I147" s="39"/>
      <c r="J147" s="39"/>
      <c r="K147" s="39"/>
      <c r="L147" s="92" t="n">
        <f aca="false">SUM(L132:L146)</f>
        <v>61</v>
      </c>
      <c r="M147" s="92" t="n">
        <f aca="false">SUM(M132:M146)</f>
        <v>157</v>
      </c>
      <c r="N147" s="39"/>
      <c r="O147" s="39"/>
      <c r="P147" s="39"/>
      <c r="Q147" s="39"/>
      <c r="R147" s="39"/>
    </row>
    <row r="148" customFormat="false" ht="15" hidden="false" customHeight="false" outlineLevel="0" collapsed="false">
      <c r="A148" s="73"/>
      <c r="B148" s="73"/>
      <c r="C148" s="73"/>
      <c r="D148" s="73"/>
      <c r="E148" s="42"/>
      <c r="F148" s="41"/>
      <c r="G148" s="41"/>
      <c r="H148" s="39"/>
      <c r="I148" s="39"/>
      <c r="J148" s="39"/>
      <c r="K148" s="39"/>
      <c r="L148" s="45" t="n">
        <f aca="false">L147+7</f>
        <v>68</v>
      </c>
      <c r="M148" s="45" t="n">
        <v>17</v>
      </c>
      <c r="N148" s="39"/>
      <c r="O148" s="39"/>
      <c r="P148" s="39"/>
      <c r="Q148" s="39"/>
      <c r="R148" s="39"/>
    </row>
    <row r="149" customFormat="false" ht="15" hidden="false" customHeight="false" outlineLevel="0" collapsed="false">
      <c r="A149" s="73"/>
      <c r="B149" s="73"/>
      <c r="C149" s="73"/>
      <c r="D149" s="73"/>
      <c r="E149" s="42"/>
      <c r="F149" s="41"/>
      <c r="G149" s="41"/>
      <c r="H149" s="44" t="s">
        <v>12</v>
      </c>
      <c r="I149" s="39"/>
      <c r="J149" s="39"/>
      <c r="K149" s="39" t="n">
        <v>303</v>
      </c>
      <c r="L149" s="92" t="n">
        <v>0</v>
      </c>
      <c r="M149" s="92" t="n">
        <v>19</v>
      </c>
      <c r="N149" s="39" t="s">
        <v>703</v>
      </c>
      <c r="O149" s="39"/>
      <c r="P149" s="39"/>
      <c r="Q149" s="39"/>
      <c r="R149" s="39"/>
    </row>
    <row r="150" customFormat="false" ht="15" hidden="false" customHeight="false" outlineLevel="0" collapsed="false">
      <c r="A150" s="73"/>
      <c r="B150" s="73"/>
      <c r="C150" s="73"/>
      <c r="D150" s="73"/>
      <c r="E150" s="42"/>
      <c r="F150" s="41"/>
      <c r="G150" s="41"/>
      <c r="H150" s="39" t="s">
        <v>12</v>
      </c>
      <c r="I150" s="39"/>
      <c r="J150" s="39"/>
      <c r="K150" s="39" t="n">
        <v>492</v>
      </c>
      <c r="L150" s="92" t="n">
        <v>0</v>
      </c>
      <c r="M150" s="92" t="n">
        <v>3</v>
      </c>
      <c r="N150" s="39" t="s">
        <v>704</v>
      </c>
      <c r="O150" s="39"/>
      <c r="P150" s="39"/>
      <c r="Q150" s="39"/>
      <c r="R150" s="39"/>
    </row>
    <row r="151" customFormat="false" ht="15" hidden="false" customHeight="false" outlineLevel="0" collapsed="false">
      <c r="A151" s="73"/>
      <c r="B151" s="73"/>
      <c r="C151" s="73"/>
      <c r="D151" s="73"/>
      <c r="E151" s="42"/>
      <c r="F151" s="41"/>
      <c r="G151" s="41"/>
      <c r="H151" s="39"/>
      <c r="I151" s="39"/>
      <c r="J151" s="39"/>
      <c r="K151" s="39"/>
      <c r="L151" s="45" t="n">
        <f aca="false">SUM(L148:L150)+1</f>
        <v>69</v>
      </c>
      <c r="M151" s="45" t="n">
        <f aca="false">SUM(M148:M150)-20</f>
        <v>19</v>
      </c>
      <c r="N151" s="39"/>
      <c r="O151" s="39"/>
      <c r="P151" s="39"/>
      <c r="Q151" s="39"/>
      <c r="R151" s="39"/>
    </row>
    <row r="152" customFormat="false" ht="15" hidden="false" customHeight="false" outlineLevel="0" collapsed="false">
      <c r="A152" s="82"/>
      <c r="B152" s="82" t="s">
        <v>12</v>
      </c>
      <c r="C152" s="73" t="s">
        <v>12</v>
      </c>
      <c r="D152" s="73"/>
      <c r="E152" s="42"/>
      <c r="F152" s="41"/>
      <c r="G152" s="41"/>
      <c r="H152" s="39"/>
      <c r="I152" s="39"/>
      <c r="J152" s="39"/>
      <c r="K152" s="39"/>
      <c r="L152" s="92"/>
      <c r="M152" s="92"/>
      <c r="N152" s="39"/>
      <c r="O152" s="39"/>
      <c r="P152" s="39"/>
      <c r="Q152" s="39"/>
      <c r="R152" s="39"/>
    </row>
    <row r="153" customFormat="false" ht="15" hidden="false" customHeight="false" outlineLevel="0" collapsed="false">
      <c r="A153" s="82" t="s">
        <v>705</v>
      </c>
      <c r="B153" s="82" t="s">
        <v>705</v>
      </c>
      <c r="C153" s="73" t="n">
        <v>741</v>
      </c>
      <c r="D153" s="73"/>
      <c r="E153" s="42"/>
      <c r="F153" s="41"/>
      <c r="G153" s="41"/>
      <c r="H153" s="44" t="s">
        <v>697</v>
      </c>
      <c r="I153" s="39"/>
      <c r="J153" s="39" t="n">
        <v>129</v>
      </c>
      <c r="K153" s="39" t="n">
        <v>12</v>
      </c>
      <c r="L153" s="92" t="n">
        <v>8</v>
      </c>
      <c r="M153" s="92" t="n">
        <v>0</v>
      </c>
      <c r="N153" s="39" t="s">
        <v>155</v>
      </c>
      <c r="O153" s="39"/>
      <c r="P153" s="39"/>
      <c r="Q153" s="39"/>
      <c r="R153" s="39"/>
    </row>
    <row r="154" customFormat="false" ht="15" hidden="false" customHeight="false" outlineLevel="0" collapsed="false">
      <c r="A154" s="82" t="s">
        <v>12</v>
      </c>
      <c r="B154" s="82" t="s">
        <v>12</v>
      </c>
      <c r="C154" s="73" t="s">
        <v>12</v>
      </c>
      <c r="D154" s="73"/>
      <c r="E154" s="42"/>
      <c r="F154" s="41"/>
      <c r="G154" s="41"/>
      <c r="H154" s="39" t="s">
        <v>706</v>
      </c>
      <c r="I154" s="39"/>
      <c r="J154" s="39"/>
      <c r="K154" s="39" t="n">
        <v>13</v>
      </c>
      <c r="L154" s="92" t="n">
        <v>8</v>
      </c>
      <c r="M154" s="92" t="n">
        <v>0</v>
      </c>
      <c r="N154" s="39" t="s">
        <v>155</v>
      </c>
      <c r="O154" s="39"/>
      <c r="P154" s="39"/>
      <c r="Q154" s="39"/>
      <c r="R154" s="39"/>
    </row>
    <row r="155" customFormat="false" ht="15" hidden="false" customHeight="false" outlineLevel="0" collapsed="false">
      <c r="A155" s="73"/>
      <c r="B155" s="73"/>
      <c r="C155" s="73"/>
      <c r="D155" s="73"/>
      <c r="E155" s="42"/>
      <c r="F155" s="41"/>
      <c r="G155" s="41"/>
      <c r="H155" s="39"/>
      <c r="I155" s="39"/>
      <c r="J155" s="39"/>
      <c r="K155" s="39" t="n">
        <v>14</v>
      </c>
      <c r="L155" s="92" t="n">
        <v>8</v>
      </c>
      <c r="M155" s="92" t="n">
        <v>0</v>
      </c>
      <c r="N155" s="39" t="s">
        <v>707</v>
      </c>
      <c r="O155" s="39"/>
      <c r="P155" s="39"/>
      <c r="Q155" s="39"/>
      <c r="R155" s="39"/>
    </row>
    <row r="156" customFormat="false" ht="15" hidden="false" customHeight="false" outlineLevel="0" collapsed="false">
      <c r="A156" s="73"/>
      <c r="B156" s="73"/>
      <c r="C156" s="73"/>
      <c r="D156" s="73"/>
      <c r="E156" s="42"/>
      <c r="F156" s="41"/>
      <c r="G156" s="41"/>
      <c r="H156" s="39"/>
      <c r="I156" s="39"/>
      <c r="J156" s="39"/>
      <c r="K156" s="39" t="n">
        <v>15</v>
      </c>
      <c r="L156" s="95" t="n">
        <v>7</v>
      </c>
      <c r="M156" s="95" t="n">
        <v>8</v>
      </c>
      <c r="N156" s="39"/>
      <c r="O156" s="39"/>
      <c r="P156" s="39"/>
      <c r="Q156" s="39"/>
      <c r="R156" s="39"/>
    </row>
    <row r="157" customFormat="false" ht="15" hidden="false" customHeight="false" outlineLevel="0" collapsed="false">
      <c r="A157" s="73"/>
      <c r="B157" s="73"/>
      <c r="C157" s="73"/>
      <c r="D157" s="73"/>
      <c r="E157" s="42"/>
      <c r="F157" s="41"/>
      <c r="G157" s="41"/>
      <c r="H157" s="39"/>
      <c r="I157" s="39"/>
      <c r="J157" s="39"/>
      <c r="K157" s="39"/>
      <c r="L157" s="92" t="n">
        <v>6</v>
      </c>
      <c r="M157" s="92" t="n">
        <v>0</v>
      </c>
      <c r="N157" s="39" t="s">
        <v>707</v>
      </c>
      <c r="O157" s="39"/>
      <c r="P157" s="39"/>
      <c r="Q157" s="39"/>
      <c r="R157" s="39"/>
    </row>
    <row r="158" customFormat="false" ht="15" hidden="false" customHeight="false" outlineLevel="0" collapsed="false">
      <c r="A158" s="73"/>
      <c r="B158" s="73"/>
      <c r="C158" s="73"/>
      <c r="D158" s="73"/>
      <c r="E158" s="42"/>
      <c r="F158" s="41"/>
      <c r="G158" s="41"/>
      <c r="H158" s="39"/>
      <c r="I158" s="39"/>
      <c r="J158" s="39"/>
      <c r="K158" s="39"/>
      <c r="L158" s="92" t="n">
        <v>1</v>
      </c>
      <c r="M158" s="92" t="n">
        <v>8</v>
      </c>
      <c r="N158" s="39" t="s">
        <v>708</v>
      </c>
      <c r="O158" s="39"/>
      <c r="P158" s="39"/>
      <c r="Q158" s="39"/>
      <c r="R158" s="39"/>
    </row>
    <row r="159" customFormat="false" ht="15" hidden="false" customHeight="false" outlineLevel="0" collapsed="false">
      <c r="A159" s="73"/>
      <c r="B159" s="73"/>
      <c r="C159" s="73"/>
      <c r="D159" s="73"/>
      <c r="E159" s="42"/>
      <c r="F159" s="41"/>
      <c r="G159" s="41"/>
      <c r="H159" s="39"/>
      <c r="I159" s="39"/>
      <c r="J159" s="39"/>
      <c r="K159" s="39" t="n">
        <v>16</v>
      </c>
      <c r="L159" s="92" t="n">
        <v>7</v>
      </c>
      <c r="M159" s="92" t="n">
        <v>8</v>
      </c>
      <c r="N159" s="39" t="s">
        <v>707</v>
      </c>
      <c r="O159" s="39"/>
      <c r="P159" s="39"/>
      <c r="Q159" s="39"/>
      <c r="R159" s="39"/>
    </row>
    <row r="160" customFormat="false" ht="15" hidden="false" customHeight="false" outlineLevel="0" collapsed="false">
      <c r="A160" s="73"/>
      <c r="B160" s="73"/>
      <c r="C160" s="73"/>
      <c r="D160" s="73"/>
      <c r="E160" s="42"/>
      <c r="F160" s="41"/>
      <c r="G160" s="41"/>
      <c r="H160" s="39"/>
      <c r="I160" s="39"/>
      <c r="J160" s="39"/>
      <c r="K160" s="39"/>
      <c r="L160" s="92" t="n">
        <f aca="false">SUM(L153:L159)-L157-L158</f>
        <v>38</v>
      </c>
      <c r="M160" s="92" t="n">
        <f aca="false">SUM(M153:M159)-M157-M158</f>
        <v>16</v>
      </c>
      <c r="N160" s="39"/>
      <c r="O160" s="39"/>
      <c r="P160" s="39"/>
      <c r="Q160" s="39"/>
      <c r="R160" s="39"/>
    </row>
    <row r="161" customFormat="false" ht="15" hidden="false" customHeight="false" outlineLevel="0" collapsed="false">
      <c r="A161" s="73"/>
      <c r="B161" s="73"/>
      <c r="C161" s="73"/>
      <c r="D161" s="73"/>
      <c r="E161" s="42"/>
      <c r="F161" s="41"/>
      <c r="G161" s="41"/>
      <c r="H161" s="39"/>
      <c r="I161" s="39"/>
      <c r="J161" s="39"/>
      <c r="K161" s="39"/>
      <c r="L161" s="50"/>
      <c r="M161" s="50"/>
      <c r="N161" s="39"/>
      <c r="O161" s="39"/>
      <c r="P161" s="39"/>
      <c r="Q161" s="39"/>
      <c r="R161" s="39"/>
    </row>
    <row r="162" customFormat="false" ht="18.75" hidden="false" customHeight="false" outlineLevel="0" collapsed="false">
      <c r="A162" s="73"/>
      <c r="B162" s="73"/>
      <c r="C162" s="73"/>
      <c r="D162" s="73"/>
      <c r="E162" s="42"/>
      <c r="F162" s="41"/>
      <c r="G162" s="41"/>
      <c r="H162" s="39"/>
      <c r="I162" s="39" t="s">
        <v>709</v>
      </c>
      <c r="J162" s="39"/>
      <c r="K162" s="39"/>
      <c r="L162" s="51" t="n">
        <f aca="false">L160+L151+1</f>
        <v>108</v>
      </c>
      <c r="M162" s="51" t="n">
        <f aca="false">M160+M151-20</f>
        <v>15</v>
      </c>
      <c r="N162" s="39"/>
      <c r="O162" s="39"/>
      <c r="P162" s="39"/>
      <c r="Q162" s="39"/>
      <c r="R162" s="39"/>
      <c r="S162" s="93" t="n">
        <v>725</v>
      </c>
    </row>
    <row r="163" customFormat="false" ht="30" hidden="false" customHeight="false" outlineLevel="0" collapsed="false">
      <c r="A163" s="73" t="n">
        <v>355</v>
      </c>
      <c r="B163" s="73" t="n">
        <v>331</v>
      </c>
      <c r="C163" s="73" t="n">
        <v>742</v>
      </c>
      <c r="D163" s="73"/>
      <c r="E163" s="40" t="s">
        <v>697</v>
      </c>
      <c r="F163" s="41" t="s">
        <v>195</v>
      </c>
      <c r="G163" s="41" t="n">
        <v>24</v>
      </c>
      <c r="H163" s="39"/>
      <c r="I163" s="39"/>
      <c r="J163" s="39" t="n">
        <v>115</v>
      </c>
      <c r="K163" s="50" t="s">
        <v>710</v>
      </c>
      <c r="L163" s="92" t="n">
        <v>1</v>
      </c>
      <c r="M163" s="92" t="n">
        <v>4</v>
      </c>
      <c r="N163" s="39"/>
      <c r="O163" s="39"/>
      <c r="P163" s="39"/>
      <c r="Q163" s="39"/>
      <c r="R163" s="39"/>
    </row>
    <row r="164" customFormat="false" ht="30" hidden="false" customHeight="false" outlineLevel="0" collapsed="false">
      <c r="A164" s="73"/>
      <c r="B164" s="73"/>
      <c r="C164" s="73"/>
      <c r="D164" s="73"/>
      <c r="E164" s="40" t="s">
        <v>695</v>
      </c>
      <c r="F164" s="41" t="s">
        <v>195</v>
      </c>
      <c r="G164" s="41" t="n">
        <v>24</v>
      </c>
      <c r="H164" s="39"/>
      <c r="I164" s="39"/>
      <c r="J164" s="39"/>
      <c r="K164" s="50" t="s">
        <v>609</v>
      </c>
      <c r="L164" s="92" t="n">
        <v>2</v>
      </c>
      <c r="M164" s="92" t="n">
        <v>8</v>
      </c>
      <c r="N164" s="39"/>
      <c r="O164" s="39"/>
      <c r="P164" s="39"/>
      <c r="Q164" s="39"/>
      <c r="R164" s="39"/>
    </row>
    <row r="165" customFormat="false" ht="30.75" hidden="false" customHeight="false" outlineLevel="0" collapsed="false">
      <c r="A165" s="73"/>
      <c r="B165" s="73"/>
      <c r="C165" s="73"/>
      <c r="D165" s="73"/>
      <c r="E165" s="40" t="s">
        <v>701</v>
      </c>
      <c r="F165" s="41" t="s">
        <v>711</v>
      </c>
      <c r="G165" s="41" t="n">
        <v>4</v>
      </c>
      <c r="H165" s="39"/>
      <c r="I165" s="39"/>
      <c r="J165" s="39"/>
      <c r="K165" s="39"/>
      <c r="L165" s="51" t="n">
        <f aca="false">SUM(L163:L164)</f>
        <v>3</v>
      </c>
      <c r="M165" s="51" t="n">
        <f aca="false">SUM(M163:M164)</f>
        <v>12</v>
      </c>
      <c r="N165" s="39"/>
      <c r="O165" s="39"/>
      <c r="P165" s="39"/>
      <c r="Q165" s="39"/>
      <c r="R165" s="39"/>
      <c r="S165" s="87" t="n">
        <v>24</v>
      </c>
    </row>
    <row r="166" customFormat="false" ht="30" hidden="false" customHeight="false" outlineLevel="0" collapsed="false">
      <c r="A166" s="73"/>
      <c r="B166" s="73"/>
      <c r="C166" s="73"/>
      <c r="D166" s="73"/>
      <c r="E166" s="42" t="s">
        <v>712</v>
      </c>
      <c r="F166" s="41" t="s">
        <v>713</v>
      </c>
      <c r="G166" s="41" t="n">
        <v>5</v>
      </c>
      <c r="H166" s="39"/>
      <c r="I166" s="39"/>
      <c r="J166" s="39"/>
      <c r="K166" s="39"/>
      <c r="L166" s="50"/>
      <c r="M166" s="50"/>
      <c r="N166" s="39"/>
      <c r="O166" s="39"/>
      <c r="P166" s="39"/>
      <c r="Q166" s="39"/>
      <c r="R166" s="39"/>
    </row>
    <row r="167" customFormat="false" ht="15" hidden="false" customHeight="false" outlineLevel="0" collapsed="false">
      <c r="A167" s="73"/>
      <c r="B167" s="73"/>
      <c r="C167" s="73"/>
      <c r="D167" s="73"/>
      <c r="E167" s="42" t="s">
        <v>714</v>
      </c>
      <c r="F167" s="41" t="s">
        <v>713</v>
      </c>
      <c r="G167" s="41" t="n">
        <v>5</v>
      </c>
      <c r="H167" s="39"/>
      <c r="I167" s="39"/>
      <c r="J167" s="39"/>
      <c r="K167" s="39"/>
      <c r="L167" s="50"/>
      <c r="M167" s="50"/>
      <c r="N167" s="39"/>
      <c r="O167" s="39"/>
      <c r="P167" s="39"/>
      <c r="Q167" s="39"/>
      <c r="R167" s="39"/>
    </row>
    <row r="168" customFormat="false" ht="30" hidden="false" customHeight="false" outlineLevel="0" collapsed="false">
      <c r="A168" s="73"/>
      <c r="B168" s="73"/>
      <c r="C168" s="73"/>
      <c r="D168" s="73"/>
      <c r="E168" s="42" t="s">
        <v>715</v>
      </c>
      <c r="F168" s="41" t="s">
        <v>713</v>
      </c>
      <c r="G168" s="41" t="n">
        <v>5</v>
      </c>
      <c r="H168" s="39"/>
      <c r="I168" s="39"/>
      <c r="J168" s="39"/>
      <c r="K168" s="39"/>
      <c r="L168" s="50"/>
      <c r="M168" s="50"/>
      <c r="N168" s="39"/>
      <c r="O168" s="39"/>
      <c r="P168" s="39"/>
      <c r="Q168" s="39"/>
      <c r="R168" s="39"/>
    </row>
    <row r="169" customFormat="false" ht="45" hidden="false" customHeight="false" outlineLevel="0" collapsed="false">
      <c r="A169" s="73"/>
      <c r="B169" s="73"/>
      <c r="C169" s="73"/>
      <c r="D169" s="73"/>
      <c r="E169" s="42" t="s">
        <v>716</v>
      </c>
      <c r="F169" s="41" t="s">
        <v>713</v>
      </c>
      <c r="G169" s="41" t="n">
        <v>5</v>
      </c>
      <c r="H169" s="39"/>
      <c r="I169" s="39"/>
      <c r="J169" s="39"/>
      <c r="K169" s="39"/>
      <c r="L169" s="50"/>
      <c r="M169" s="50"/>
      <c r="N169" s="39"/>
      <c r="O169" s="39"/>
      <c r="P169" s="39"/>
      <c r="Q169" s="39"/>
      <c r="R169" s="39"/>
    </row>
    <row r="170" customFormat="false" ht="15" hidden="false" customHeight="false" outlineLevel="0" collapsed="false">
      <c r="A170" s="73"/>
      <c r="B170" s="73"/>
      <c r="C170" s="73"/>
      <c r="D170" s="73"/>
      <c r="E170" s="42"/>
      <c r="F170" s="41"/>
      <c r="G170" s="48" t="n">
        <f aca="false">SUM(G163:G169)</f>
        <v>72</v>
      </c>
      <c r="H170" s="39"/>
      <c r="I170" s="39"/>
      <c r="J170" s="39"/>
      <c r="K170" s="39"/>
      <c r="L170" s="50"/>
      <c r="M170" s="50"/>
      <c r="N170" s="39"/>
      <c r="O170" s="39"/>
      <c r="P170" s="39"/>
      <c r="Q170" s="39"/>
      <c r="R170" s="39"/>
    </row>
    <row r="171" customFormat="false" ht="30" hidden="false" customHeight="false" outlineLevel="0" collapsed="false">
      <c r="A171" s="73" t="n">
        <v>356</v>
      </c>
      <c r="B171" s="73" t="n">
        <v>332</v>
      </c>
      <c r="C171" s="73" t="n">
        <v>743</v>
      </c>
      <c r="D171" s="73"/>
      <c r="E171" s="40" t="s">
        <v>697</v>
      </c>
      <c r="F171" s="41" t="n">
        <v>1</v>
      </c>
      <c r="G171" s="41"/>
      <c r="H171" s="39"/>
      <c r="I171" s="39"/>
      <c r="J171" s="39" t="n">
        <v>78</v>
      </c>
      <c r="K171" s="39" t="s">
        <v>717</v>
      </c>
      <c r="L171" s="92" t="n">
        <v>2</v>
      </c>
      <c r="M171" s="92" t="n">
        <v>11</v>
      </c>
      <c r="N171" s="39" t="s">
        <v>718</v>
      </c>
      <c r="O171" s="39"/>
      <c r="P171" s="39"/>
      <c r="Q171" s="39"/>
      <c r="R171" s="39"/>
    </row>
    <row r="172" customFormat="false" ht="15" hidden="false" customHeight="false" outlineLevel="0" collapsed="false">
      <c r="A172" s="73"/>
      <c r="B172" s="73"/>
      <c r="C172" s="73"/>
      <c r="D172" s="73"/>
      <c r="E172" s="42"/>
      <c r="F172" s="41"/>
      <c r="G172" s="41"/>
      <c r="H172" s="39"/>
      <c r="I172" s="39"/>
      <c r="J172" s="39"/>
      <c r="K172" s="39"/>
      <c r="L172" s="92" t="n">
        <v>0</v>
      </c>
      <c r="M172" s="92" t="n">
        <v>2</v>
      </c>
      <c r="N172" s="39" t="s">
        <v>719</v>
      </c>
      <c r="O172" s="39"/>
      <c r="P172" s="39"/>
      <c r="Q172" s="39"/>
      <c r="R172" s="39"/>
    </row>
    <row r="173" customFormat="false" ht="15" hidden="false" customHeight="false" outlineLevel="0" collapsed="false">
      <c r="A173" s="73"/>
      <c r="B173" s="73"/>
      <c r="C173" s="73"/>
      <c r="D173" s="73"/>
      <c r="E173" s="42"/>
      <c r="F173" s="41"/>
      <c r="G173" s="41"/>
      <c r="H173" s="39"/>
      <c r="I173" s="39"/>
      <c r="J173" s="39"/>
      <c r="K173" s="39"/>
      <c r="L173" s="92" t="n">
        <v>2</v>
      </c>
      <c r="M173" s="92" t="n">
        <v>9</v>
      </c>
      <c r="N173" s="39" t="s">
        <v>720</v>
      </c>
      <c r="O173" s="39"/>
      <c r="P173" s="39"/>
      <c r="Q173" s="39"/>
      <c r="R173" s="39"/>
    </row>
    <row r="174" customFormat="false" ht="15" hidden="false" customHeight="false" outlineLevel="0" collapsed="false">
      <c r="A174" s="73"/>
      <c r="B174" s="73"/>
      <c r="C174" s="73"/>
      <c r="D174" s="73"/>
      <c r="E174" s="42"/>
      <c r="F174" s="41"/>
      <c r="G174" s="41"/>
      <c r="H174" s="39"/>
      <c r="I174" s="39"/>
      <c r="J174" s="39"/>
      <c r="K174" s="39" t="n">
        <v>18</v>
      </c>
      <c r="L174" s="92" t="n">
        <v>8</v>
      </c>
      <c r="M174" s="92" t="n">
        <v>14</v>
      </c>
      <c r="N174" s="39" t="s">
        <v>155</v>
      </c>
      <c r="O174" s="39"/>
      <c r="P174" s="39"/>
      <c r="Q174" s="39"/>
      <c r="R174" s="39"/>
    </row>
    <row r="175" customFormat="false" ht="15" hidden="false" customHeight="false" outlineLevel="0" collapsed="false">
      <c r="A175" s="73"/>
      <c r="B175" s="73"/>
      <c r="C175" s="73"/>
      <c r="D175" s="73"/>
      <c r="E175" s="42"/>
      <c r="F175" s="41"/>
      <c r="G175" s="41"/>
      <c r="H175" s="39"/>
      <c r="I175" s="39"/>
      <c r="J175" s="39"/>
      <c r="K175" s="39" t="n">
        <v>23</v>
      </c>
      <c r="L175" s="92" t="n">
        <v>5</v>
      </c>
      <c r="M175" s="92" t="n">
        <v>8</v>
      </c>
      <c r="N175" s="39" t="s">
        <v>587</v>
      </c>
      <c r="O175" s="39"/>
      <c r="P175" s="39"/>
      <c r="Q175" s="39"/>
      <c r="R175" s="39"/>
    </row>
    <row r="176" customFormat="false" ht="18.75" hidden="false" customHeight="false" outlineLevel="0" collapsed="false">
      <c r="A176" s="73"/>
      <c r="B176" s="73"/>
      <c r="C176" s="73"/>
      <c r="D176" s="73"/>
      <c r="E176" s="42"/>
      <c r="F176" s="41"/>
      <c r="G176" s="41"/>
      <c r="H176" s="39"/>
      <c r="I176" s="39"/>
      <c r="J176" s="39"/>
      <c r="K176" s="39"/>
      <c r="L176" s="51" t="n">
        <f aca="false">SUM(L172:L175)+1</f>
        <v>16</v>
      </c>
      <c r="M176" s="51" t="n">
        <f aca="false">SUM(M172:M175)-20</f>
        <v>13</v>
      </c>
      <c r="N176" s="39"/>
      <c r="O176" s="39"/>
      <c r="P176" s="39"/>
      <c r="Q176" s="39"/>
      <c r="R176" s="39"/>
      <c r="S176" s="93" t="n">
        <f aca="false">16*20+13</f>
        <v>333</v>
      </c>
    </row>
    <row r="177" customFormat="false" ht="30" hidden="false" customHeight="false" outlineLevel="0" collapsed="false">
      <c r="A177" s="73" t="n">
        <v>358</v>
      </c>
      <c r="B177" s="73" t="n">
        <v>333</v>
      </c>
      <c r="C177" s="73" t="n">
        <v>745</v>
      </c>
      <c r="D177" s="73"/>
      <c r="E177" s="40" t="s">
        <v>148</v>
      </c>
      <c r="F177" s="41" t="s">
        <v>595</v>
      </c>
      <c r="G177" s="41"/>
      <c r="H177" s="39"/>
      <c r="I177" s="39"/>
      <c r="J177" s="39" t="n">
        <v>44</v>
      </c>
      <c r="K177" s="39" t="s">
        <v>180</v>
      </c>
      <c r="L177" s="92" t="n">
        <v>3</v>
      </c>
      <c r="M177" s="92" t="n">
        <v>0</v>
      </c>
      <c r="N177" s="39"/>
      <c r="O177" s="39"/>
      <c r="P177" s="39"/>
      <c r="Q177" s="39"/>
      <c r="R177" s="39"/>
    </row>
    <row r="178" customFormat="false" ht="30" hidden="false" customHeight="false" outlineLevel="0" collapsed="false">
      <c r="A178" s="73"/>
      <c r="B178" s="73"/>
      <c r="C178" s="73"/>
      <c r="D178" s="73"/>
      <c r="E178" s="42" t="s">
        <v>721</v>
      </c>
      <c r="F178" s="41" t="s">
        <v>595</v>
      </c>
      <c r="G178" s="41"/>
      <c r="H178" s="39"/>
      <c r="I178" s="39"/>
      <c r="J178" s="39"/>
      <c r="K178" s="91" t="s">
        <v>702</v>
      </c>
      <c r="L178" s="92" t="n">
        <v>3</v>
      </c>
      <c r="M178" s="92" t="n">
        <v>0</v>
      </c>
      <c r="N178" s="39"/>
      <c r="O178" s="39"/>
      <c r="P178" s="39"/>
      <c r="Q178" s="39"/>
      <c r="R178" s="39"/>
    </row>
    <row r="179" customFormat="false" ht="15" hidden="false" customHeight="false" outlineLevel="0" collapsed="false">
      <c r="A179" s="73"/>
      <c r="B179" s="73"/>
      <c r="C179" s="73"/>
      <c r="D179" s="73"/>
      <c r="E179" s="88"/>
      <c r="F179" s="41"/>
      <c r="G179" s="41"/>
      <c r="H179" s="39"/>
      <c r="I179" s="39"/>
      <c r="J179" s="39"/>
      <c r="K179" s="39" t="n">
        <v>9</v>
      </c>
      <c r="L179" s="92" t="n">
        <v>8</v>
      </c>
      <c r="M179" s="92" t="n">
        <v>0</v>
      </c>
      <c r="N179" s="39"/>
      <c r="O179" s="39"/>
      <c r="P179" s="39"/>
      <c r="Q179" s="39"/>
      <c r="R179" s="39"/>
    </row>
    <row r="180" customFormat="false" ht="15" hidden="false" customHeight="false" outlineLevel="0" collapsed="false">
      <c r="A180" s="73"/>
      <c r="B180" s="73"/>
      <c r="C180" s="73"/>
      <c r="D180" s="73"/>
      <c r="E180" s="96" t="s">
        <v>722</v>
      </c>
      <c r="F180" s="41"/>
      <c r="G180" s="41"/>
      <c r="H180" s="44" t="s">
        <v>148</v>
      </c>
      <c r="I180" s="39"/>
      <c r="J180" s="39"/>
      <c r="K180" s="39"/>
      <c r="L180" s="92"/>
      <c r="M180" s="92"/>
      <c r="N180" s="39"/>
      <c r="O180" s="39"/>
      <c r="P180" s="39"/>
      <c r="Q180" s="39"/>
      <c r="R180" s="39"/>
    </row>
    <row r="181" customFormat="false" ht="15" hidden="false" customHeight="false" outlineLevel="0" collapsed="false">
      <c r="A181" s="73"/>
      <c r="B181" s="73"/>
      <c r="C181" s="73"/>
      <c r="D181" s="73"/>
      <c r="E181" s="42"/>
      <c r="F181" s="41"/>
      <c r="G181" s="41"/>
      <c r="H181" s="39"/>
      <c r="I181" s="39"/>
      <c r="J181" s="39" t="n">
        <v>44</v>
      </c>
      <c r="K181" s="39" t="n">
        <v>3</v>
      </c>
      <c r="L181" s="92" t="n">
        <v>8</v>
      </c>
      <c r="M181" s="92" t="n">
        <v>0</v>
      </c>
      <c r="N181" s="39"/>
      <c r="O181" s="39"/>
      <c r="P181" s="39"/>
      <c r="Q181" s="39"/>
      <c r="R181" s="39"/>
    </row>
    <row r="182" customFormat="false" ht="15" hidden="false" customHeight="false" outlineLevel="0" collapsed="false">
      <c r="A182" s="73"/>
      <c r="B182" s="73"/>
      <c r="C182" s="73"/>
      <c r="D182" s="73"/>
      <c r="E182" s="42"/>
      <c r="F182" s="41"/>
      <c r="G182" s="41"/>
      <c r="H182" s="39"/>
      <c r="I182" s="39"/>
      <c r="J182" s="39"/>
      <c r="K182" s="39" t="n">
        <v>8</v>
      </c>
      <c r="L182" s="92" t="n">
        <v>8</v>
      </c>
      <c r="M182" s="92" t="n">
        <v>0</v>
      </c>
      <c r="N182" s="39"/>
      <c r="O182" s="39"/>
      <c r="P182" s="39"/>
      <c r="Q182" s="39"/>
      <c r="R182" s="39"/>
    </row>
    <row r="183" customFormat="false" ht="15" hidden="false" customHeight="false" outlineLevel="0" collapsed="false">
      <c r="A183" s="73"/>
      <c r="B183" s="73"/>
      <c r="C183" s="73"/>
      <c r="D183" s="73"/>
      <c r="E183" s="42"/>
      <c r="F183" s="41"/>
      <c r="G183" s="41"/>
      <c r="H183" s="39"/>
      <c r="I183" s="39"/>
      <c r="J183" s="39" t="n">
        <v>44</v>
      </c>
      <c r="K183" s="39" t="s">
        <v>723</v>
      </c>
      <c r="L183" s="92" t="n">
        <v>0</v>
      </c>
      <c r="M183" s="92" t="n">
        <v>12</v>
      </c>
      <c r="N183" s="39"/>
      <c r="O183" s="39"/>
      <c r="P183" s="39"/>
      <c r="Q183" s="39"/>
      <c r="R183" s="39"/>
    </row>
    <row r="184" customFormat="false" ht="18.75" hidden="false" customHeight="false" outlineLevel="0" collapsed="false">
      <c r="A184" s="73"/>
      <c r="B184" s="73"/>
      <c r="C184" s="73"/>
      <c r="D184" s="73"/>
      <c r="E184" s="42"/>
      <c r="F184" s="41"/>
      <c r="G184" s="41"/>
      <c r="H184" s="39"/>
      <c r="I184" s="39"/>
      <c r="J184" s="39"/>
      <c r="K184" s="39"/>
      <c r="L184" s="51" t="n">
        <f aca="false">SUM(L177:L183)</f>
        <v>30</v>
      </c>
      <c r="M184" s="51" t="n">
        <f aca="false">SUM(M177:M183)</f>
        <v>12</v>
      </c>
      <c r="N184" s="39"/>
      <c r="O184" s="39"/>
      <c r="P184" s="39"/>
      <c r="Q184" s="39"/>
      <c r="R184" s="39"/>
    </row>
    <row r="185" customFormat="false" ht="15" hidden="false" customHeight="false" outlineLevel="0" collapsed="false">
      <c r="A185" s="73"/>
      <c r="B185" s="73"/>
      <c r="C185" s="73"/>
      <c r="D185" s="73"/>
      <c r="E185" s="42"/>
      <c r="F185" s="41"/>
      <c r="G185" s="41"/>
      <c r="H185" s="39"/>
      <c r="I185" s="39"/>
      <c r="J185" s="39"/>
      <c r="K185" s="39"/>
      <c r="L185" s="50"/>
      <c r="M185" s="50"/>
      <c r="N185" s="39"/>
      <c r="O185" s="39"/>
      <c r="P185" s="39"/>
      <c r="Q185" s="39"/>
      <c r="R185" s="39"/>
    </row>
    <row r="186" customFormat="false" ht="30" hidden="false" customHeight="false" outlineLevel="0" collapsed="false">
      <c r="A186" s="73" t="n">
        <v>359</v>
      </c>
      <c r="B186" s="73" t="n">
        <v>334</v>
      </c>
      <c r="C186" s="73" t="n">
        <v>748</v>
      </c>
      <c r="D186" s="73"/>
      <c r="E186" s="40" t="s">
        <v>148</v>
      </c>
      <c r="F186" s="41" t="s">
        <v>724</v>
      </c>
      <c r="G186" s="41" t="n">
        <f aca="false">7*5/14</f>
        <v>2.5</v>
      </c>
      <c r="H186" s="39"/>
      <c r="I186" s="39"/>
      <c r="J186" s="39" t="n">
        <v>44</v>
      </c>
      <c r="K186" s="39" t="n">
        <v>10</v>
      </c>
      <c r="L186" s="50" t="n">
        <v>7</v>
      </c>
      <c r="M186" s="50" t="n">
        <v>0</v>
      </c>
      <c r="N186" s="39" t="s">
        <v>587</v>
      </c>
      <c r="O186" s="39"/>
      <c r="P186" s="39"/>
      <c r="Q186" s="39"/>
      <c r="R186" s="39" t="s">
        <v>725</v>
      </c>
    </row>
    <row r="187" customFormat="false" ht="30" hidden="false" customHeight="false" outlineLevel="0" collapsed="false">
      <c r="A187" s="73"/>
      <c r="B187" s="73"/>
      <c r="C187" s="73"/>
      <c r="D187" s="73"/>
      <c r="E187" s="42" t="s">
        <v>726</v>
      </c>
      <c r="F187" s="41" t="s">
        <v>727</v>
      </c>
      <c r="G187" s="41" t="n">
        <f aca="false">7/7</f>
        <v>1</v>
      </c>
      <c r="H187" s="39"/>
      <c r="I187" s="39"/>
      <c r="J187" s="39"/>
      <c r="K187" s="39"/>
      <c r="L187" s="50"/>
      <c r="M187" s="50"/>
      <c r="N187" s="39"/>
      <c r="O187" s="39"/>
      <c r="P187" s="39"/>
      <c r="Q187" s="39"/>
      <c r="R187" s="39"/>
    </row>
    <row r="188" customFormat="false" ht="30" hidden="false" customHeight="false" outlineLevel="0" collapsed="false">
      <c r="A188" s="73"/>
      <c r="B188" s="73"/>
      <c r="C188" s="73"/>
      <c r="D188" s="73"/>
      <c r="E188" s="42" t="s">
        <v>721</v>
      </c>
      <c r="F188" s="41" t="s">
        <v>595</v>
      </c>
      <c r="G188" s="41" t="n">
        <f aca="false">7/2</f>
        <v>3.5</v>
      </c>
      <c r="H188" s="39"/>
      <c r="I188" s="39"/>
      <c r="J188" s="39"/>
      <c r="K188" s="39"/>
      <c r="L188" s="50"/>
      <c r="M188" s="50"/>
      <c r="N188" s="39"/>
      <c r="O188" s="39"/>
      <c r="P188" s="39"/>
      <c r="Q188" s="39"/>
      <c r="R188" s="39"/>
    </row>
    <row r="189" customFormat="false" ht="15" hidden="false" customHeight="false" outlineLevel="0" collapsed="false">
      <c r="A189" s="73"/>
      <c r="B189" s="73"/>
      <c r="C189" s="73"/>
      <c r="D189" s="73"/>
      <c r="E189" s="42"/>
      <c r="F189" s="41"/>
      <c r="G189" s="41"/>
      <c r="H189" s="39"/>
      <c r="I189" s="39"/>
      <c r="J189" s="39"/>
      <c r="K189" s="39"/>
      <c r="L189" s="50"/>
      <c r="M189" s="50"/>
      <c r="N189" s="39"/>
      <c r="O189" s="39"/>
      <c r="P189" s="39"/>
      <c r="Q189" s="39"/>
      <c r="R189" s="39"/>
    </row>
    <row r="190" customFormat="false" ht="15" hidden="false" customHeight="false" outlineLevel="0" collapsed="false">
      <c r="A190" s="73"/>
      <c r="B190" s="73"/>
      <c r="C190" s="73"/>
      <c r="D190" s="73"/>
      <c r="E190" s="42"/>
      <c r="F190" s="41"/>
      <c r="G190" s="41"/>
      <c r="H190" s="39"/>
      <c r="I190" s="39"/>
      <c r="J190" s="39"/>
      <c r="K190" s="39"/>
      <c r="L190" s="50"/>
      <c r="M190" s="50"/>
      <c r="N190" s="39"/>
      <c r="O190" s="39"/>
      <c r="P190" s="39"/>
      <c r="Q190" s="39"/>
      <c r="R190" s="39"/>
    </row>
    <row r="191" customFormat="false" ht="30" hidden="false" customHeight="false" outlineLevel="0" collapsed="false">
      <c r="A191" s="73" t="n">
        <v>362</v>
      </c>
      <c r="B191" s="73" t="n">
        <v>337</v>
      </c>
      <c r="C191" s="73" t="n">
        <v>751</v>
      </c>
      <c r="D191" s="73"/>
      <c r="E191" s="40" t="s">
        <v>148</v>
      </c>
      <c r="F191" s="41" t="s">
        <v>728</v>
      </c>
      <c r="G191" s="41" t="n">
        <v>46</v>
      </c>
      <c r="H191" s="39"/>
      <c r="I191" s="39"/>
      <c r="J191" s="39" t="n">
        <v>29</v>
      </c>
      <c r="K191" s="39" t="n">
        <v>12</v>
      </c>
      <c r="L191" s="92" t="n">
        <v>7</v>
      </c>
      <c r="M191" s="92" t="n">
        <v>11</v>
      </c>
      <c r="N191" s="39"/>
      <c r="O191" s="39"/>
      <c r="P191" s="39"/>
      <c r="Q191" s="39"/>
      <c r="R191" s="39"/>
    </row>
    <row r="192" customFormat="false" ht="30" hidden="false" customHeight="false" outlineLevel="0" collapsed="false">
      <c r="A192" s="73"/>
      <c r="B192" s="73"/>
      <c r="C192" s="73"/>
      <c r="D192" s="73"/>
      <c r="E192" s="42" t="s">
        <v>726</v>
      </c>
      <c r="F192" s="41" t="s">
        <v>729</v>
      </c>
      <c r="G192" s="41" t="n">
        <v>47</v>
      </c>
      <c r="H192" s="39"/>
      <c r="I192" s="39"/>
      <c r="J192" s="39"/>
      <c r="K192" s="39" t="s">
        <v>730</v>
      </c>
      <c r="L192" s="92" t="n">
        <v>6</v>
      </c>
      <c r="M192" s="92" t="n">
        <v>18</v>
      </c>
      <c r="N192" s="39"/>
      <c r="O192" s="39"/>
      <c r="P192" s="39"/>
      <c r="Q192" s="39"/>
      <c r="R192" s="39"/>
    </row>
    <row r="193" customFormat="false" ht="30" hidden="false" customHeight="false" outlineLevel="0" collapsed="false">
      <c r="A193" s="73"/>
      <c r="B193" s="73"/>
      <c r="C193" s="73"/>
      <c r="D193" s="73"/>
      <c r="E193" s="88" t="s">
        <v>666</v>
      </c>
      <c r="F193" s="41" t="s">
        <v>731</v>
      </c>
      <c r="G193" s="41" t="n">
        <v>220</v>
      </c>
      <c r="H193" s="39"/>
      <c r="I193" s="39"/>
      <c r="J193" s="39"/>
      <c r="K193" s="39" t="s">
        <v>732</v>
      </c>
      <c r="L193" s="92" t="n">
        <v>5</v>
      </c>
      <c r="M193" s="92" t="n">
        <v>17</v>
      </c>
      <c r="N193" s="39"/>
      <c r="O193" s="39"/>
      <c r="P193" s="39"/>
      <c r="Q193" s="39"/>
      <c r="R193" s="39"/>
    </row>
    <row r="194" customFormat="false" ht="30" hidden="false" customHeight="false" outlineLevel="0" collapsed="false">
      <c r="A194" s="73"/>
      <c r="B194" s="73"/>
      <c r="C194" s="73"/>
      <c r="D194" s="73"/>
      <c r="E194" s="42" t="s">
        <v>721</v>
      </c>
      <c r="F194" s="41" t="s">
        <v>733</v>
      </c>
      <c r="G194" s="41" t="n">
        <v>479</v>
      </c>
      <c r="H194" s="39"/>
      <c r="I194" s="39"/>
      <c r="K194" s="39" t="n">
        <v>22</v>
      </c>
      <c r="L194" s="92" t="n">
        <v>8</v>
      </c>
      <c r="M194" s="92" t="n">
        <v>0</v>
      </c>
      <c r="N194" s="39"/>
      <c r="O194" s="39"/>
      <c r="P194" s="39"/>
      <c r="Q194" s="39"/>
      <c r="R194" s="39"/>
    </row>
    <row r="195" customFormat="false" ht="30" hidden="false" customHeight="false" outlineLevel="0" collapsed="false">
      <c r="A195" s="73"/>
      <c r="B195" s="73"/>
      <c r="C195" s="73"/>
      <c r="D195" s="73"/>
      <c r="E195" s="42" t="s">
        <v>689</v>
      </c>
      <c r="F195" s="41" t="s">
        <v>734</v>
      </c>
      <c r="G195" s="41" t="n">
        <f aca="false">9*8</f>
        <v>72</v>
      </c>
      <c r="H195" s="39"/>
      <c r="I195" s="39"/>
      <c r="J195" s="39" t="n">
        <v>44</v>
      </c>
      <c r="K195" s="39" t="s">
        <v>634</v>
      </c>
      <c r="L195" s="50" t="n">
        <v>1</v>
      </c>
      <c r="M195" s="50" t="n">
        <v>4</v>
      </c>
      <c r="N195" s="39"/>
      <c r="O195" s="39"/>
      <c r="P195" s="39"/>
      <c r="Q195" s="39"/>
      <c r="R195" s="39"/>
    </row>
    <row r="196" customFormat="false" ht="30" hidden="false" customHeight="false" outlineLevel="0" collapsed="false">
      <c r="A196" s="73"/>
      <c r="B196" s="73"/>
      <c r="C196" s="73"/>
      <c r="D196" s="73"/>
      <c r="E196" s="42" t="s">
        <v>687</v>
      </c>
      <c r="F196" s="41" t="s">
        <v>735</v>
      </c>
      <c r="G196" s="41" t="n">
        <f aca="false">13*9</f>
        <v>117</v>
      </c>
      <c r="H196" s="39"/>
      <c r="I196" s="39"/>
      <c r="J196" s="39" t="n">
        <v>78</v>
      </c>
      <c r="K196" s="39" t="s">
        <v>736</v>
      </c>
      <c r="L196" s="50" t="n">
        <v>4</v>
      </c>
      <c r="M196" s="50" t="n">
        <v>0</v>
      </c>
      <c r="N196" s="39"/>
      <c r="O196" s="39"/>
      <c r="P196" s="39"/>
      <c r="Q196" s="39"/>
      <c r="R196" s="39"/>
    </row>
    <row r="197" customFormat="false" ht="15" hidden="false" customHeight="false" outlineLevel="0" collapsed="false">
      <c r="A197" s="73"/>
      <c r="B197" s="73"/>
      <c r="C197" s="73"/>
      <c r="D197" s="73"/>
      <c r="E197" s="42"/>
      <c r="F197" s="41"/>
      <c r="G197" s="48" t="n">
        <f aca="false">SUM(G191:G196)</f>
        <v>981</v>
      </c>
      <c r="H197" s="39"/>
      <c r="I197" s="39"/>
      <c r="J197" s="39" t="n">
        <v>79</v>
      </c>
      <c r="K197" s="39" t="n">
        <v>3</v>
      </c>
      <c r="L197" s="50" t="n">
        <v>5</v>
      </c>
      <c r="M197" s="50" t="n">
        <v>11</v>
      </c>
      <c r="N197" s="39"/>
      <c r="O197" s="39"/>
      <c r="P197" s="39"/>
      <c r="Q197" s="39"/>
      <c r="R197" s="39"/>
    </row>
    <row r="198" customFormat="false" ht="15" hidden="false" customHeight="false" outlineLevel="0" collapsed="false">
      <c r="A198" s="73"/>
      <c r="B198" s="73"/>
      <c r="C198" s="73"/>
      <c r="D198" s="73"/>
      <c r="E198" s="42"/>
      <c r="F198" s="41"/>
      <c r="G198" s="41"/>
      <c r="H198" s="39"/>
      <c r="I198" s="39"/>
      <c r="J198" s="39"/>
      <c r="K198" s="39" t="s">
        <v>702</v>
      </c>
      <c r="L198" s="50" t="n">
        <v>2</v>
      </c>
      <c r="M198" s="50" t="n">
        <v>6</v>
      </c>
      <c r="N198" s="39"/>
      <c r="O198" s="39"/>
      <c r="P198" s="39"/>
      <c r="Q198" s="39"/>
      <c r="R198" s="39"/>
    </row>
    <row r="199" customFormat="false" ht="15" hidden="false" customHeight="false" outlineLevel="0" collapsed="false">
      <c r="A199" s="73"/>
      <c r="B199" s="73"/>
      <c r="C199" s="73"/>
      <c r="D199" s="73"/>
      <c r="E199" s="88"/>
      <c r="F199" s="41"/>
      <c r="G199" s="41"/>
      <c r="H199" s="39"/>
      <c r="I199" s="39"/>
      <c r="J199" s="39"/>
      <c r="K199" s="39" t="n">
        <v>8</v>
      </c>
      <c r="L199" s="50" t="n">
        <v>7</v>
      </c>
      <c r="M199" s="50" t="n">
        <v>14</v>
      </c>
      <c r="N199" s="39"/>
      <c r="O199" s="39"/>
      <c r="P199" s="39"/>
      <c r="Q199" s="39"/>
      <c r="R199" s="39"/>
    </row>
    <row r="200" customFormat="false" ht="18.75" hidden="false" customHeight="false" outlineLevel="0" collapsed="false">
      <c r="A200" s="73"/>
      <c r="B200" s="73"/>
      <c r="C200" s="73"/>
      <c r="D200" s="73"/>
      <c r="E200" s="42"/>
      <c r="F200" s="41"/>
      <c r="G200" s="41"/>
      <c r="H200" s="39"/>
      <c r="I200" s="39"/>
      <c r="J200" s="39"/>
      <c r="K200" s="39"/>
      <c r="L200" s="51" t="n">
        <f aca="false">SUM(L191:L199)+4</f>
        <v>49</v>
      </c>
      <c r="M200" s="51" t="n">
        <f aca="false">SUM(M191:M199)-80</f>
        <v>1</v>
      </c>
      <c r="N200" s="39"/>
      <c r="O200" s="39"/>
      <c r="P200" s="39"/>
      <c r="Q200" s="39"/>
      <c r="R200" s="39"/>
    </row>
    <row r="201" customFormat="false" ht="30.75" hidden="false" customHeight="false" outlineLevel="0" collapsed="false">
      <c r="A201" s="73" t="n">
        <v>406</v>
      </c>
      <c r="B201" s="73"/>
      <c r="C201" s="73"/>
      <c r="D201" s="73" t="s">
        <v>737</v>
      </c>
      <c r="E201" s="40" t="s">
        <v>129</v>
      </c>
      <c r="F201" s="41" t="s">
        <v>738</v>
      </c>
      <c r="G201" s="41"/>
      <c r="H201" s="39"/>
      <c r="I201" s="39"/>
      <c r="J201" s="39"/>
      <c r="K201" s="39"/>
      <c r="L201" s="51"/>
      <c r="M201" s="51"/>
      <c r="N201" s="39"/>
      <c r="O201" s="39"/>
      <c r="P201" s="39"/>
      <c r="Q201" s="39"/>
      <c r="R201" s="39" t="s">
        <v>739</v>
      </c>
    </row>
    <row r="202" customFormat="false" ht="30.75" hidden="false" customHeight="false" outlineLevel="0" collapsed="false">
      <c r="A202" s="73"/>
      <c r="B202" s="73"/>
      <c r="C202" s="73"/>
      <c r="D202" s="73"/>
      <c r="E202" s="42" t="s">
        <v>740</v>
      </c>
      <c r="F202" s="41" t="s">
        <v>741</v>
      </c>
      <c r="G202" s="41"/>
      <c r="H202" s="39"/>
      <c r="I202" s="39"/>
      <c r="J202" s="39"/>
      <c r="K202" s="39"/>
      <c r="L202" s="51" t="n">
        <v>10</v>
      </c>
      <c r="M202" s="51" t="n">
        <v>11</v>
      </c>
      <c r="N202" s="39"/>
      <c r="O202" s="39"/>
      <c r="P202" s="39"/>
      <c r="Q202" s="39"/>
      <c r="R202" s="39"/>
    </row>
    <row r="203" customFormat="false" ht="18.75" hidden="false" customHeight="false" outlineLevel="0" collapsed="false">
      <c r="A203" s="73"/>
      <c r="B203" s="73"/>
      <c r="C203" s="73"/>
      <c r="D203" s="73"/>
      <c r="E203" s="42"/>
      <c r="F203" s="41"/>
      <c r="G203" s="41"/>
      <c r="H203" s="39"/>
      <c r="I203" s="39"/>
      <c r="J203" s="39"/>
      <c r="K203" s="39"/>
      <c r="L203" s="51" t="n">
        <v>1937</v>
      </c>
      <c r="M203" s="51"/>
      <c r="N203" s="39"/>
      <c r="O203" s="39"/>
      <c r="P203" s="39"/>
      <c r="Q203" s="39"/>
      <c r="R203" s="39"/>
    </row>
    <row r="204" customFormat="false" ht="18.75" hidden="false" customHeight="false" outlineLevel="0" collapsed="false">
      <c r="A204" s="73"/>
      <c r="B204" s="73"/>
      <c r="C204" s="73"/>
      <c r="D204" s="73"/>
      <c r="E204" s="42"/>
      <c r="F204" s="41"/>
      <c r="G204" s="41"/>
      <c r="H204" s="39"/>
      <c r="I204" s="39"/>
      <c r="J204" s="39"/>
      <c r="K204" s="39"/>
      <c r="L204" s="51"/>
      <c r="M204" s="51"/>
      <c r="N204" s="39"/>
      <c r="O204" s="39"/>
      <c r="P204" s="39"/>
      <c r="Q204" s="39"/>
      <c r="R204" s="39"/>
    </row>
    <row r="205" customFormat="false" ht="18.75" hidden="false" customHeight="false" outlineLevel="0" collapsed="false">
      <c r="A205" s="73"/>
      <c r="B205" s="73"/>
      <c r="C205" s="73"/>
      <c r="D205" s="73"/>
      <c r="E205" s="42"/>
      <c r="F205" s="41"/>
      <c r="G205" s="41"/>
      <c r="H205" s="39"/>
      <c r="I205" s="39"/>
      <c r="J205" s="39"/>
      <c r="K205" s="39"/>
      <c r="L205" s="51"/>
      <c r="M205" s="51"/>
      <c r="N205" s="39"/>
      <c r="O205" s="39"/>
      <c r="P205" s="39"/>
      <c r="Q205" s="39"/>
      <c r="R205" s="39"/>
    </row>
    <row r="206" customFormat="false" ht="30.75" hidden="false" customHeight="false" outlineLevel="0" collapsed="false">
      <c r="A206" s="73" t="n">
        <v>345</v>
      </c>
      <c r="B206" s="97" t="s">
        <v>186</v>
      </c>
      <c r="C206" s="73"/>
      <c r="D206" s="73" t="s">
        <v>656</v>
      </c>
      <c r="E206" s="40" t="s">
        <v>129</v>
      </c>
      <c r="F206" s="41" t="s">
        <v>742</v>
      </c>
      <c r="G206" s="41"/>
      <c r="H206" s="39"/>
      <c r="I206" s="39"/>
      <c r="J206" s="39"/>
      <c r="K206" s="39"/>
      <c r="L206" s="51" t="n">
        <v>106</v>
      </c>
      <c r="M206" s="51" t="n">
        <v>10</v>
      </c>
      <c r="N206" s="39"/>
      <c r="O206" s="39"/>
      <c r="P206" s="39"/>
      <c r="Q206" s="39"/>
      <c r="R206" s="39"/>
      <c r="S206" s="72" t="n">
        <f aca="false">L207*353/(6390*4)</f>
        <v>29.4166666666667</v>
      </c>
    </row>
    <row r="207" customFormat="false" ht="18.75" hidden="false" customHeight="false" outlineLevel="0" collapsed="false">
      <c r="A207" s="73"/>
      <c r="B207" s="73"/>
      <c r="C207" s="73"/>
      <c r="D207" s="73"/>
      <c r="E207" s="42" t="s">
        <v>743</v>
      </c>
      <c r="F207" s="41" t="s">
        <v>744</v>
      </c>
      <c r="G207" s="41"/>
      <c r="H207" s="39"/>
      <c r="I207" s="39"/>
      <c r="J207" s="39"/>
      <c r="K207" s="39"/>
      <c r="L207" s="51" t="n">
        <f aca="false">L206*20+M206</f>
        <v>2130</v>
      </c>
      <c r="M207" s="51"/>
      <c r="N207" s="98" t="n">
        <f aca="false">L207*353/6390</f>
        <v>117.666666666667</v>
      </c>
      <c r="O207" s="39"/>
      <c r="P207" s="98" t="n">
        <f aca="false">L207*353/6390</f>
        <v>117.666666666667</v>
      </c>
      <c r="Q207" s="39"/>
      <c r="R207" s="39"/>
    </row>
    <row r="208" customFormat="false" ht="18.75" hidden="false" customHeight="false" outlineLevel="0" collapsed="false">
      <c r="A208" s="73"/>
      <c r="B208" s="73"/>
      <c r="C208" s="73"/>
      <c r="D208" s="73"/>
      <c r="E208" s="42"/>
      <c r="F208" s="41"/>
      <c r="G208" s="41"/>
      <c r="H208" s="39"/>
      <c r="I208" s="39"/>
      <c r="J208" s="39"/>
      <c r="K208" s="39"/>
      <c r="L208" s="51"/>
      <c r="M208" s="51"/>
      <c r="N208" s="99" t="s">
        <v>745</v>
      </c>
      <c r="O208" s="39"/>
      <c r="P208" s="39"/>
      <c r="Q208" s="39"/>
      <c r="R208" s="39"/>
    </row>
    <row r="209" customFormat="false" ht="18.75" hidden="false" customHeight="false" outlineLevel="0" collapsed="false">
      <c r="A209" s="73"/>
      <c r="B209" s="73"/>
      <c r="C209" s="73"/>
      <c r="D209" s="73"/>
      <c r="E209" s="42"/>
      <c r="F209" s="41"/>
      <c r="G209" s="41"/>
      <c r="H209" s="39"/>
      <c r="I209" s="39"/>
      <c r="J209" s="39"/>
      <c r="K209" s="39"/>
      <c r="L209" s="51"/>
      <c r="M209" s="51"/>
      <c r="N209" s="39"/>
      <c r="O209" s="39"/>
      <c r="P209" s="39"/>
      <c r="Q209" s="39"/>
      <c r="R209" s="39"/>
    </row>
    <row r="210" customFormat="false" ht="30.75" hidden="false" customHeight="false" outlineLevel="0" collapsed="false">
      <c r="A210" s="73" t="n">
        <v>349</v>
      </c>
      <c r="B210" s="97" t="s">
        <v>186</v>
      </c>
      <c r="C210" s="73"/>
      <c r="D210" s="73" t="s">
        <v>656</v>
      </c>
      <c r="E210" s="40" t="s">
        <v>129</v>
      </c>
      <c r="F210" s="41" t="s">
        <v>746</v>
      </c>
      <c r="G210" s="41"/>
      <c r="H210" s="39"/>
      <c r="I210" s="39"/>
      <c r="J210" s="39"/>
      <c r="K210" s="39"/>
      <c r="L210" s="51" t="n">
        <v>99</v>
      </c>
      <c r="M210" s="51" t="n">
        <v>0</v>
      </c>
      <c r="N210" s="39"/>
      <c r="O210" s="39"/>
      <c r="P210" s="39"/>
      <c r="Q210" s="39"/>
      <c r="R210" s="39"/>
      <c r="S210" s="72" t="n">
        <f aca="false">210/4</f>
        <v>52.5</v>
      </c>
    </row>
    <row r="211" customFormat="false" ht="18.75" hidden="false" customHeight="false" outlineLevel="0" collapsed="false">
      <c r="A211" s="73"/>
      <c r="B211" s="73"/>
      <c r="C211" s="73"/>
      <c r="D211" s="73"/>
      <c r="E211" s="42" t="s">
        <v>743</v>
      </c>
      <c r="F211" s="41" t="s">
        <v>747</v>
      </c>
      <c r="G211" s="41"/>
      <c r="H211" s="39"/>
      <c r="I211" s="39"/>
      <c r="J211" s="39"/>
      <c r="K211" s="39"/>
      <c r="L211" s="51" t="n">
        <f aca="false">L210*20+M210</f>
        <v>1980</v>
      </c>
      <c r="M211" s="51"/>
      <c r="N211" s="39" t="n">
        <f aca="false">L211*7/66</f>
        <v>210</v>
      </c>
      <c r="O211" s="39"/>
      <c r="P211" s="98" t="n">
        <f aca="false">L211*353/6390</f>
        <v>109.380281690141</v>
      </c>
      <c r="Q211" s="39"/>
      <c r="R211" s="39"/>
    </row>
    <row r="212" customFormat="false" ht="18.75" hidden="false" customHeight="false" outlineLevel="0" collapsed="false">
      <c r="A212" s="73"/>
      <c r="B212" s="73"/>
      <c r="C212" s="73"/>
      <c r="D212" s="73"/>
      <c r="E212" s="42"/>
      <c r="F212" s="41"/>
      <c r="G212" s="41"/>
      <c r="H212" s="39"/>
      <c r="I212" s="39"/>
      <c r="J212" s="39"/>
      <c r="K212" s="39"/>
      <c r="L212" s="51"/>
      <c r="M212" s="51"/>
      <c r="N212" s="99" t="s">
        <v>748</v>
      </c>
      <c r="O212" s="39"/>
      <c r="P212" s="39"/>
      <c r="Q212" s="39"/>
      <c r="R212" s="39"/>
    </row>
    <row r="213" customFormat="false" ht="18.75" hidden="false" customHeight="false" outlineLevel="0" collapsed="false">
      <c r="A213" s="73"/>
      <c r="B213" s="73"/>
      <c r="C213" s="73"/>
      <c r="D213" s="73"/>
      <c r="E213" s="42"/>
      <c r="F213" s="41"/>
      <c r="G213" s="41"/>
      <c r="H213" s="39"/>
      <c r="I213" s="39"/>
      <c r="J213" s="39"/>
      <c r="K213" s="39"/>
      <c r="L213" s="51"/>
      <c r="M213" s="51"/>
      <c r="N213" s="39"/>
      <c r="O213" s="39"/>
      <c r="P213" s="39"/>
      <c r="Q213" s="39"/>
      <c r="R213" s="39"/>
    </row>
    <row r="214" customFormat="false" ht="30.75" hidden="false" customHeight="false" outlineLevel="0" collapsed="false">
      <c r="A214" s="73" t="n">
        <v>1</v>
      </c>
      <c r="B214" s="97" t="s">
        <v>186</v>
      </c>
      <c r="C214" s="73"/>
      <c r="D214" s="73" t="s">
        <v>152</v>
      </c>
      <c r="E214" s="40" t="s">
        <v>129</v>
      </c>
      <c r="F214" s="41" t="s">
        <v>749</v>
      </c>
      <c r="G214" s="41"/>
      <c r="H214" s="39"/>
      <c r="I214" s="39"/>
      <c r="J214" s="39"/>
      <c r="K214" s="39"/>
      <c r="L214" s="51" t="n">
        <v>20</v>
      </c>
      <c r="M214" s="51" t="n">
        <v>13</v>
      </c>
      <c r="N214" s="39"/>
      <c r="O214" s="39"/>
      <c r="P214" s="39"/>
      <c r="Q214" s="39"/>
      <c r="R214" s="39"/>
    </row>
    <row r="215" customFormat="false" ht="18.75" hidden="false" customHeight="false" outlineLevel="0" collapsed="false">
      <c r="A215" s="73"/>
      <c r="B215" s="73"/>
      <c r="C215" s="73"/>
      <c r="D215" s="73"/>
      <c r="E215" s="42" t="s">
        <v>750</v>
      </c>
      <c r="F215" s="41" t="s">
        <v>751</v>
      </c>
      <c r="G215" s="41"/>
      <c r="H215" s="39"/>
      <c r="I215" s="39"/>
      <c r="J215" s="39"/>
      <c r="K215" s="39"/>
      <c r="L215" s="51" t="n">
        <f aca="false">L214*20+M214</f>
        <v>413</v>
      </c>
      <c r="M215" s="51"/>
      <c r="N215" s="39" t="n">
        <f aca="false">L215*90/413</f>
        <v>90</v>
      </c>
      <c r="O215" s="39"/>
      <c r="P215" s="98" t="n">
        <f aca="false">L215*353/6390</f>
        <v>22.8151799687011</v>
      </c>
      <c r="Q215" s="39"/>
      <c r="R215" s="39"/>
    </row>
    <row r="216" customFormat="false" ht="18.75" hidden="false" customHeight="false" outlineLevel="0" collapsed="false">
      <c r="A216" s="73"/>
      <c r="B216" s="73"/>
      <c r="C216" s="73"/>
      <c r="D216" s="73"/>
      <c r="E216" s="86" t="s">
        <v>752</v>
      </c>
      <c r="F216" s="41"/>
      <c r="G216" s="41"/>
      <c r="H216" s="39"/>
      <c r="I216" s="39"/>
      <c r="J216" s="39"/>
      <c r="K216" s="39"/>
      <c r="L216" s="51"/>
      <c r="M216" s="51"/>
      <c r="N216" s="99" t="s">
        <v>753</v>
      </c>
      <c r="O216" s="39"/>
      <c r="P216" s="39"/>
      <c r="Q216" s="39"/>
      <c r="R216" s="39"/>
    </row>
    <row r="217" customFormat="false" ht="18.75" hidden="false" customHeight="false" outlineLevel="0" collapsed="false">
      <c r="A217" s="73"/>
      <c r="B217" s="73"/>
      <c r="C217" s="73"/>
      <c r="D217" s="73"/>
      <c r="E217" s="86"/>
      <c r="F217" s="41"/>
      <c r="G217" s="41"/>
      <c r="H217" s="39"/>
      <c r="I217" s="39"/>
      <c r="J217" s="39"/>
      <c r="K217" s="39"/>
      <c r="L217" s="51"/>
      <c r="M217" s="51"/>
      <c r="N217" s="99"/>
      <c r="O217" s="39"/>
      <c r="P217" s="39"/>
      <c r="Q217" s="39"/>
      <c r="R217" s="39"/>
    </row>
    <row r="218" customFormat="false" ht="18.75" hidden="false" customHeight="false" outlineLevel="0" collapsed="false">
      <c r="A218" s="73" t="s">
        <v>12</v>
      </c>
      <c r="B218" s="97" t="s">
        <v>754</v>
      </c>
      <c r="C218" s="73"/>
      <c r="D218" s="73"/>
      <c r="E218" s="86"/>
      <c r="F218" s="41"/>
      <c r="G218" s="41"/>
      <c r="H218" s="39"/>
      <c r="I218" s="39"/>
      <c r="J218" s="39"/>
      <c r="K218" s="39"/>
      <c r="L218" s="51"/>
      <c r="M218" s="51"/>
      <c r="N218" s="99"/>
      <c r="O218" s="39"/>
      <c r="P218" s="39"/>
      <c r="Q218" s="39"/>
      <c r="R218" s="39"/>
    </row>
    <row r="219" customFormat="false" ht="18.75" hidden="false" customHeight="false" outlineLevel="0" collapsed="false">
      <c r="A219" s="39"/>
      <c r="B219" s="39"/>
      <c r="C219" s="39"/>
      <c r="D219" s="39"/>
      <c r="E219" s="86"/>
      <c r="F219" s="41"/>
      <c r="G219" s="41"/>
      <c r="H219" s="39"/>
      <c r="I219" s="39"/>
      <c r="J219" s="39"/>
      <c r="K219" s="39"/>
      <c r="L219" s="51"/>
      <c r="M219" s="51"/>
      <c r="N219" s="99"/>
      <c r="O219" s="39"/>
      <c r="P219" s="39"/>
      <c r="Q219" s="39"/>
      <c r="R219" s="39"/>
    </row>
    <row r="220" customFormat="false" ht="18.75" hidden="false" customHeight="false" outlineLevel="0" collapsed="false">
      <c r="A220" s="39"/>
      <c r="B220" s="39"/>
      <c r="C220" s="39"/>
      <c r="D220" s="39"/>
      <c r="E220" s="86"/>
      <c r="F220" s="41"/>
      <c r="G220" s="41"/>
      <c r="H220" s="39"/>
      <c r="I220" s="39"/>
      <c r="J220" s="39"/>
      <c r="K220" s="39"/>
      <c r="L220" s="51"/>
      <c r="M220" s="51"/>
      <c r="N220" s="99"/>
      <c r="O220" s="39"/>
      <c r="P220" s="39"/>
      <c r="Q220" s="39"/>
      <c r="R220" s="39"/>
    </row>
    <row r="221" customFormat="false" ht="18.75" hidden="false" customHeight="false" outlineLevel="0" collapsed="false">
      <c r="A221" s="39"/>
      <c r="B221" s="39"/>
      <c r="C221" s="39"/>
      <c r="D221" s="39"/>
      <c r="E221" s="86"/>
      <c r="F221" s="41"/>
      <c r="G221" s="41"/>
      <c r="H221" s="39"/>
      <c r="I221" s="39"/>
      <c r="J221" s="39"/>
      <c r="K221" s="39"/>
      <c r="L221" s="51"/>
      <c r="M221" s="51"/>
      <c r="N221" s="99"/>
      <c r="O221" s="39"/>
      <c r="P221" s="39"/>
      <c r="Q221" s="39"/>
      <c r="R221" s="39"/>
    </row>
    <row r="222" customFormat="false" ht="18.75" hidden="false" customHeight="false" outlineLevel="0" collapsed="false">
      <c r="A222" s="39"/>
      <c r="B222" s="39"/>
      <c r="C222" s="39"/>
      <c r="D222" s="39"/>
      <c r="E222" s="42"/>
      <c r="F222" s="41"/>
      <c r="G222" s="41"/>
      <c r="H222" s="39"/>
      <c r="I222" s="39"/>
      <c r="J222" s="39"/>
      <c r="K222" s="39"/>
      <c r="L222" s="51"/>
      <c r="M222" s="51"/>
      <c r="N222" s="39"/>
      <c r="O222" s="39"/>
      <c r="P222" s="39"/>
      <c r="Q222" s="39"/>
      <c r="R222" s="39"/>
    </row>
    <row r="223" customFormat="false" ht="18.75" hidden="false" customHeight="false" outlineLevel="0" collapsed="false">
      <c r="A223" s="39"/>
      <c r="B223" s="39"/>
      <c r="C223" s="39"/>
      <c r="D223" s="39"/>
      <c r="E223" s="42"/>
      <c r="F223" s="41"/>
      <c r="G223" s="41"/>
      <c r="H223" s="39"/>
      <c r="I223" s="39"/>
      <c r="J223" s="39"/>
      <c r="K223" s="39"/>
      <c r="L223" s="51"/>
      <c r="M223" s="51"/>
      <c r="N223" s="39"/>
      <c r="O223" s="39"/>
      <c r="P223" s="39"/>
      <c r="Q223" s="39"/>
      <c r="R223" s="39"/>
    </row>
    <row r="224" customFormat="false" ht="30" hidden="false" customHeight="false" outlineLevel="0" collapsed="false">
      <c r="A224" s="39" t="n">
        <v>217</v>
      </c>
      <c r="B224" s="39" t="n">
        <v>201</v>
      </c>
      <c r="C224" s="39" t="n">
        <v>497</v>
      </c>
      <c r="D224" s="39"/>
      <c r="E224" s="40" t="s">
        <v>755</v>
      </c>
      <c r="F224" s="41" t="s">
        <v>723</v>
      </c>
      <c r="G224" s="41"/>
      <c r="H224" s="39"/>
      <c r="I224" s="39"/>
      <c r="J224" s="39"/>
      <c r="K224" s="39"/>
      <c r="L224" s="50"/>
      <c r="M224" s="50" t="n">
        <v>0</v>
      </c>
      <c r="N224" s="39"/>
      <c r="O224" s="39"/>
      <c r="P224" s="39"/>
      <c r="Q224" s="39"/>
      <c r="R224" s="39"/>
    </row>
    <row r="225" customFormat="false" ht="30" hidden="false" customHeight="false" outlineLevel="0" collapsed="false">
      <c r="A225" s="39"/>
      <c r="B225" s="39"/>
      <c r="C225" s="39"/>
      <c r="D225" s="39"/>
      <c r="E225" s="40" t="s">
        <v>756</v>
      </c>
      <c r="F225" s="41" t="s">
        <v>195</v>
      </c>
      <c r="G225" s="41"/>
      <c r="H225" s="39"/>
      <c r="I225" s="39"/>
      <c r="J225" s="39"/>
      <c r="K225" s="39"/>
      <c r="L225" s="50"/>
      <c r="M225" s="50"/>
      <c r="N225" s="39"/>
      <c r="O225" s="39"/>
      <c r="P225" s="39"/>
      <c r="Q225" s="39"/>
      <c r="R225" s="39"/>
    </row>
    <row r="226" customFormat="false" ht="15" hidden="false" customHeight="false" outlineLevel="0" collapsed="false">
      <c r="A226" s="39"/>
      <c r="B226" s="39"/>
      <c r="C226" s="39"/>
      <c r="D226" s="39"/>
      <c r="E226" s="42" t="s">
        <v>12</v>
      </c>
      <c r="F226" s="41" t="s">
        <v>12</v>
      </c>
      <c r="G226" s="41"/>
      <c r="H226" s="39"/>
      <c r="I226" s="39"/>
      <c r="J226" s="39"/>
      <c r="K226" s="39"/>
      <c r="L226" s="50"/>
      <c r="M226" s="50"/>
      <c r="N226" s="39"/>
      <c r="O226" s="39"/>
      <c r="P226" s="39"/>
      <c r="Q226" s="39"/>
      <c r="R226" s="39"/>
    </row>
    <row r="227" customFormat="false" ht="60.75" hidden="false" customHeight="false" outlineLevel="0" collapsed="false">
      <c r="A227" s="39"/>
      <c r="B227" s="39"/>
      <c r="C227" s="39"/>
      <c r="D227" s="39"/>
      <c r="E227" s="42" t="s">
        <v>757</v>
      </c>
      <c r="F227" s="41"/>
      <c r="G227" s="41"/>
      <c r="H227" s="39"/>
      <c r="I227" s="39"/>
      <c r="J227" s="39"/>
      <c r="K227" s="39"/>
      <c r="L227" s="51" t="n">
        <v>61</v>
      </c>
      <c r="M227" s="51" t="n">
        <v>5</v>
      </c>
      <c r="N227" s="39"/>
      <c r="O227" s="39"/>
      <c r="P227" s="39"/>
      <c r="Q227" s="39"/>
      <c r="R227" s="39"/>
      <c r="S227" s="72" t="n">
        <f aca="false">(L227*20+5)/3</f>
        <v>408.333333333333</v>
      </c>
    </row>
    <row r="228" customFormat="false" ht="30" hidden="false" customHeight="false" outlineLevel="0" collapsed="false">
      <c r="A228" s="39" t="n">
        <v>217</v>
      </c>
      <c r="B228" s="39" t="n">
        <v>201</v>
      </c>
      <c r="C228" s="39" t="n">
        <v>497</v>
      </c>
      <c r="D228" s="39"/>
      <c r="E228" s="40" t="s">
        <v>758</v>
      </c>
      <c r="F228" s="41" t="s">
        <v>759</v>
      </c>
      <c r="G228" s="41"/>
      <c r="H228" s="39"/>
      <c r="I228" s="39"/>
      <c r="J228" s="39"/>
      <c r="K228" s="39"/>
      <c r="L228" s="50"/>
      <c r="M228" s="50" t="n">
        <v>0</v>
      </c>
      <c r="N228" s="39"/>
      <c r="O228" s="39"/>
      <c r="P228" s="39"/>
      <c r="Q228" s="39"/>
      <c r="R228" s="39" t="s">
        <v>760</v>
      </c>
      <c r="T228" s="4"/>
    </row>
    <row r="229" customFormat="false" ht="30" hidden="false" customHeight="false" outlineLevel="0" collapsed="false">
      <c r="A229" s="39"/>
      <c r="B229" s="39"/>
      <c r="C229" s="39"/>
      <c r="D229" s="39"/>
      <c r="E229" s="40" t="s">
        <v>756</v>
      </c>
      <c r="F229" s="41" t="s">
        <v>761</v>
      </c>
      <c r="G229" s="41"/>
      <c r="H229" s="39"/>
      <c r="I229" s="39"/>
      <c r="J229" s="39"/>
      <c r="K229" s="39"/>
      <c r="L229" s="50"/>
      <c r="M229" s="50"/>
      <c r="N229" s="39"/>
      <c r="O229" s="39"/>
      <c r="P229" s="39"/>
      <c r="Q229" s="39"/>
      <c r="R229" s="39"/>
    </row>
    <row r="230" customFormat="false" ht="15" hidden="false" customHeight="false" outlineLevel="0" collapsed="false">
      <c r="A230" s="39"/>
      <c r="B230" s="39"/>
      <c r="C230" s="39"/>
      <c r="D230" s="39"/>
      <c r="E230" s="42" t="s">
        <v>12</v>
      </c>
      <c r="F230" s="41" t="s">
        <v>12</v>
      </c>
      <c r="G230" s="41"/>
      <c r="H230" s="39"/>
      <c r="I230" s="39"/>
      <c r="J230" s="39"/>
      <c r="K230" s="39"/>
      <c r="L230" s="50"/>
      <c r="M230" s="50"/>
      <c r="N230" s="39"/>
      <c r="O230" s="39"/>
      <c r="P230" s="39"/>
      <c r="Q230" s="39"/>
      <c r="R230" s="39"/>
    </row>
    <row r="231" customFormat="false" ht="15" hidden="false" customHeight="false" outlineLevel="0" collapsed="false">
      <c r="A231" s="39"/>
      <c r="B231" s="39"/>
      <c r="C231" s="39"/>
      <c r="D231" s="39"/>
      <c r="E231" s="42"/>
      <c r="F231" s="41"/>
      <c r="G231" s="41"/>
      <c r="H231" s="39"/>
      <c r="I231" s="39"/>
      <c r="J231" s="39"/>
      <c r="K231" s="39"/>
      <c r="L231" s="50"/>
      <c r="M231" s="50"/>
      <c r="N231" s="39"/>
      <c r="O231" s="39"/>
      <c r="P231" s="39"/>
      <c r="Q231" s="39"/>
      <c r="R231" s="39"/>
    </row>
    <row r="232" customFormat="false" ht="18.75" hidden="false" customHeight="false" outlineLevel="0" collapsed="false">
      <c r="A232" s="39"/>
      <c r="B232" s="39"/>
      <c r="C232" s="39"/>
      <c r="D232" s="39"/>
      <c r="E232" s="42"/>
      <c r="F232" s="41"/>
      <c r="G232" s="41"/>
      <c r="H232" s="39"/>
      <c r="I232" s="39"/>
      <c r="J232" s="39"/>
      <c r="K232" s="39"/>
      <c r="L232" s="51" t="n">
        <v>253</v>
      </c>
      <c r="M232" s="51" t="n">
        <v>6</v>
      </c>
      <c r="N232" s="39"/>
      <c r="O232" s="39"/>
      <c r="P232" s="39"/>
      <c r="Q232" s="39"/>
      <c r="R232" s="39"/>
      <c r="S232" s="72" t="n">
        <v>852</v>
      </c>
    </row>
    <row r="233" customFormat="false" ht="21" hidden="false" customHeight="false" outlineLevel="0" collapsed="false">
      <c r="M233" s="100" t="n">
        <v>5066</v>
      </c>
      <c r="S233" s="77" t="n">
        <f aca="false">SUM(S1:S232)</f>
        <v>2742.925</v>
      </c>
      <c r="T233" s="0" t="n">
        <f aca="false">S233/160</f>
        <v>17.14328125</v>
      </c>
    </row>
  </sheetData>
  <hyperlinks>
    <hyperlink ref="M1" location="Index!A1" display="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7"/>
    <col collapsed="false" customWidth="true" hidden="false" outlineLevel="0" max="12" min="12" style="0" width="13.42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5</v>
      </c>
      <c r="B4" s="62" t="n">
        <v>45</v>
      </c>
      <c r="C4" s="63" t="s">
        <v>764</v>
      </c>
      <c r="D4" s="63" t="s">
        <v>765</v>
      </c>
      <c r="E4" s="63" t="s">
        <v>766</v>
      </c>
      <c r="F4" s="62"/>
      <c r="G4" s="62" t="s">
        <v>767</v>
      </c>
      <c r="H4" s="62"/>
      <c r="I4" s="62"/>
      <c r="J4" s="62"/>
      <c r="K4" s="62"/>
      <c r="L4" s="63" t="s">
        <v>768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769</v>
      </c>
      <c r="E5" s="63" t="s">
        <v>770</v>
      </c>
      <c r="F5" s="62"/>
      <c r="G5" s="62" t="n">
        <v>11</v>
      </c>
      <c r="H5" s="62" t="s">
        <v>771</v>
      </c>
      <c r="I5" s="62"/>
      <c r="J5" s="62"/>
      <c r="K5" s="62"/>
      <c r="L5" s="62" t="s">
        <v>772</v>
      </c>
    </row>
    <row r="6" customFormat="false" ht="48.75" hidden="false" customHeight="false" outlineLevel="0" collapsed="false">
      <c r="A6" s="62" t="n">
        <v>4</v>
      </c>
      <c r="B6" s="62"/>
      <c r="C6" s="62"/>
      <c r="D6" s="63" t="s">
        <v>773</v>
      </c>
      <c r="E6" s="63" t="s">
        <v>774</v>
      </c>
      <c r="F6" s="62"/>
      <c r="G6" s="62" t="s">
        <v>775</v>
      </c>
      <c r="H6" s="62"/>
      <c r="I6" s="62"/>
      <c r="J6" s="62"/>
      <c r="K6" s="62"/>
      <c r="L6" s="63" t="s">
        <v>776</v>
      </c>
    </row>
    <row r="7" customFormat="false" ht="33" hidden="false" customHeight="false" outlineLevel="0" collapsed="false">
      <c r="A7" s="62"/>
      <c r="B7" s="62"/>
      <c r="C7" s="62"/>
      <c r="D7" s="62" t="s">
        <v>777</v>
      </c>
      <c r="E7" s="62"/>
      <c r="F7" s="62"/>
      <c r="G7" s="64" t="n">
        <v>40635</v>
      </c>
      <c r="H7" s="62" t="s">
        <v>778</v>
      </c>
      <c r="I7" s="62"/>
      <c r="J7" s="62"/>
      <c r="K7" s="62"/>
      <c r="L7" s="62" t="s">
        <v>779</v>
      </c>
    </row>
    <row r="8" customFormat="false" ht="33" hidden="false" customHeight="false" outlineLevel="0" collapsed="false">
      <c r="A8" s="62"/>
      <c r="B8" s="62"/>
      <c r="C8" s="62"/>
      <c r="D8" s="63" t="s">
        <v>780</v>
      </c>
      <c r="E8" s="62"/>
      <c r="F8" s="62"/>
      <c r="G8" s="62" t="n">
        <v>7</v>
      </c>
      <c r="H8" s="62" t="s">
        <v>301</v>
      </c>
      <c r="I8" s="62"/>
      <c r="J8" s="62"/>
      <c r="K8" s="62"/>
      <c r="L8" s="62" t="s">
        <v>781</v>
      </c>
    </row>
    <row r="9" customFormat="false" ht="33" hidden="false" customHeight="false" outlineLevel="0" collapsed="false">
      <c r="A9" s="62"/>
      <c r="B9" s="62"/>
      <c r="C9" s="62"/>
      <c r="D9" s="63" t="s">
        <v>782</v>
      </c>
      <c r="E9" s="62"/>
      <c r="F9" s="62"/>
      <c r="G9" s="62" t="s">
        <v>600</v>
      </c>
      <c r="H9" s="62" t="s">
        <v>783</v>
      </c>
      <c r="I9" s="62"/>
      <c r="J9" s="62"/>
      <c r="K9" s="62"/>
      <c r="L9" s="63" t="s">
        <v>784</v>
      </c>
    </row>
    <row r="10" customFormat="false" ht="33" hidden="false" customHeight="false" outlineLevel="0" collapsed="false">
      <c r="A10" s="62"/>
      <c r="B10" s="62"/>
      <c r="C10" s="62"/>
      <c r="D10" s="63" t="s">
        <v>785</v>
      </c>
      <c r="E10" s="62"/>
      <c r="F10" s="62"/>
      <c r="G10" s="62"/>
      <c r="H10" s="62" t="s">
        <v>786</v>
      </c>
      <c r="I10" s="62"/>
      <c r="J10" s="62"/>
      <c r="K10" s="62"/>
      <c r="L10" s="63" t="s">
        <v>787</v>
      </c>
    </row>
    <row r="11" customFormat="false" ht="33" hidden="false" customHeight="false" outlineLevel="0" collapsed="false">
      <c r="A11" s="62"/>
      <c r="B11" s="62"/>
      <c r="C11" s="62"/>
      <c r="D11" s="62" t="s">
        <v>788</v>
      </c>
      <c r="E11" s="62"/>
      <c r="F11" s="62"/>
      <c r="G11" s="62"/>
      <c r="H11" s="62" t="s">
        <v>789</v>
      </c>
      <c r="I11" s="62"/>
      <c r="J11" s="62"/>
      <c r="K11" s="62"/>
      <c r="L11" s="63" t="s">
        <v>790</v>
      </c>
    </row>
    <row r="12" customFormat="false" ht="48.75" hidden="false" customHeight="false" outlineLevel="0" collapsed="false">
      <c r="A12" s="62"/>
      <c r="B12" s="62"/>
      <c r="C12" s="62"/>
      <c r="D12" s="63" t="s">
        <v>791</v>
      </c>
      <c r="E12" s="62"/>
      <c r="F12" s="62"/>
      <c r="G12" s="62"/>
      <c r="H12" s="62" t="s">
        <v>792</v>
      </c>
      <c r="I12" s="62"/>
      <c r="J12" s="62"/>
      <c r="K12" s="62"/>
      <c r="L12" s="63" t="s">
        <v>793</v>
      </c>
    </row>
    <row r="13" customFormat="false" ht="33" hidden="false" customHeight="false" outlineLevel="0" collapsed="false">
      <c r="A13" s="62"/>
      <c r="B13" s="62"/>
      <c r="C13" s="62"/>
      <c r="D13" s="63" t="s">
        <v>782</v>
      </c>
      <c r="E13" s="62"/>
      <c r="F13" s="62"/>
      <c r="G13" s="62" t="s">
        <v>603</v>
      </c>
      <c r="H13" s="62" t="s">
        <v>794</v>
      </c>
      <c r="I13" s="62"/>
      <c r="J13" s="62"/>
      <c r="K13" s="62"/>
      <c r="L13" s="63" t="s">
        <v>795</v>
      </c>
    </row>
    <row r="14" customFormat="false" ht="33" hidden="false" customHeight="false" outlineLevel="0" collapsed="false">
      <c r="A14" s="62"/>
      <c r="B14" s="62"/>
      <c r="C14" s="62"/>
      <c r="D14" s="63" t="s">
        <v>785</v>
      </c>
      <c r="E14" s="62"/>
      <c r="F14" s="62"/>
      <c r="G14" s="62" t="n">
        <v>17</v>
      </c>
      <c r="H14" s="62" t="s">
        <v>771</v>
      </c>
      <c r="I14" s="62"/>
      <c r="J14" s="62"/>
      <c r="K14" s="62"/>
      <c r="L14" s="62" t="s">
        <v>796</v>
      </c>
    </row>
    <row r="15" customFormat="false" ht="33" hidden="false" customHeight="false" outlineLevel="0" collapsed="false">
      <c r="A15" s="62"/>
      <c r="B15" s="62"/>
      <c r="C15" s="62"/>
      <c r="D15" s="62" t="s">
        <v>797</v>
      </c>
      <c r="E15" s="62"/>
      <c r="F15" s="62"/>
      <c r="G15" s="62" t="n">
        <v>18</v>
      </c>
      <c r="H15" s="62" t="s">
        <v>798</v>
      </c>
      <c r="I15" s="62"/>
      <c r="J15" s="62"/>
      <c r="K15" s="62"/>
      <c r="L15" s="62" t="s">
        <v>799</v>
      </c>
    </row>
    <row r="16" customFormat="false" ht="33" hidden="false" customHeight="false" outlineLevel="0" collapsed="false">
      <c r="A16" s="62"/>
      <c r="B16" s="62"/>
      <c r="C16" s="62"/>
      <c r="D16" s="63" t="s">
        <v>233</v>
      </c>
      <c r="E16" s="62"/>
      <c r="F16" s="62"/>
      <c r="G16" s="62" t="s">
        <v>609</v>
      </c>
      <c r="H16" s="62" t="s">
        <v>800</v>
      </c>
      <c r="I16" s="62"/>
      <c r="J16" s="62"/>
      <c r="K16" s="62"/>
      <c r="L16" s="62" t="s">
        <v>801</v>
      </c>
    </row>
    <row r="17" customFormat="false" ht="33" hidden="false" customHeight="false" outlineLevel="0" collapsed="false">
      <c r="A17" s="62"/>
      <c r="B17" s="62"/>
      <c r="C17" s="62"/>
      <c r="D17" s="63" t="s">
        <v>802</v>
      </c>
      <c r="E17" s="62"/>
      <c r="F17" s="62"/>
      <c r="G17" s="62" t="s">
        <v>803</v>
      </c>
      <c r="H17" s="62" t="s">
        <v>804</v>
      </c>
      <c r="I17" s="62"/>
      <c r="J17" s="62"/>
      <c r="K17" s="62"/>
      <c r="L17" s="62" t="s">
        <v>805</v>
      </c>
    </row>
    <row r="18" customFormat="false" ht="33" hidden="false" customHeight="false" outlineLevel="0" collapsed="false">
      <c r="A18" s="62"/>
      <c r="B18" s="62"/>
      <c r="C18" s="62"/>
      <c r="D18" s="63" t="s">
        <v>806</v>
      </c>
      <c r="E18" s="62"/>
      <c r="F18" s="62"/>
      <c r="G18" s="62"/>
      <c r="H18" s="62"/>
      <c r="I18" s="62"/>
      <c r="J18" s="62"/>
      <c r="K18" s="62"/>
      <c r="L18" s="62" t="s">
        <v>799</v>
      </c>
    </row>
    <row r="19" customFormat="false" ht="33" hidden="false" customHeight="false" outlineLevel="0" collapsed="false">
      <c r="A19" s="62"/>
      <c r="B19" s="62"/>
      <c r="C19" s="62"/>
      <c r="D19" s="63" t="s">
        <v>807</v>
      </c>
      <c r="E19" s="62"/>
      <c r="F19" s="62"/>
      <c r="G19" s="62" t="n">
        <v>363</v>
      </c>
      <c r="H19" s="62" t="s">
        <v>808</v>
      </c>
      <c r="I19" s="62"/>
      <c r="J19" s="62"/>
      <c r="K19" s="62"/>
      <c r="L19" s="62" t="s">
        <v>809</v>
      </c>
    </row>
    <row r="20" customFormat="false" ht="33" hidden="false" customHeight="false" outlineLevel="0" collapsed="false">
      <c r="A20" s="62"/>
      <c r="B20" s="62"/>
      <c r="C20" s="62"/>
      <c r="D20" s="62" t="s">
        <v>810</v>
      </c>
      <c r="E20" s="62"/>
      <c r="F20" s="62"/>
      <c r="G20" s="62"/>
      <c r="H20" s="63" t="s">
        <v>811</v>
      </c>
      <c r="I20" s="62"/>
      <c r="J20" s="62"/>
      <c r="K20" s="62"/>
      <c r="L20" s="62" t="s">
        <v>805</v>
      </c>
    </row>
    <row r="21" customFormat="false" ht="33" hidden="false" customHeight="false" outlineLevel="0" collapsed="false">
      <c r="A21" s="62"/>
      <c r="B21" s="62"/>
      <c r="C21" s="62"/>
      <c r="D21" s="63" t="s">
        <v>812</v>
      </c>
      <c r="E21" s="62"/>
      <c r="F21" s="62"/>
      <c r="G21" s="62" t="n">
        <v>453</v>
      </c>
      <c r="H21" s="62" t="s">
        <v>813</v>
      </c>
      <c r="I21" s="62"/>
      <c r="J21" s="62"/>
      <c r="K21" s="62"/>
      <c r="L21" s="62" t="s">
        <v>799</v>
      </c>
    </row>
    <row r="22" customFormat="false" ht="33" hidden="false" customHeight="false" outlineLevel="0" collapsed="false">
      <c r="A22" s="62"/>
      <c r="B22" s="62"/>
      <c r="C22" s="62"/>
      <c r="D22" s="63" t="s">
        <v>814</v>
      </c>
      <c r="E22" s="62"/>
      <c r="F22" s="62"/>
      <c r="G22" s="62"/>
      <c r="H22" s="63" t="s">
        <v>815</v>
      </c>
      <c r="I22" s="62"/>
      <c r="J22" s="62"/>
      <c r="K22" s="62"/>
      <c r="L22" s="62" t="s">
        <v>816</v>
      </c>
    </row>
    <row r="23" customFormat="false" ht="33" hidden="false" customHeight="false" outlineLevel="0" collapsed="false">
      <c r="A23" s="62"/>
      <c r="B23" s="62"/>
      <c r="C23" s="62"/>
      <c r="D23" s="63" t="s">
        <v>817</v>
      </c>
      <c r="E23" s="62"/>
      <c r="F23" s="62"/>
      <c r="G23" s="62" t="s">
        <v>267</v>
      </c>
      <c r="H23" s="62" t="s">
        <v>268</v>
      </c>
      <c r="I23" s="62"/>
      <c r="J23" s="62"/>
      <c r="K23" s="62"/>
      <c r="L23" s="62" t="s">
        <v>805</v>
      </c>
    </row>
    <row r="24" customFormat="false" ht="33" hidden="false" customHeight="false" outlineLevel="0" collapsed="false">
      <c r="A24" s="62"/>
      <c r="B24" s="62"/>
      <c r="C24" s="62"/>
      <c r="D24" s="63" t="s">
        <v>315</v>
      </c>
      <c r="E24" s="62"/>
      <c r="F24" s="62"/>
      <c r="G24" s="63" t="s">
        <v>818</v>
      </c>
      <c r="H24" s="62" t="s">
        <v>819</v>
      </c>
      <c r="I24" s="62"/>
      <c r="J24" s="62"/>
      <c r="K24" s="62"/>
      <c r="L24" s="62" t="s">
        <v>799</v>
      </c>
    </row>
    <row r="25" customFormat="false" ht="48.75" hidden="false" customHeight="false" outlineLevel="0" collapsed="false">
      <c r="A25" s="62"/>
      <c r="B25" s="62"/>
      <c r="C25" s="62"/>
      <c r="D25" s="63" t="s">
        <v>820</v>
      </c>
      <c r="E25" s="62"/>
      <c r="F25" s="62"/>
      <c r="G25" s="63" t="s">
        <v>270</v>
      </c>
      <c r="H25" s="63" t="s">
        <v>821</v>
      </c>
      <c r="I25" s="62"/>
      <c r="J25" s="62"/>
      <c r="K25" s="62"/>
      <c r="L25" s="62" t="s">
        <v>822</v>
      </c>
    </row>
    <row r="26" customFormat="false" ht="33" hidden="false" customHeight="false" outlineLevel="0" collapsed="false">
      <c r="A26" s="62"/>
      <c r="B26" s="62"/>
      <c r="C26" s="62"/>
      <c r="D26" s="62" t="s">
        <v>823</v>
      </c>
      <c r="E26" s="62"/>
      <c r="F26" s="62"/>
      <c r="G26" s="62" t="s">
        <v>267</v>
      </c>
      <c r="H26" s="62" t="s">
        <v>267</v>
      </c>
      <c r="I26" s="62"/>
      <c r="J26" s="62"/>
      <c r="K26" s="62"/>
      <c r="L26" s="62" t="s">
        <v>805</v>
      </c>
    </row>
    <row r="27" customFormat="false" ht="33" hidden="false" customHeight="false" outlineLevel="0" collapsed="false">
      <c r="A27" s="62"/>
      <c r="B27" s="62"/>
      <c r="C27" s="62"/>
      <c r="D27" s="63" t="s">
        <v>824</v>
      </c>
      <c r="E27" s="62"/>
      <c r="F27" s="62"/>
      <c r="G27" s="62" t="s">
        <v>825</v>
      </c>
      <c r="H27" s="64" t="n">
        <v>40611</v>
      </c>
      <c r="I27" s="62"/>
      <c r="J27" s="62"/>
      <c r="K27" s="62"/>
      <c r="L27" s="62" t="s">
        <v>799</v>
      </c>
    </row>
    <row r="28" customFormat="false" ht="33" hidden="false" customHeight="false" outlineLevel="0" collapsed="false">
      <c r="A28" s="62"/>
      <c r="B28" s="62"/>
      <c r="C28" s="62"/>
      <c r="D28" s="63" t="s">
        <v>826</v>
      </c>
      <c r="E28" s="62"/>
      <c r="F28" s="62"/>
      <c r="G28" s="62" t="s">
        <v>267</v>
      </c>
      <c r="H28" s="62" t="s">
        <v>267</v>
      </c>
      <c r="I28" s="62"/>
      <c r="J28" s="62"/>
      <c r="K28" s="62"/>
      <c r="L28" s="62" t="s">
        <v>827</v>
      </c>
    </row>
    <row r="29" customFormat="false" ht="33" hidden="false" customHeight="false" outlineLevel="0" collapsed="false">
      <c r="A29" s="62"/>
      <c r="B29" s="62"/>
      <c r="C29" s="62"/>
      <c r="D29" s="63" t="s">
        <v>828</v>
      </c>
      <c r="E29" s="62"/>
      <c r="F29" s="62"/>
      <c r="G29" s="62" t="s">
        <v>829</v>
      </c>
      <c r="H29" s="62" t="s">
        <v>830</v>
      </c>
      <c r="I29" s="62"/>
      <c r="J29" s="62"/>
      <c r="K29" s="62"/>
      <c r="L29" s="62" t="s">
        <v>805</v>
      </c>
    </row>
    <row r="30" customFormat="false" ht="33" hidden="false" customHeight="false" outlineLevel="0" collapsed="false">
      <c r="A30" s="62"/>
      <c r="B30" s="62"/>
      <c r="C30" s="62"/>
      <c r="D30" s="62" t="s">
        <v>810</v>
      </c>
      <c r="E30" s="62"/>
      <c r="F30" s="62"/>
      <c r="G30" s="62" t="s">
        <v>831</v>
      </c>
      <c r="H30" s="62"/>
      <c r="I30" s="62"/>
      <c r="J30" s="62"/>
      <c r="K30" s="62"/>
      <c r="L30" s="62" t="s">
        <v>799</v>
      </c>
    </row>
    <row r="31" customFormat="false" ht="17.25" hidden="false" customHeight="false" outlineLevel="0" collapsed="false">
      <c r="A31" s="62"/>
      <c r="B31" s="62"/>
      <c r="C31" s="62"/>
      <c r="D31" s="63" t="s">
        <v>832</v>
      </c>
      <c r="E31" s="62"/>
      <c r="F31" s="62"/>
      <c r="G31" s="62"/>
      <c r="H31" s="62"/>
      <c r="I31" s="62"/>
      <c r="J31" s="62"/>
      <c r="K31" s="62"/>
      <c r="L31" s="62" t="s">
        <v>833</v>
      </c>
    </row>
    <row r="32" customFormat="false" ht="33" hidden="false" customHeight="false" outlineLevel="0" collapsed="false">
      <c r="A32" s="62"/>
      <c r="B32" s="62"/>
      <c r="C32" s="62"/>
      <c r="D32" s="63" t="s">
        <v>782</v>
      </c>
      <c r="E32" s="62"/>
      <c r="F32" s="62"/>
      <c r="G32" s="62"/>
      <c r="H32" s="62"/>
      <c r="I32" s="62"/>
      <c r="J32" s="62"/>
      <c r="K32" s="62"/>
      <c r="L32" s="62" t="s">
        <v>805</v>
      </c>
    </row>
    <row r="33" customFormat="false" ht="33" hidden="false" customHeight="false" outlineLevel="0" collapsed="false">
      <c r="A33" s="62"/>
      <c r="B33" s="62"/>
      <c r="C33" s="62"/>
      <c r="D33" s="63" t="s">
        <v>785</v>
      </c>
      <c r="E33" s="62"/>
      <c r="F33" s="62"/>
      <c r="G33" s="62"/>
      <c r="H33" s="62"/>
      <c r="I33" s="62"/>
      <c r="J33" s="62"/>
      <c r="K33" s="62"/>
      <c r="L33" s="62" t="s">
        <v>799</v>
      </c>
    </row>
    <row r="34" customFormat="false" ht="17.25" hidden="false" customHeight="false" outlineLevel="0" collapsed="false">
      <c r="A34" s="62"/>
      <c r="B34" s="62"/>
      <c r="C34" s="62"/>
      <c r="D34" s="62" t="s">
        <v>834</v>
      </c>
      <c r="E34" s="62"/>
      <c r="F34" s="62"/>
      <c r="G34" s="62"/>
      <c r="H34" s="62"/>
      <c r="I34" s="62"/>
      <c r="J34" s="62"/>
      <c r="K34" s="62"/>
      <c r="L34" s="62" t="s">
        <v>835</v>
      </c>
    </row>
    <row r="35" customFormat="false" ht="33" hidden="false" customHeight="false" outlineLevel="0" collapsed="false">
      <c r="A35" s="62"/>
      <c r="B35" s="62"/>
      <c r="C35" s="62"/>
      <c r="D35" s="63" t="s">
        <v>836</v>
      </c>
      <c r="E35" s="62"/>
      <c r="F35" s="62"/>
      <c r="G35" s="62"/>
      <c r="H35" s="62"/>
      <c r="I35" s="62"/>
      <c r="J35" s="62"/>
      <c r="K35" s="62"/>
      <c r="L35" s="62" t="s">
        <v>805</v>
      </c>
    </row>
    <row r="36" customFormat="false" ht="33" hidden="false" customHeight="false" outlineLevel="0" collapsed="false">
      <c r="A36" s="62"/>
      <c r="B36" s="62"/>
      <c r="C36" s="62"/>
      <c r="D36" s="63" t="s">
        <v>837</v>
      </c>
      <c r="E36" s="62"/>
      <c r="F36" s="62"/>
      <c r="G36" s="62"/>
      <c r="H36" s="62"/>
      <c r="I36" s="62"/>
      <c r="J36" s="62"/>
      <c r="K36" s="62"/>
      <c r="L36" s="63" t="s">
        <v>838</v>
      </c>
    </row>
    <row r="37" customFormat="false" ht="33" hidden="false" customHeight="false" outlineLevel="0" collapsed="false">
      <c r="A37" s="62"/>
      <c r="B37" s="62"/>
      <c r="C37" s="62"/>
      <c r="D37" s="63" t="s">
        <v>839</v>
      </c>
      <c r="E37" s="62"/>
      <c r="F37" s="62"/>
      <c r="G37" s="62"/>
      <c r="H37" s="62"/>
      <c r="I37" s="62"/>
      <c r="J37" s="62"/>
      <c r="K37" s="62"/>
      <c r="L37" s="62" t="s">
        <v>840</v>
      </c>
    </row>
    <row r="38" customFormat="false" ht="33" hidden="false" customHeight="false" outlineLevel="0" collapsed="false">
      <c r="A38" s="62"/>
      <c r="B38" s="62"/>
      <c r="C38" s="62"/>
      <c r="D38" s="62" t="s">
        <v>841</v>
      </c>
      <c r="E38" s="62"/>
      <c r="F38" s="62"/>
      <c r="G38" s="62"/>
      <c r="H38" s="62"/>
      <c r="I38" s="62"/>
      <c r="J38" s="62"/>
      <c r="K38" s="62"/>
      <c r="L38" s="63" t="s">
        <v>842</v>
      </c>
    </row>
    <row r="39" customFormat="false" ht="33" hidden="false" customHeight="false" outlineLevel="0" collapsed="false">
      <c r="A39" s="62"/>
      <c r="B39" s="62"/>
      <c r="C39" s="62"/>
      <c r="D39" s="63" t="s">
        <v>233</v>
      </c>
      <c r="E39" s="62"/>
      <c r="F39" s="62"/>
      <c r="G39" s="62"/>
      <c r="H39" s="62"/>
      <c r="I39" s="62"/>
      <c r="J39" s="62"/>
      <c r="K39" s="62"/>
      <c r="L39" s="63" t="s">
        <v>843</v>
      </c>
    </row>
    <row r="40" customFormat="false" ht="33" hidden="false" customHeight="fals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 t="s">
        <v>844</v>
      </c>
    </row>
    <row r="41" customFormat="false" ht="33" hidden="false" customHeight="fals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 t="s">
        <v>845</v>
      </c>
    </row>
    <row r="42" customFormat="false" ht="33" hidden="false" customHeight="fals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 t="s">
        <v>846</v>
      </c>
    </row>
    <row r="43" customFormat="false" ht="48.75" hidden="false" customHeight="fals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 t="s">
        <v>847</v>
      </c>
    </row>
    <row r="44" customFormat="false" ht="33" hidden="false" customHeight="false" outlineLevel="0" collapsed="false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 t="s">
        <v>848</v>
      </c>
    </row>
    <row r="45" customFormat="false" ht="17.25" hidden="false" customHeight="false" outlineLevel="0" collapsed="false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3" t="s">
        <v>838</v>
      </c>
    </row>
    <row r="46" customFormat="false" ht="17.25" hidden="false" customHeight="false" outlineLevel="0" collapsed="false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3" t="s">
        <v>838</v>
      </c>
    </row>
    <row r="47" customFormat="false" ht="33" hidden="false" customHeight="false" outlineLevel="0" collapsed="false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3" t="s">
        <v>849</v>
      </c>
    </row>
    <row r="48" customFormat="false" ht="33" hidden="false" customHeight="false" outlineLevel="0" collapsed="false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3" t="s">
        <v>850</v>
      </c>
    </row>
    <row r="49" customFormat="false" ht="33" hidden="false" customHeight="false" outlineLevel="0" collapsed="false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3" t="s">
        <v>851</v>
      </c>
    </row>
    <row r="50" customFormat="false" ht="33" hidden="false" customHeight="false" outlineLevel="0" collapsed="false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3" t="s">
        <v>852</v>
      </c>
    </row>
    <row r="51" customFormat="false" ht="33" hidden="false" customHeight="false" outlineLevel="0" collapsed="false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3" t="s">
        <v>853</v>
      </c>
    </row>
    <row r="52" customFormat="false" ht="33" hidden="false" customHeight="false" outlineLevel="0" collapsed="false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3" t="s">
        <v>854</v>
      </c>
    </row>
    <row r="53" customFormat="false" ht="33" hidden="false" customHeight="fals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3" t="s">
        <v>855</v>
      </c>
    </row>
    <row r="54" customFormat="false" ht="33" hidden="false" customHeight="fals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3" t="s">
        <v>856</v>
      </c>
    </row>
    <row r="55" customFormat="false" ht="48.75" hidden="false" customHeight="fals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3" t="s">
        <v>857</v>
      </c>
    </row>
    <row r="56" customFormat="false" ht="33" hidden="false" customHeight="fals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 t="s">
        <v>858</v>
      </c>
    </row>
    <row r="57" customFormat="false" ht="33" hidden="false" customHeight="false" outlineLevel="0" collapsed="false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3" t="s">
        <v>859</v>
      </c>
    </row>
    <row r="58" customFormat="false" ht="33" hidden="false" customHeight="false" outlineLevel="0" collapsed="false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 t="s">
        <v>860</v>
      </c>
    </row>
    <row r="59" customFormat="false" ht="33" hidden="false" customHeight="fals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3" t="s">
        <v>861</v>
      </c>
    </row>
    <row r="60" customFormat="false" ht="33" hidden="false" customHeight="false" outlineLevel="0" collapsed="false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 t="s">
        <v>862</v>
      </c>
    </row>
    <row r="61" customFormat="false" ht="33" hidden="false" customHeight="false" outlineLevel="0" collapsed="false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 t="s">
        <v>863</v>
      </c>
    </row>
    <row r="62" customFormat="false" ht="33" hidden="false" customHeight="false" outlineLevel="0" collapsed="false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 t="s">
        <v>864</v>
      </c>
    </row>
    <row r="63" customFormat="false" ht="33" hidden="false" customHeight="false" outlineLevel="0" collapsed="false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 t="s">
        <v>865</v>
      </c>
    </row>
    <row r="64" customFormat="false" ht="48.75" hidden="false" customHeight="false" outlineLevel="0" collapsed="false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3" t="s">
        <v>866</v>
      </c>
    </row>
    <row r="65" customFormat="false" ht="33" hidden="false" customHeight="false" outlineLevel="0" collapsed="false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3" t="s">
        <v>867</v>
      </c>
    </row>
    <row r="66" customFormat="false" ht="17.25" hidden="false" customHeight="false" outlineLevel="0" collapsed="false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3" t="s">
        <v>838</v>
      </c>
    </row>
    <row r="67" customFormat="false" ht="33" hidden="false" customHeight="false" outlineLevel="0" collapsed="false">
      <c r="A67" s="62"/>
      <c r="B67" s="62" t="n">
        <v>46</v>
      </c>
      <c r="C67" s="62"/>
      <c r="D67" s="62"/>
      <c r="E67" s="63" t="s">
        <v>868</v>
      </c>
      <c r="F67" s="62"/>
      <c r="G67" s="62" t="s">
        <v>869</v>
      </c>
      <c r="H67" s="62"/>
      <c r="I67" s="62"/>
      <c r="J67" s="62"/>
      <c r="K67" s="62"/>
      <c r="L67" s="62"/>
    </row>
    <row r="68" customFormat="false" ht="33" hidden="false" customHeight="false" outlineLevel="0" collapsed="false">
      <c r="A68" s="62"/>
      <c r="B68" s="62"/>
      <c r="C68" s="62"/>
      <c r="D68" s="62"/>
      <c r="E68" s="63" t="s">
        <v>870</v>
      </c>
      <c r="F68" s="62"/>
      <c r="G68" s="62" t="s">
        <v>168</v>
      </c>
      <c r="H68" s="62" t="s">
        <v>871</v>
      </c>
      <c r="I68" s="62"/>
      <c r="J68" s="62"/>
      <c r="K68" s="62"/>
      <c r="L68" s="62"/>
    </row>
    <row r="69" customFormat="false" ht="33" hidden="false" customHeight="false" outlineLevel="0" collapsed="false">
      <c r="A69" s="62"/>
      <c r="B69" s="62"/>
      <c r="C69" s="62"/>
      <c r="D69" s="62"/>
      <c r="E69" s="63" t="s">
        <v>244</v>
      </c>
      <c r="F69" s="62"/>
      <c r="G69" s="62" t="n">
        <v>15</v>
      </c>
      <c r="H69" s="62" t="s">
        <v>771</v>
      </c>
      <c r="I69" s="62"/>
      <c r="J69" s="62"/>
      <c r="K69" s="62"/>
      <c r="L69" s="62"/>
    </row>
    <row r="70" customFormat="false" ht="33" hidden="false" customHeight="false" outlineLevel="0" collapsed="false">
      <c r="A70" s="62"/>
      <c r="B70" s="62"/>
      <c r="C70" s="62"/>
      <c r="D70" s="62"/>
      <c r="E70" s="63" t="s">
        <v>233</v>
      </c>
      <c r="F70" s="62"/>
      <c r="G70" s="62" t="s">
        <v>267</v>
      </c>
      <c r="H70" s="62" t="s">
        <v>268</v>
      </c>
      <c r="I70" s="62"/>
      <c r="J70" s="62"/>
      <c r="K70" s="62"/>
      <c r="L70" s="62"/>
    </row>
    <row r="71" customFormat="false" ht="33" hidden="false" customHeight="false" outlineLevel="0" collapsed="false">
      <c r="A71" s="62"/>
      <c r="B71" s="62"/>
      <c r="C71" s="62"/>
      <c r="D71" s="62"/>
      <c r="E71" s="63" t="s">
        <v>289</v>
      </c>
      <c r="F71" s="62"/>
      <c r="G71" s="63" t="s">
        <v>320</v>
      </c>
      <c r="H71" s="64" t="n">
        <v>40818</v>
      </c>
      <c r="I71" s="62"/>
      <c r="J71" s="62"/>
      <c r="K71" s="62"/>
      <c r="L71" s="62"/>
    </row>
    <row r="72" customFormat="false" ht="33" hidden="false" customHeight="false" outlineLevel="0" collapsed="false">
      <c r="A72" s="62"/>
      <c r="B72" s="62"/>
      <c r="C72" s="62"/>
      <c r="D72" s="62"/>
      <c r="E72" s="62"/>
      <c r="F72" s="62"/>
      <c r="G72" s="63" t="s">
        <v>270</v>
      </c>
      <c r="H72" s="62"/>
      <c r="I72" s="62"/>
      <c r="J72" s="62"/>
      <c r="K72" s="62"/>
      <c r="L72" s="62"/>
    </row>
    <row r="73" customFormat="false" ht="33" hidden="false" customHeight="false" outlineLevel="0" collapsed="false">
      <c r="A73" s="62"/>
      <c r="B73" s="62"/>
      <c r="C73" s="62"/>
      <c r="D73" s="62"/>
      <c r="E73" s="62"/>
      <c r="F73" s="62"/>
      <c r="G73" s="62" t="s">
        <v>267</v>
      </c>
      <c r="H73" s="62"/>
      <c r="I73" s="62"/>
      <c r="J73" s="62"/>
      <c r="K73" s="62"/>
      <c r="L73" s="62"/>
    </row>
    <row r="74" customFormat="false" ht="17.25" hidden="false" customHeight="false" outlineLevel="0" collapsed="false">
      <c r="A74" s="62"/>
      <c r="B74" s="62"/>
      <c r="C74" s="62"/>
      <c r="D74" s="62"/>
      <c r="E74" s="62"/>
      <c r="F74" s="62"/>
      <c r="G74" s="64" t="n">
        <v>40818</v>
      </c>
      <c r="H74" s="62"/>
      <c r="I74" s="62"/>
      <c r="J74" s="62"/>
      <c r="K74" s="62"/>
      <c r="L74" s="62"/>
    </row>
    <row r="75" customFormat="false" ht="33" hidden="false" customHeight="false" outlineLevel="0" collapsed="false">
      <c r="A75" s="62"/>
      <c r="B75" s="62"/>
      <c r="C75" s="62"/>
      <c r="D75" s="62"/>
      <c r="E75" s="62"/>
      <c r="F75" s="62"/>
      <c r="G75" s="62" t="s">
        <v>267</v>
      </c>
      <c r="H75" s="62"/>
      <c r="I75" s="62"/>
      <c r="J75" s="62"/>
      <c r="K75" s="62"/>
      <c r="L75" s="62"/>
    </row>
    <row r="76" customFormat="false" ht="33" hidden="false" customHeight="false" outlineLevel="0" collapsed="false">
      <c r="A76" s="62"/>
      <c r="B76" s="62"/>
      <c r="C76" s="62"/>
      <c r="D76" s="62"/>
      <c r="E76" s="62"/>
      <c r="F76" s="62"/>
      <c r="G76" s="62" t="s">
        <v>872</v>
      </c>
      <c r="H76" s="62"/>
      <c r="I76" s="62"/>
      <c r="J76" s="62"/>
      <c r="K76" s="62"/>
      <c r="L76" s="62"/>
    </row>
    <row r="77" customFormat="false" ht="33" hidden="false" customHeight="false" outlineLevel="0" collapsed="false">
      <c r="A77" s="62"/>
      <c r="B77" s="62" t="n">
        <v>47</v>
      </c>
      <c r="C77" s="62"/>
      <c r="D77" s="62"/>
      <c r="E77" s="63" t="s">
        <v>873</v>
      </c>
      <c r="F77" s="62"/>
      <c r="G77" s="62" t="s">
        <v>775</v>
      </c>
      <c r="H77" s="62"/>
      <c r="I77" s="62"/>
      <c r="J77" s="62"/>
      <c r="K77" s="62"/>
      <c r="L77" s="62"/>
    </row>
    <row r="78" customFormat="false" ht="17.25" hidden="false" customHeight="false" outlineLevel="0" collapsed="false">
      <c r="A78" s="62"/>
      <c r="B78" s="62"/>
      <c r="C78" s="62"/>
      <c r="D78" s="62"/>
      <c r="E78" s="63" t="s">
        <v>237</v>
      </c>
      <c r="F78" s="62"/>
      <c r="G78" s="62" t="n">
        <v>13</v>
      </c>
      <c r="H78" s="62" t="s">
        <v>798</v>
      </c>
      <c r="I78" s="62"/>
      <c r="J78" s="62"/>
      <c r="K78" s="62"/>
      <c r="L78" s="62"/>
    </row>
    <row r="79" customFormat="false" ht="17.25" hidden="false" customHeight="false" outlineLevel="0" collapsed="false">
      <c r="A79" s="62"/>
      <c r="B79" s="62"/>
      <c r="C79" s="62"/>
      <c r="D79" s="62"/>
      <c r="E79" s="62"/>
      <c r="F79" s="62"/>
      <c r="G79" s="62" t="n">
        <v>14</v>
      </c>
      <c r="H79" s="62" t="s">
        <v>301</v>
      </c>
      <c r="I79" s="62"/>
      <c r="J79" s="62"/>
      <c r="K79" s="62"/>
      <c r="L79" s="62"/>
    </row>
    <row r="80" customFormat="false" ht="17.25" hidden="false" customHeight="false" outlineLevel="0" collapsed="false">
      <c r="A80" s="62"/>
      <c r="B80" s="62"/>
      <c r="C80" s="62"/>
      <c r="D80" s="62"/>
      <c r="E80" s="62"/>
      <c r="F80" s="62"/>
      <c r="G80" s="62" t="n">
        <v>15</v>
      </c>
      <c r="H80" s="62" t="s">
        <v>301</v>
      </c>
      <c r="I80" s="62"/>
      <c r="J80" s="62"/>
      <c r="K80" s="62"/>
      <c r="L80" s="62"/>
    </row>
    <row r="81" customFormat="false" ht="33" hidden="false" customHeight="false" outlineLevel="0" collapsed="false">
      <c r="A81" s="62"/>
      <c r="B81" s="62"/>
      <c r="C81" s="62"/>
      <c r="D81" s="62"/>
      <c r="E81" s="62"/>
      <c r="F81" s="62"/>
      <c r="G81" s="62" t="s">
        <v>267</v>
      </c>
      <c r="H81" s="62" t="s">
        <v>268</v>
      </c>
      <c r="I81" s="62"/>
      <c r="J81" s="62"/>
      <c r="K81" s="62"/>
      <c r="L81" s="62"/>
    </row>
    <row r="82" customFormat="false" ht="17.25" hidden="false" customHeight="false" outlineLevel="0" collapsed="false">
      <c r="A82" s="62"/>
      <c r="B82" s="62"/>
      <c r="C82" s="62"/>
      <c r="D82" s="62"/>
      <c r="E82" s="62"/>
      <c r="F82" s="62"/>
      <c r="G82" s="63" t="s">
        <v>269</v>
      </c>
      <c r="H82" s="62" t="s">
        <v>874</v>
      </c>
      <c r="I82" s="62"/>
      <c r="J82" s="62"/>
      <c r="K82" s="62"/>
      <c r="L82" s="62"/>
    </row>
    <row r="83" customFormat="false" ht="33" hidden="false" customHeight="false" outlineLevel="0" collapsed="false">
      <c r="A83" s="62"/>
      <c r="B83" s="62"/>
      <c r="C83" s="62"/>
      <c r="D83" s="62"/>
      <c r="E83" s="62"/>
      <c r="F83" s="62"/>
      <c r="G83" s="63" t="s">
        <v>270</v>
      </c>
      <c r="H83" s="62"/>
      <c r="I83" s="62"/>
      <c r="J83" s="62"/>
      <c r="K83" s="62"/>
      <c r="L83" s="62"/>
    </row>
    <row r="84" customFormat="false" ht="33" hidden="false" customHeight="false" outlineLevel="0" collapsed="false">
      <c r="A84" s="62"/>
      <c r="B84" s="62"/>
      <c r="C84" s="62"/>
      <c r="D84" s="62"/>
      <c r="E84" s="62"/>
      <c r="F84" s="62"/>
      <c r="G84" s="62" t="s">
        <v>267</v>
      </c>
      <c r="H84" s="62"/>
      <c r="I84" s="62"/>
      <c r="J84" s="62"/>
      <c r="K84" s="62"/>
      <c r="L84" s="62"/>
    </row>
    <row r="85" customFormat="false" ht="17.25" hidden="false" customHeight="false" outlineLevel="0" collapsed="false">
      <c r="A85" s="62"/>
      <c r="B85" s="62"/>
      <c r="C85" s="62"/>
      <c r="D85" s="62"/>
      <c r="E85" s="62"/>
      <c r="F85" s="62"/>
      <c r="G85" s="62" t="s">
        <v>874</v>
      </c>
      <c r="H85" s="62"/>
      <c r="I85" s="62"/>
      <c r="J85" s="62"/>
      <c r="K85" s="62"/>
      <c r="L85" s="62"/>
    </row>
    <row r="86" customFormat="false" ht="33" hidden="false" customHeight="false" outlineLevel="0" collapsed="false">
      <c r="A86" s="62"/>
      <c r="B86" s="62"/>
      <c r="C86" s="62"/>
      <c r="D86" s="62"/>
      <c r="E86" s="62"/>
      <c r="F86" s="62"/>
      <c r="G86" s="62" t="s">
        <v>267</v>
      </c>
      <c r="H86" s="62"/>
      <c r="I86" s="62"/>
      <c r="J86" s="62"/>
      <c r="K86" s="62"/>
      <c r="L86" s="62"/>
    </row>
    <row r="87" customFormat="false" ht="33" hidden="false" customHeight="false" outlineLevel="0" collapsed="false">
      <c r="A87" s="62"/>
      <c r="B87" s="62"/>
      <c r="C87" s="62"/>
      <c r="D87" s="62"/>
      <c r="E87" s="62"/>
      <c r="F87" s="62"/>
      <c r="G87" s="62" t="s">
        <v>875</v>
      </c>
      <c r="H87" s="62"/>
      <c r="I87" s="62"/>
      <c r="J87" s="62"/>
      <c r="K87" s="62"/>
      <c r="L87" s="62"/>
    </row>
    <row r="88" customFormat="false" ht="33" hidden="false" customHeight="false" outlineLevel="0" collapsed="false">
      <c r="A88" s="62"/>
      <c r="B88" s="62" t="n">
        <v>48</v>
      </c>
      <c r="C88" s="62"/>
      <c r="D88" s="62"/>
      <c r="E88" s="63" t="s">
        <v>876</v>
      </c>
      <c r="F88" s="62"/>
      <c r="G88" s="62" t="s">
        <v>869</v>
      </c>
      <c r="H88" s="62"/>
      <c r="I88" s="62"/>
      <c r="J88" s="62"/>
      <c r="K88" s="62"/>
      <c r="L88" s="62"/>
    </row>
    <row r="89" customFormat="false" ht="48.75" hidden="false" customHeight="false" outlineLevel="0" collapsed="false">
      <c r="A89" s="62"/>
      <c r="B89" s="62"/>
      <c r="C89" s="62"/>
      <c r="D89" s="62"/>
      <c r="E89" s="63" t="s">
        <v>877</v>
      </c>
      <c r="F89" s="63" t="s">
        <v>878</v>
      </c>
      <c r="G89" s="62" t="s">
        <v>879</v>
      </c>
      <c r="H89" s="62" t="s">
        <v>880</v>
      </c>
      <c r="I89" s="62"/>
      <c r="J89" s="62"/>
      <c r="K89" s="62"/>
      <c r="L89" s="62"/>
    </row>
    <row r="90" customFormat="false" ht="33" hidden="false" customHeight="false" outlineLevel="0" collapsed="false">
      <c r="A90" s="62"/>
      <c r="B90" s="62"/>
      <c r="C90" s="62"/>
      <c r="D90" s="62"/>
      <c r="E90" s="63" t="s">
        <v>881</v>
      </c>
      <c r="F90" s="62"/>
      <c r="G90" s="62" t="s">
        <v>882</v>
      </c>
      <c r="H90" s="62" t="s">
        <v>327</v>
      </c>
      <c r="I90" s="62"/>
      <c r="J90" s="62"/>
      <c r="K90" s="62"/>
      <c r="L90" s="62"/>
    </row>
    <row r="91" customFormat="false" ht="33" hidden="false" customHeight="false" outlineLevel="0" collapsed="false">
      <c r="A91" s="62"/>
      <c r="B91" s="62"/>
      <c r="C91" s="62"/>
      <c r="D91" s="62"/>
      <c r="E91" s="63" t="s">
        <v>873</v>
      </c>
      <c r="F91" s="62"/>
      <c r="G91" s="62" t="s">
        <v>775</v>
      </c>
      <c r="H91" s="62"/>
      <c r="I91" s="62"/>
      <c r="J91" s="62"/>
      <c r="K91" s="62"/>
      <c r="L91" s="62"/>
    </row>
    <row r="92" customFormat="false" ht="48.75" hidden="false" customHeight="false" outlineLevel="0" collapsed="false">
      <c r="A92" s="62"/>
      <c r="B92" s="62"/>
      <c r="C92" s="62"/>
      <c r="D92" s="62"/>
      <c r="E92" s="63" t="s">
        <v>356</v>
      </c>
      <c r="F92" s="62"/>
      <c r="G92" s="64" t="n">
        <v>40636</v>
      </c>
      <c r="H92" s="62" t="s">
        <v>883</v>
      </c>
      <c r="I92" s="62"/>
      <c r="J92" s="62"/>
      <c r="K92" s="62"/>
      <c r="L92" s="62"/>
    </row>
    <row r="93" customFormat="false" ht="33" hidden="false" customHeight="false" outlineLevel="0" collapsed="false">
      <c r="A93" s="62"/>
      <c r="B93" s="62"/>
      <c r="C93" s="62"/>
      <c r="D93" s="62"/>
      <c r="E93" s="63" t="s">
        <v>289</v>
      </c>
      <c r="F93" s="62"/>
      <c r="G93" s="62" t="s">
        <v>267</v>
      </c>
      <c r="H93" s="62" t="s">
        <v>268</v>
      </c>
      <c r="I93" s="62"/>
      <c r="J93" s="62"/>
      <c r="K93" s="62"/>
      <c r="L93" s="62"/>
    </row>
    <row r="94" customFormat="false" ht="17.25" hidden="false" customHeight="false" outlineLevel="0" collapsed="false">
      <c r="A94" s="62"/>
      <c r="B94" s="62"/>
      <c r="C94" s="62"/>
      <c r="D94" s="62"/>
      <c r="E94" s="62"/>
      <c r="F94" s="62"/>
      <c r="G94" s="63" t="s">
        <v>269</v>
      </c>
      <c r="H94" s="64" t="n">
        <v>40833</v>
      </c>
      <c r="I94" s="62"/>
      <c r="J94" s="62"/>
      <c r="K94" s="62"/>
      <c r="L94" s="62"/>
    </row>
    <row r="95" customFormat="false" ht="33" hidden="false" customHeight="false" outlineLevel="0" collapsed="false">
      <c r="A95" s="62"/>
      <c r="B95" s="62"/>
      <c r="C95" s="62"/>
      <c r="D95" s="62"/>
      <c r="E95" s="62"/>
      <c r="F95" s="62"/>
      <c r="G95" s="63" t="s">
        <v>270</v>
      </c>
      <c r="H95" s="62"/>
      <c r="I95" s="62"/>
      <c r="J95" s="62"/>
      <c r="K95" s="62"/>
      <c r="L95" s="62"/>
    </row>
    <row r="96" customFormat="false" ht="33" hidden="false" customHeight="false" outlineLevel="0" collapsed="false">
      <c r="A96" s="62"/>
      <c r="B96" s="62"/>
      <c r="C96" s="62"/>
      <c r="D96" s="62"/>
      <c r="E96" s="62"/>
      <c r="F96" s="62"/>
      <c r="G96" s="62" t="s">
        <v>267</v>
      </c>
      <c r="H96" s="62"/>
      <c r="I96" s="62"/>
      <c r="J96" s="62"/>
      <c r="K96" s="62"/>
      <c r="L96" s="62"/>
    </row>
    <row r="97" customFormat="false" ht="17.25" hidden="false" customHeight="false" outlineLevel="0" collapsed="false">
      <c r="A97" s="62"/>
      <c r="B97" s="62"/>
      <c r="C97" s="62"/>
      <c r="D97" s="62"/>
      <c r="E97" s="62"/>
      <c r="F97" s="62"/>
      <c r="G97" s="64" t="n">
        <v>40833</v>
      </c>
      <c r="H97" s="62"/>
      <c r="I97" s="62"/>
      <c r="J97" s="62"/>
      <c r="K97" s="62"/>
      <c r="L97" s="62"/>
    </row>
    <row r="98" customFormat="false" ht="33" hidden="false" customHeight="false" outlineLevel="0" collapsed="false">
      <c r="A98" s="62"/>
      <c r="B98" s="62"/>
      <c r="C98" s="62"/>
      <c r="D98" s="62"/>
      <c r="E98" s="62"/>
      <c r="F98" s="62"/>
      <c r="G98" s="62" t="s">
        <v>267</v>
      </c>
      <c r="H98" s="62"/>
      <c r="I98" s="62"/>
      <c r="J98" s="62"/>
      <c r="K98" s="62"/>
      <c r="L98" s="62"/>
    </row>
    <row r="99" customFormat="false" ht="33" hidden="false" customHeight="false" outlineLevel="0" collapsed="false">
      <c r="A99" s="62"/>
      <c r="B99" s="62"/>
      <c r="C99" s="62"/>
      <c r="D99" s="62"/>
      <c r="E99" s="62"/>
      <c r="F99" s="62"/>
      <c r="G99" s="62" t="s">
        <v>884</v>
      </c>
      <c r="H99" s="62"/>
      <c r="I99" s="62"/>
      <c r="J99" s="62"/>
      <c r="K99" s="62"/>
      <c r="L99" s="62"/>
    </row>
    <row r="100" customFormat="false" ht="33" hidden="false" customHeight="false" outlineLevel="0" collapsed="false">
      <c r="A100" s="62"/>
      <c r="B100" s="62" t="n">
        <v>49</v>
      </c>
      <c r="C100" s="62"/>
      <c r="D100" s="62"/>
      <c r="E100" s="63" t="s">
        <v>881</v>
      </c>
      <c r="F100" s="62"/>
      <c r="G100" s="62" t="s">
        <v>869</v>
      </c>
      <c r="H100" s="62"/>
      <c r="I100" s="63" t="s">
        <v>885</v>
      </c>
      <c r="J100" s="62"/>
      <c r="K100" s="62"/>
      <c r="L100" s="62"/>
    </row>
    <row r="101" customFormat="false" ht="48.75" hidden="false" customHeight="false" outlineLevel="0" collapsed="false">
      <c r="A101" s="62"/>
      <c r="B101" s="62"/>
      <c r="C101" s="62"/>
      <c r="D101" s="62"/>
      <c r="E101" s="63" t="s">
        <v>873</v>
      </c>
      <c r="F101" s="62"/>
      <c r="G101" s="62" t="s">
        <v>886</v>
      </c>
      <c r="H101" s="62" t="s">
        <v>887</v>
      </c>
      <c r="I101" s="63" t="s">
        <v>888</v>
      </c>
      <c r="J101" s="62"/>
      <c r="K101" s="62"/>
      <c r="L101" s="62"/>
    </row>
    <row r="102" customFormat="false" ht="48.75" hidden="false" customHeight="false" outlineLevel="0" collapsed="false">
      <c r="A102" s="62"/>
      <c r="B102" s="62"/>
      <c r="C102" s="62"/>
      <c r="D102" s="62"/>
      <c r="E102" s="63" t="s">
        <v>244</v>
      </c>
      <c r="F102" s="62"/>
      <c r="G102" s="62"/>
      <c r="H102" s="62"/>
      <c r="I102" s="63" t="s">
        <v>889</v>
      </c>
      <c r="J102" s="62"/>
      <c r="K102" s="62"/>
      <c r="L102" s="62"/>
    </row>
    <row r="103" customFormat="false" ht="33" hidden="false" customHeight="false" outlineLevel="0" collapsed="false">
      <c r="A103" s="62"/>
      <c r="B103" s="62"/>
      <c r="C103" s="62"/>
      <c r="D103" s="62"/>
      <c r="E103" s="63" t="s">
        <v>289</v>
      </c>
      <c r="F103" s="62"/>
      <c r="G103" s="62"/>
      <c r="H103" s="62"/>
      <c r="I103" s="62"/>
      <c r="J103" s="62"/>
      <c r="K103" s="62"/>
      <c r="L103" s="62"/>
    </row>
    <row r="104" customFormat="false" ht="17.25" hidden="false" customHeight="false" outlineLevel="0" collapsed="false">
      <c r="A104" s="62"/>
      <c r="B104" s="62"/>
      <c r="C104" s="62"/>
      <c r="D104" s="62"/>
      <c r="E104" s="63" t="s">
        <v>890</v>
      </c>
      <c r="F104" s="62"/>
      <c r="G104" s="62"/>
      <c r="H104" s="62"/>
      <c r="I104" s="62"/>
      <c r="J104" s="62"/>
      <c r="K104" s="62"/>
      <c r="L104" s="62"/>
    </row>
    <row r="105" customFormat="false" ht="33" hidden="false" customHeight="false" outlineLevel="0" collapsed="false">
      <c r="A105" s="62"/>
      <c r="B105" s="62"/>
      <c r="C105" s="62"/>
      <c r="D105" s="62"/>
      <c r="E105" s="63" t="s">
        <v>891</v>
      </c>
      <c r="F105" s="62"/>
      <c r="G105" s="62"/>
      <c r="H105" s="62"/>
      <c r="I105" s="62"/>
      <c r="J105" s="62"/>
      <c r="K105" s="62"/>
      <c r="L105" s="62"/>
    </row>
    <row r="106" customFormat="false" ht="33" hidden="false" customHeight="false" outlineLevel="0" collapsed="false">
      <c r="A106" s="62"/>
      <c r="B106" s="62"/>
      <c r="C106" s="62"/>
      <c r="D106" s="62"/>
      <c r="E106" s="63" t="s">
        <v>892</v>
      </c>
      <c r="F106" s="62"/>
      <c r="G106" s="62"/>
      <c r="H106" s="62"/>
      <c r="I106" s="62"/>
      <c r="J106" s="62"/>
      <c r="K106" s="62"/>
      <c r="L106" s="62"/>
    </row>
    <row r="107" customFormat="false" ht="17.25" hidden="false" customHeight="false" outlineLevel="0" collapsed="false">
      <c r="A107" s="62"/>
      <c r="B107" s="62"/>
      <c r="C107" s="62"/>
      <c r="D107" s="62"/>
      <c r="E107" s="63" t="s">
        <v>300</v>
      </c>
      <c r="F107" s="62"/>
      <c r="G107" s="62"/>
      <c r="H107" s="62"/>
      <c r="I107" s="62"/>
      <c r="J107" s="62"/>
      <c r="K107" s="62"/>
      <c r="L107" s="62"/>
    </row>
    <row r="108" customFormat="false" ht="17.25" hidden="false" customHeight="false" outlineLevel="0" collapsed="false">
      <c r="A108" s="62"/>
      <c r="B108" s="62"/>
      <c r="C108" s="62"/>
      <c r="D108" s="62"/>
      <c r="E108" s="63" t="s">
        <v>893</v>
      </c>
      <c r="F108" s="62"/>
      <c r="G108" s="62"/>
      <c r="H108" s="62"/>
      <c r="I108" s="62"/>
      <c r="J108" s="62"/>
      <c r="K108" s="62"/>
      <c r="L108" s="62"/>
    </row>
    <row r="109" customFormat="false" ht="48.75" hidden="false" customHeight="false" outlineLevel="0" collapsed="false">
      <c r="A109" s="62"/>
      <c r="B109" s="62"/>
      <c r="C109" s="62"/>
      <c r="D109" s="62"/>
      <c r="E109" s="63" t="s">
        <v>894</v>
      </c>
      <c r="F109" s="62"/>
      <c r="G109" s="62"/>
      <c r="H109" s="62"/>
      <c r="I109" s="62"/>
      <c r="J109" s="62"/>
      <c r="K109" s="62"/>
      <c r="L109" s="62"/>
    </row>
    <row r="110" customFormat="false" ht="17.25" hidden="false" customHeight="false" outlineLevel="0" collapsed="false">
      <c r="A110" s="62"/>
      <c r="B110" s="62"/>
      <c r="C110" s="62"/>
      <c r="D110" s="62"/>
      <c r="E110" s="63" t="s">
        <v>895</v>
      </c>
      <c r="F110" s="62"/>
      <c r="G110" s="62"/>
      <c r="H110" s="62"/>
      <c r="I110" s="62"/>
      <c r="J110" s="62"/>
      <c r="K110" s="62"/>
      <c r="L110" s="62"/>
    </row>
    <row r="111" customFormat="false" ht="17.25" hidden="false" customHeight="false" outlineLevel="0" collapsed="false">
      <c r="A111" s="62"/>
      <c r="B111" s="62"/>
      <c r="C111" s="62"/>
      <c r="D111" s="62"/>
      <c r="E111" s="63" t="s">
        <v>233</v>
      </c>
      <c r="F111" s="62"/>
      <c r="G111" s="62"/>
      <c r="H111" s="62"/>
      <c r="I111" s="62"/>
      <c r="J111" s="62"/>
      <c r="K111" s="62"/>
      <c r="L111" s="62"/>
    </row>
    <row r="112" customFormat="false" ht="33" hidden="false" customHeight="false" outlineLevel="0" collapsed="false">
      <c r="A112" s="62"/>
      <c r="B112" s="62"/>
      <c r="C112" s="62"/>
      <c r="D112" s="62"/>
      <c r="E112" s="63" t="s">
        <v>896</v>
      </c>
      <c r="F112" s="62"/>
      <c r="G112" s="62"/>
      <c r="H112" s="62"/>
      <c r="I112" s="62"/>
      <c r="J112" s="62"/>
      <c r="K112" s="62"/>
      <c r="L112" s="62"/>
    </row>
    <row r="113" customFormat="false" ht="48.75" hidden="false" customHeight="false" outlineLevel="0" collapsed="false">
      <c r="A113" s="62"/>
      <c r="B113" s="62" t="n">
        <v>50</v>
      </c>
      <c r="C113" s="62"/>
      <c r="D113" s="62"/>
      <c r="E113" s="63" t="s">
        <v>897</v>
      </c>
      <c r="F113" s="62"/>
      <c r="G113" s="62" t="s">
        <v>869</v>
      </c>
      <c r="H113" s="62"/>
      <c r="I113" s="62" t="s">
        <v>898</v>
      </c>
      <c r="J113" s="62"/>
      <c r="K113" s="62"/>
      <c r="L113" s="62"/>
    </row>
    <row r="114" customFormat="false" ht="33" hidden="false" customHeight="false" outlineLevel="0" collapsed="false">
      <c r="A114" s="62"/>
      <c r="B114" s="62"/>
      <c r="C114" s="62"/>
      <c r="D114" s="62"/>
      <c r="E114" s="63" t="s">
        <v>873</v>
      </c>
      <c r="F114" s="62"/>
      <c r="G114" s="62" t="s">
        <v>803</v>
      </c>
      <c r="H114" s="62" t="s">
        <v>265</v>
      </c>
      <c r="I114" s="63" t="s">
        <v>899</v>
      </c>
      <c r="J114" s="62"/>
      <c r="K114" s="62"/>
      <c r="L114" s="62"/>
    </row>
    <row r="115" customFormat="false" ht="33" hidden="false" customHeight="false" outlineLevel="0" collapsed="false">
      <c r="A115" s="62"/>
      <c r="B115" s="62"/>
      <c r="C115" s="62"/>
      <c r="D115" s="62"/>
      <c r="E115" s="63" t="s">
        <v>244</v>
      </c>
      <c r="F115" s="62"/>
      <c r="G115" s="62"/>
      <c r="H115" s="62"/>
      <c r="I115" s="63" t="s">
        <v>900</v>
      </c>
      <c r="J115" s="62"/>
      <c r="K115" s="62"/>
      <c r="L115" s="62"/>
    </row>
    <row r="116" customFormat="false" ht="33" hidden="false" customHeight="false" outlineLevel="0" collapsed="false">
      <c r="A116" s="62"/>
      <c r="B116" s="62"/>
      <c r="C116" s="62"/>
      <c r="D116" s="62"/>
      <c r="E116" s="63" t="s">
        <v>289</v>
      </c>
      <c r="F116" s="62"/>
      <c r="G116" s="62"/>
      <c r="H116" s="62"/>
      <c r="I116" s="62"/>
      <c r="J116" s="62"/>
      <c r="K116" s="62"/>
      <c r="L116" s="62"/>
    </row>
    <row r="117" customFormat="false" ht="17.25" hidden="false" customHeight="false" outlineLevel="0" collapsed="false">
      <c r="A117" s="62"/>
      <c r="B117" s="62"/>
      <c r="C117" s="62"/>
      <c r="D117" s="62"/>
      <c r="E117" s="63" t="s">
        <v>890</v>
      </c>
      <c r="F117" s="62"/>
      <c r="G117" s="62"/>
      <c r="H117" s="62"/>
      <c r="I117" s="62"/>
      <c r="J117" s="62"/>
      <c r="K117" s="62"/>
      <c r="L117" s="62"/>
    </row>
    <row r="118" customFormat="false" ht="33" hidden="false" customHeight="false" outlineLevel="0" collapsed="false">
      <c r="A118" s="62"/>
      <c r="B118" s="62"/>
      <c r="C118" s="62"/>
      <c r="D118" s="62"/>
      <c r="E118" s="63" t="s">
        <v>891</v>
      </c>
      <c r="F118" s="62"/>
      <c r="G118" s="62"/>
      <c r="H118" s="62"/>
      <c r="I118" s="62"/>
      <c r="J118" s="62"/>
      <c r="K118" s="62"/>
      <c r="L118" s="62"/>
    </row>
    <row r="119" customFormat="false" ht="33" hidden="false" customHeight="false" outlineLevel="0" collapsed="false">
      <c r="A119" s="62"/>
      <c r="B119" s="62"/>
      <c r="C119" s="62"/>
      <c r="D119" s="62"/>
      <c r="E119" s="63" t="s">
        <v>892</v>
      </c>
      <c r="F119" s="62"/>
      <c r="G119" s="62"/>
      <c r="H119" s="62"/>
      <c r="I119" s="62"/>
      <c r="J119" s="62"/>
      <c r="K119" s="62"/>
      <c r="L119" s="62"/>
    </row>
    <row r="120" customFormat="false" ht="17.25" hidden="false" customHeight="false" outlineLevel="0" collapsed="false">
      <c r="A120" s="62"/>
      <c r="B120" s="62"/>
      <c r="C120" s="62"/>
      <c r="D120" s="62"/>
      <c r="E120" s="63" t="s">
        <v>300</v>
      </c>
      <c r="F120" s="62"/>
      <c r="G120" s="62"/>
      <c r="H120" s="62"/>
      <c r="I120" s="62"/>
      <c r="J120" s="62"/>
      <c r="K120" s="62"/>
      <c r="L120" s="62"/>
    </row>
    <row r="121" customFormat="false" ht="17.25" hidden="false" customHeight="false" outlineLevel="0" collapsed="false">
      <c r="A121" s="62"/>
      <c r="B121" s="62"/>
      <c r="C121" s="62"/>
      <c r="D121" s="62"/>
      <c r="E121" s="63" t="s">
        <v>893</v>
      </c>
      <c r="F121" s="62"/>
      <c r="G121" s="62"/>
      <c r="H121" s="62"/>
      <c r="I121" s="62"/>
      <c r="J121" s="62"/>
      <c r="K121" s="62"/>
      <c r="L121" s="62"/>
    </row>
    <row r="122" customFormat="false" ht="33" hidden="false" customHeight="false" outlineLevel="0" collapsed="false">
      <c r="A122" s="62"/>
      <c r="B122" s="62"/>
      <c r="C122" s="62"/>
      <c r="D122" s="62"/>
      <c r="E122" s="63" t="s">
        <v>901</v>
      </c>
      <c r="F122" s="62"/>
      <c r="G122" s="62"/>
      <c r="H122" s="62"/>
      <c r="I122" s="62"/>
      <c r="J122" s="62"/>
      <c r="K122" s="62"/>
      <c r="L122" s="62"/>
    </row>
    <row r="123" customFormat="false" ht="33" hidden="false" customHeight="false" outlineLevel="0" collapsed="false">
      <c r="A123" s="62"/>
      <c r="B123" s="62"/>
      <c r="C123" s="62"/>
      <c r="D123" s="62"/>
      <c r="E123" s="63" t="s">
        <v>902</v>
      </c>
      <c r="F123" s="62"/>
      <c r="G123" s="62"/>
      <c r="H123" s="62"/>
      <c r="I123" s="62"/>
      <c r="J123" s="62"/>
      <c r="K123" s="62"/>
      <c r="L123" s="62"/>
    </row>
    <row r="124" customFormat="false" ht="33" hidden="false" customHeight="false" outlineLevel="0" collapsed="false">
      <c r="A124" s="62"/>
      <c r="B124" s="62"/>
      <c r="C124" s="62"/>
      <c r="D124" s="62"/>
      <c r="E124" s="63" t="s">
        <v>903</v>
      </c>
      <c r="F124" s="62"/>
      <c r="G124" s="62"/>
      <c r="H124" s="62"/>
      <c r="I124" s="62"/>
      <c r="J124" s="62"/>
      <c r="K124" s="62"/>
      <c r="L124" s="62"/>
    </row>
    <row r="125" customFormat="false" ht="17.25" hidden="false" customHeight="false" outlineLevel="0" collapsed="false">
      <c r="A125" s="62"/>
      <c r="B125" s="62"/>
      <c r="C125" s="62"/>
      <c r="D125" s="62"/>
      <c r="E125" s="63" t="s">
        <v>233</v>
      </c>
      <c r="F125" s="62"/>
      <c r="G125" s="62"/>
      <c r="H125" s="62"/>
      <c r="I125" s="62"/>
      <c r="J125" s="62"/>
      <c r="K125" s="62"/>
      <c r="L125" s="62"/>
    </row>
    <row r="126" customFormat="false" ht="33" hidden="false" customHeight="false" outlineLevel="0" collapsed="false">
      <c r="A126" s="62"/>
      <c r="B126" s="62"/>
      <c r="C126" s="62"/>
      <c r="D126" s="62"/>
      <c r="E126" s="63" t="s">
        <v>896</v>
      </c>
      <c r="F126" s="62"/>
      <c r="G126" s="62"/>
      <c r="H126" s="62"/>
      <c r="I126" s="62"/>
      <c r="J126" s="62"/>
      <c r="K126" s="62"/>
      <c r="L126" s="62"/>
    </row>
    <row r="127" customFormat="false" ht="33" hidden="false" customHeight="false" outlineLevel="0" collapsed="false">
      <c r="A127" s="62"/>
      <c r="B127" s="62" t="n">
        <v>51</v>
      </c>
      <c r="C127" s="62"/>
      <c r="D127" s="62"/>
      <c r="E127" s="63" t="s">
        <v>877</v>
      </c>
      <c r="F127" s="62"/>
      <c r="G127" s="62" t="s">
        <v>904</v>
      </c>
      <c r="H127" s="62"/>
      <c r="I127" s="62"/>
      <c r="J127" s="62"/>
      <c r="K127" s="62"/>
      <c r="L127" s="62"/>
    </row>
    <row r="128" customFormat="false" ht="33" hidden="false" customHeight="false" outlineLevel="0" collapsed="false">
      <c r="A128" s="62"/>
      <c r="B128" s="62"/>
      <c r="C128" s="62"/>
      <c r="D128" s="62"/>
      <c r="E128" s="63" t="s">
        <v>897</v>
      </c>
      <c r="F128" s="62"/>
      <c r="G128" s="62" t="s">
        <v>803</v>
      </c>
      <c r="H128" s="62" t="s">
        <v>905</v>
      </c>
      <c r="I128" s="62"/>
      <c r="J128" s="62"/>
      <c r="K128" s="62"/>
      <c r="L128" s="62"/>
    </row>
    <row r="129" customFormat="false" ht="33" hidden="false" customHeight="false" outlineLevel="0" collapsed="false">
      <c r="A129" s="62"/>
      <c r="B129" s="62"/>
      <c r="C129" s="62"/>
      <c r="D129" s="62"/>
      <c r="E129" s="63" t="s">
        <v>873</v>
      </c>
      <c r="F129" s="62"/>
      <c r="G129" s="62" t="s">
        <v>906</v>
      </c>
      <c r="H129" s="62" t="s">
        <v>907</v>
      </c>
      <c r="I129" s="62"/>
      <c r="J129" s="62"/>
      <c r="K129" s="62"/>
      <c r="L129" s="62"/>
    </row>
    <row r="130" customFormat="false" ht="48.75" hidden="false" customHeight="false" outlineLevel="0" collapsed="false">
      <c r="A130" s="62"/>
      <c r="B130" s="62"/>
      <c r="C130" s="62"/>
      <c r="D130" s="62"/>
      <c r="E130" s="63" t="s">
        <v>356</v>
      </c>
      <c r="F130" s="62"/>
      <c r="G130" s="62" t="s">
        <v>908</v>
      </c>
      <c r="H130" s="62"/>
      <c r="I130" s="62"/>
      <c r="J130" s="62"/>
      <c r="K130" s="62"/>
      <c r="L130" s="62"/>
    </row>
    <row r="131" customFormat="false" ht="33" hidden="false" customHeight="false" outlineLevel="0" collapsed="false">
      <c r="A131" s="62"/>
      <c r="B131" s="62"/>
      <c r="C131" s="62"/>
      <c r="D131" s="62"/>
      <c r="E131" s="63" t="s">
        <v>289</v>
      </c>
      <c r="F131" s="62"/>
      <c r="G131" s="62" t="n">
        <v>5</v>
      </c>
      <c r="H131" s="62" t="s">
        <v>771</v>
      </c>
      <c r="I131" s="62"/>
      <c r="J131" s="62"/>
      <c r="K131" s="62"/>
      <c r="L131" s="62"/>
    </row>
    <row r="132" customFormat="false" ht="33" hidden="false" customHeight="false" outlineLevel="0" collapsed="false">
      <c r="A132" s="62"/>
      <c r="B132" s="62"/>
      <c r="C132" s="62"/>
      <c r="D132" s="62"/>
      <c r="E132" s="63" t="s">
        <v>909</v>
      </c>
      <c r="F132" s="62"/>
      <c r="G132" s="62" t="s">
        <v>267</v>
      </c>
      <c r="H132" s="62" t="s">
        <v>268</v>
      </c>
      <c r="I132" s="62"/>
      <c r="J132" s="62"/>
      <c r="K132" s="62"/>
      <c r="L132" s="62"/>
    </row>
    <row r="133" customFormat="false" ht="33" hidden="false" customHeight="false" outlineLevel="0" collapsed="false">
      <c r="A133" s="62"/>
      <c r="B133" s="62"/>
      <c r="C133" s="62"/>
      <c r="D133" s="62"/>
      <c r="E133" s="63" t="s">
        <v>910</v>
      </c>
      <c r="F133" s="62"/>
      <c r="G133" s="63" t="s">
        <v>269</v>
      </c>
      <c r="H133" s="62" t="s">
        <v>911</v>
      </c>
      <c r="I133" s="62"/>
      <c r="J133" s="62"/>
      <c r="K133" s="62"/>
      <c r="L133" s="62"/>
    </row>
    <row r="134" customFormat="false" ht="33" hidden="false" customHeight="false" outlineLevel="0" collapsed="false">
      <c r="A134" s="62"/>
      <c r="B134" s="62"/>
      <c r="C134" s="62"/>
      <c r="D134" s="62"/>
      <c r="E134" s="63" t="s">
        <v>912</v>
      </c>
      <c r="F134" s="62"/>
      <c r="G134" s="63" t="s">
        <v>270</v>
      </c>
      <c r="H134" s="62"/>
      <c r="I134" s="62"/>
      <c r="J134" s="62"/>
      <c r="K134" s="62"/>
      <c r="L134" s="62"/>
    </row>
    <row r="135" customFormat="false" ht="33" hidden="false" customHeight="false" outlineLevel="0" collapsed="false">
      <c r="A135" s="62"/>
      <c r="B135" s="62"/>
      <c r="C135" s="62"/>
      <c r="D135" s="62"/>
      <c r="E135" s="63" t="s">
        <v>913</v>
      </c>
      <c r="F135" s="62"/>
      <c r="G135" s="62" t="s">
        <v>267</v>
      </c>
      <c r="H135" s="62"/>
      <c r="I135" s="62"/>
      <c r="J135" s="62"/>
      <c r="K135" s="62"/>
      <c r="L135" s="62"/>
    </row>
    <row r="136" customFormat="false" ht="48.75" hidden="false" customHeight="false" outlineLevel="0" collapsed="false">
      <c r="A136" s="62"/>
      <c r="B136" s="62"/>
      <c r="C136" s="62"/>
      <c r="D136" s="62"/>
      <c r="E136" s="63" t="s">
        <v>914</v>
      </c>
      <c r="F136" s="62"/>
      <c r="G136" s="62" t="s">
        <v>911</v>
      </c>
      <c r="H136" s="62"/>
      <c r="I136" s="62"/>
      <c r="J136" s="62"/>
      <c r="K136" s="62"/>
      <c r="L136" s="62"/>
    </row>
    <row r="137" customFormat="false" ht="33" hidden="false" customHeight="false" outlineLevel="0" collapsed="false">
      <c r="A137" s="62"/>
      <c r="B137" s="62"/>
      <c r="C137" s="62"/>
      <c r="D137" s="62"/>
      <c r="E137" s="63" t="s">
        <v>915</v>
      </c>
      <c r="F137" s="62"/>
      <c r="G137" s="62" t="s">
        <v>267</v>
      </c>
      <c r="H137" s="62"/>
      <c r="I137" s="62"/>
      <c r="J137" s="62"/>
      <c r="K137" s="62"/>
      <c r="L137" s="62"/>
    </row>
    <row r="138" customFormat="false" ht="33" hidden="false" customHeight="false" outlineLevel="0" collapsed="false">
      <c r="A138" s="62"/>
      <c r="B138" s="62"/>
      <c r="C138" s="62"/>
      <c r="D138" s="62"/>
      <c r="E138" s="63" t="s">
        <v>916</v>
      </c>
      <c r="F138" s="62"/>
      <c r="G138" s="62" t="s">
        <v>905</v>
      </c>
      <c r="H138" s="62"/>
      <c r="I138" s="62"/>
      <c r="J138" s="62"/>
      <c r="K138" s="62"/>
      <c r="L138" s="62"/>
    </row>
    <row r="139" customFormat="false" ht="33" hidden="false" customHeight="false" outlineLevel="0" collapsed="false">
      <c r="A139" s="62"/>
      <c r="B139" s="62"/>
      <c r="C139" s="62"/>
      <c r="D139" s="62"/>
      <c r="E139" s="63" t="s">
        <v>917</v>
      </c>
      <c r="F139" s="62"/>
      <c r="G139" s="62" t="s">
        <v>918</v>
      </c>
      <c r="H139" s="62"/>
      <c r="I139" s="62"/>
      <c r="J139" s="62"/>
      <c r="K139" s="62"/>
      <c r="L139" s="62"/>
    </row>
    <row r="140" customFormat="false" ht="33" hidden="false" customHeight="false" outlineLevel="0" collapsed="false">
      <c r="A140" s="62"/>
      <c r="B140" s="62"/>
      <c r="C140" s="62"/>
      <c r="D140" s="62"/>
      <c r="E140" s="63" t="s">
        <v>919</v>
      </c>
      <c r="F140" s="62"/>
      <c r="G140" s="62"/>
      <c r="H140" s="62"/>
      <c r="I140" s="62"/>
      <c r="J140" s="62"/>
      <c r="K140" s="62"/>
      <c r="L140" s="62"/>
    </row>
    <row r="141" customFormat="false" ht="17.25" hidden="false" customHeight="false" outlineLevel="0" collapsed="false">
      <c r="A141" s="62"/>
      <c r="B141" s="62"/>
      <c r="C141" s="62"/>
      <c r="D141" s="62"/>
      <c r="E141" s="63" t="s">
        <v>920</v>
      </c>
      <c r="F141" s="62"/>
      <c r="G141" s="62"/>
      <c r="H141" s="62"/>
      <c r="I141" s="62"/>
      <c r="J141" s="62"/>
      <c r="K141" s="62"/>
      <c r="L141" s="62"/>
    </row>
    <row r="142" customFormat="false" ht="33" hidden="false" customHeight="false" outlineLevel="0" collapsed="false">
      <c r="A142" s="62"/>
      <c r="B142" s="62"/>
      <c r="C142" s="62"/>
      <c r="D142" s="62"/>
      <c r="E142" s="63" t="s">
        <v>919</v>
      </c>
      <c r="F142" s="62"/>
      <c r="G142" s="62"/>
      <c r="H142" s="62"/>
      <c r="I142" s="62"/>
      <c r="J142" s="62"/>
      <c r="K142" s="62"/>
      <c r="L142" s="62"/>
    </row>
    <row r="143" customFormat="false" ht="17.25" hidden="false" customHeight="false" outlineLevel="0" collapsed="false">
      <c r="A143" s="62"/>
      <c r="B143" s="62"/>
      <c r="C143" s="62"/>
      <c r="D143" s="62"/>
      <c r="E143" s="63" t="s">
        <v>233</v>
      </c>
      <c r="F143" s="62"/>
      <c r="G143" s="62"/>
      <c r="H143" s="62"/>
      <c r="I143" s="62"/>
      <c r="J143" s="62"/>
      <c r="K143" s="62"/>
      <c r="L143" s="62"/>
    </row>
    <row r="144" customFormat="false" ht="33" hidden="false" customHeight="false" outlineLevel="0" collapsed="false">
      <c r="A144" s="62"/>
      <c r="B144" s="62" t="n">
        <v>52</v>
      </c>
      <c r="C144" s="62"/>
      <c r="D144" s="62"/>
      <c r="E144" s="63" t="s">
        <v>877</v>
      </c>
      <c r="F144" s="62"/>
      <c r="G144" s="62" t="s">
        <v>767</v>
      </c>
      <c r="H144" s="62"/>
      <c r="I144" s="62"/>
      <c r="J144" s="62"/>
      <c r="K144" s="62"/>
      <c r="L144" s="62"/>
    </row>
    <row r="145" customFormat="false" ht="33" hidden="false" customHeight="false" outlineLevel="0" collapsed="false">
      <c r="A145" s="62"/>
      <c r="B145" s="62"/>
      <c r="C145" s="62"/>
      <c r="D145" s="62"/>
      <c r="E145" s="63" t="s">
        <v>897</v>
      </c>
      <c r="F145" s="62"/>
      <c r="G145" s="62" t="n">
        <v>9</v>
      </c>
      <c r="H145" s="62" t="s">
        <v>771</v>
      </c>
      <c r="I145" s="62"/>
      <c r="J145" s="62"/>
      <c r="K145" s="62"/>
      <c r="L145" s="62"/>
    </row>
    <row r="146" customFormat="false" ht="33" hidden="false" customHeight="false" outlineLevel="0" collapsed="false">
      <c r="A146" s="62"/>
      <c r="B146" s="62"/>
      <c r="C146" s="62"/>
      <c r="D146" s="62"/>
      <c r="E146" s="63" t="s">
        <v>873</v>
      </c>
      <c r="F146" s="62"/>
      <c r="G146" s="64" t="n">
        <v>40878</v>
      </c>
      <c r="H146" s="62" t="s">
        <v>921</v>
      </c>
      <c r="I146" s="62"/>
      <c r="J146" s="62"/>
      <c r="K146" s="62"/>
      <c r="L146" s="62"/>
    </row>
    <row r="147" customFormat="false" ht="48.75" hidden="false" customHeight="false" outlineLevel="0" collapsed="false">
      <c r="A147" s="62"/>
      <c r="B147" s="62"/>
      <c r="C147" s="62"/>
      <c r="D147" s="62"/>
      <c r="E147" s="63" t="s">
        <v>356</v>
      </c>
      <c r="F147" s="62"/>
      <c r="G147" s="64" t="n">
        <v>40879</v>
      </c>
      <c r="H147" s="62" t="s">
        <v>922</v>
      </c>
      <c r="I147" s="62"/>
      <c r="J147" s="62"/>
      <c r="K147" s="62"/>
      <c r="L147" s="62"/>
    </row>
    <row r="148" customFormat="false" ht="33" hidden="false" customHeight="false" outlineLevel="0" collapsed="false">
      <c r="A148" s="62"/>
      <c r="B148" s="62"/>
      <c r="C148" s="62"/>
      <c r="D148" s="62"/>
      <c r="E148" s="63" t="s">
        <v>289</v>
      </c>
      <c r="F148" s="62"/>
      <c r="G148" s="62" t="s">
        <v>631</v>
      </c>
      <c r="H148" s="62" t="s">
        <v>922</v>
      </c>
      <c r="I148" s="62"/>
      <c r="J148" s="62"/>
      <c r="K148" s="62"/>
      <c r="L148" s="62"/>
    </row>
    <row r="149" customFormat="false" ht="33" hidden="false" customHeight="false" outlineLevel="0" collapsed="false">
      <c r="A149" s="62"/>
      <c r="B149" s="62"/>
      <c r="C149" s="62"/>
      <c r="D149" s="62"/>
      <c r="E149" s="63" t="s">
        <v>909</v>
      </c>
      <c r="F149" s="62"/>
      <c r="G149" s="62" t="s">
        <v>730</v>
      </c>
      <c r="H149" s="62" t="s">
        <v>921</v>
      </c>
      <c r="I149" s="62"/>
      <c r="J149" s="62"/>
      <c r="K149" s="62"/>
      <c r="L149" s="62"/>
    </row>
    <row r="150" customFormat="false" ht="33" hidden="false" customHeight="false" outlineLevel="0" collapsed="false">
      <c r="A150" s="62"/>
      <c r="B150" s="62"/>
      <c r="C150" s="62"/>
      <c r="D150" s="62"/>
      <c r="E150" s="63" t="s">
        <v>923</v>
      </c>
      <c r="F150" s="62"/>
      <c r="G150" s="62" t="s">
        <v>267</v>
      </c>
      <c r="H150" s="62" t="s">
        <v>268</v>
      </c>
      <c r="I150" s="62"/>
      <c r="J150" s="62"/>
      <c r="K150" s="62"/>
      <c r="L150" s="62"/>
    </row>
    <row r="151" customFormat="false" ht="33" hidden="false" customHeight="false" outlineLevel="0" collapsed="false">
      <c r="A151" s="62"/>
      <c r="B151" s="62"/>
      <c r="C151" s="62"/>
      <c r="D151" s="62"/>
      <c r="E151" s="63" t="s">
        <v>924</v>
      </c>
      <c r="F151" s="62"/>
      <c r="G151" s="63" t="s">
        <v>278</v>
      </c>
      <c r="H151" s="62" t="s">
        <v>925</v>
      </c>
      <c r="I151" s="62"/>
      <c r="J151" s="62"/>
      <c r="K151" s="62"/>
      <c r="L151" s="62"/>
    </row>
    <row r="152" customFormat="false" ht="48.75" hidden="false" customHeight="false" outlineLevel="0" collapsed="false">
      <c r="A152" s="62"/>
      <c r="B152" s="62"/>
      <c r="C152" s="62"/>
      <c r="D152" s="62"/>
      <c r="E152" s="63" t="s">
        <v>926</v>
      </c>
      <c r="F152" s="62"/>
      <c r="G152" s="63" t="s">
        <v>270</v>
      </c>
      <c r="H152" s="62"/>
      <c r="I152" s="62"/>
      <c r="J152" s="62"/>
      <c r="K152" s="62"/>
      <c r="L152" s="62"/>
    </row>
    <row r="153" customFormat="false" ht="33" hidden="false" customHeight="false" outlineLevel="0" collapsed="false">
      <c r="A153" s="62"/>
      <c r="B153" s="62"/>
      <c r="C153" s="62"/>
      <c r="D153" s="62"/>
      <c r="E153" s="63" t="s">
        <v>927</v>
      </c>
      <c r="F153" s="62"/>
      <c r="G153" s="62" t="s">
        <v>267</v>
      </c>
      <c r="H153" s="62"/>
      <c r="I153" s="62"/>
      <c r="J153" s="62"/>
      <c r="K153" s="62"/>
      <c r="L153" s="62"/>
    </row>
    <row r="154" customFormat="false" ht="48.75" hidden="false" customHeight="false" outlineLevel="0" collapsed="false">
      <c r="A154" s="62"/>
      <c r="B154" s="62"/>
      <c r="C154" s="62"/>
      <c r="D154" s="62"/>
      <c r="E154" s="63" t="s">
        <v>356</v>
      </c>
      <c r="F154" s="62"/>
      <c r="G154" s="62" t="s">
        <v>925</v>
      </c>
      <c r="H154" s="62"/>
      <c r="I154" s="62"/>
      <c r="J154" s="62"/>
      <c r="K154" s="62"/>
      <c r="L154" s="62"/>
    </row>
    <row r="155" customFormat="false" ht="33" hidden="false" customHeight="false" outlineLevel="0" collapsed="false">
      <c r="A155" s="62"/>
      <c r="B155" s="62"/>
      <c r="C155" s="62"/>
      <c r="D155" s="62"/>
      <c r="E155" s="62" t="s">
        <v>330</v>
      </c>
      <c r="F155" s="62"/>
      <c r="G155" s="62" t="s">
        <v>267</v>
      </c>
      <c r="H155" s="62"/>
      <c r="I155" s="62"/>
      <c r="J155" s="62"/>
      <c r="K155" s="62"/>
      <c r="L155" s="62"/>
    </row>
    <row r="156" customFormat="false" ht="33" hidden="false" customHeight="false" outlineLevel="0" collapsed="false">
      <c r="A156" s="62"/>
      <c r="B156" s="62"/>
      <c r="C156" s="62"/>
      <c r="D156" s="62"/>
      <c r="E156" s="63" t="s">
        <v>919</v>
      </c>
      <c r="F156" s="62"/>
      <c r="G156" s="62" t="s">
        <v>928</v>
      </c>
      <c r="H156" s="62"/>
      <c r="I156" s="62"/>
      <c r="J156" s="62"/>
      <c r="K156" s="62"/>
      <c r="L156" s="62"/>
    </row>
    <row r="157" customFormat="false" ht="33" hidden="false" customHeight="false" outlineLevel="0" collapsed="false">
      <c r="A157" s="62"/>
      <c r="B157" s="62"/>
      <c r="C157" s="62"/>
      <c r="D157" s="62"/>
      <c r="E157" s="63" t="s">
        <v>929</v>
      </c>
      <c r="F157" s="62"/>
      <c r="G157" s="62"/>
      <c r="H157" s="62"/>
      <c r="I157" s="62"/>
      <c r="J157" s="62"/>
      <c r="K157" s="62"/>
      <c r="L157" s="62"/>
    </row>
    <row r="158" customFormat="false" ht="48.75" hidden="false" customHeight="false" outlineLevel="0" collapsed="false">
      <c r="A158" s="62"/>
      <c r="B158" s="62"/>
      <c r="C158" s="62"/>
      <c r="D158" s="62"/>
      <c r="E158" s="63" t="s">
        <v>930</v>
      </c>
      <c r="F158" s="62"/>
      <c r="G158" s="62"/>
      <c r="H158" s="62"/>
      <c r="I158" s="62"/>
      <c r="J158" s="62"/>
      <c r="K158" s="62"/>
      <c r="L158" s="62"/>
    </row>
    <row r="159" customFormat="false" ht="33" hidden="false" customHeight="false" outlineLevel="0" collapsed="false">
      <c r="A159" s="62"/>
      <c r="B159" s="62"/>
      <c r="C159" s="62"/>
      <c r="D159" s="62"/>
      <c r="E159" s="63" t="s">
        <v>931</v>
      </c>
      <c r="F159" s="62"/>
      <c r="G159" s="62"/>
      <c r="H159" s="62"/>
      <c r="I159" s="62"/>
      <c r="J159" s="62"/>
      <c r="K159" s="62"/>
      <c r="L159" s="62"/>
    </row>
    <row r="160" customFormat="false" ht="33" hidden="false" customHeight="false" outlineLevel="0" collapsed="false">
      <c r="A160" s="62"/>
      <c r="B160" s="62"/>
      <c r="C160" s="62"/>
      <c r="D160" s="62"/>
      <c r="E160" s="63" t="s">
        <v>932</v>
      </c>
      <c r="F160" s="62"/>
      <c r="G160" s="62"/>
      <c r="H160" s="62"/>
      <c r="I160" s="62"/>
      <c r="J160" s="62"/>
      <c r="K160" s="62"/>
      <c r="L160" s="62"/>
    </row>
    <row r="161" customFormat="false" ht="33" hidden="false" customHeight="false" outlineLevel="0" collapsed="false">
      <c r="A161" s="62"/>
      <c r="B161" s="62"/>
      <c r="C161" s="62"/>
      <c r="D161" s="62"/>
      <c r="E161" s="63" t="s">
        <v>244</v>
      </c>
      <c r="F161" s="62"/>
      <c r="G161" s="62"/>
      <c r="H161" s="62"/>
      <c r="I161" s="62"/>
      <c r="J161" s="62"/>
      <c r="K161" s="62"/>
      <c r="L161" s="62"/>
    </row>
    <row r="162" customFormat="false" ht="17.25" hidden="false" customHeight="false" outlineLevel="0" collapsed="false">
      <c r="A162" s="62"/>
      <c r="B162" s="62"/>
      <c r="C162" s="62"/>
      <c r="D162" s="62"/>
      <c r="E162" s="62" t="s">
        <v>330</v>
      </c>
      <c r="F162" s="62"/>
      <c r="G162" s="62"/>
      <c r="H162" s="62"/>
      <c r="I162" s="62"/>
      <c r="J162" s="62"/>
      <c r="K162" s="62"/>
      <c r="L162" s="62"/>
    </row>
    <row r="163" customFormat="false" ht="33" hidden="false" customHeight="false" outlineLevel="0" collapsed="false">
      <c r="A163" s="62"/>
      <c r="B163" s="62"/>
      <c r="C163" s="62"/>
      <c r="D163" s="62"/>
      <c r="E163" s="63" t="s">
        <v>919</v>
      </c>
      <c r="F163" s="62"/>
      <c r="G163" s="62"/>
      <c r="H163" s="62"/>
      <c r="I163" s="62"/>
      <c r="J163" s="62"/>
      <c r="K163" s="62"/>
      <c r="L163" s="62"/>
    </row>
    <row r="164" customFormat="false" ht="33" hidden="false" customHeight="false" outlineLevel="0" collapsed="false">
      <c r="A164" s="62"/>
      <c r="B164" s="62"/>
      <c r="C164" s="62"/>
      <c r="D164" s="62"/>
      <c r="E164" s="63" t="s">
        <v>933</v>
      </c>
      <c r="F164" s="62"/>
      <c r="G164" s="62"/>
      <c r="H164" s="62"/>
      <c r="I164" s="62"/>
      <c r="J164" s="62"/>
      <c r="K164" s="62"/>
      <c r="L164" s="62"/>
    </row>
    <row r="165" customFormat="false" ht="48.75" hidden="false" customHeight="false" outlineLevel="0" collapsed="false">
      <c r="A165" s="62"/>
      <c r="B165" s="62"/>
      <c r="C165" s="62"/>
      <c r="D165" s="62"/>
      <c r="E165" s="63" t="s">
        <v>934</v>
      </c>
      <c r="F165" s="62"/>
      <c r="G165" s="62"/>
      <c r="H165" s="62"/>
      <c r="I165" s="62"/>
      <c r="J165" s="62"/>
      <c r="K165" s="62"/>
      <c r="L165" s="62"/>
    </row>
    <row r="166" customFormat="false" ht="33" hidden="false" customHeight="false" outlineLevel="0" collapsed="false">
      <c r="A166" s="62"/>
      <c r="B166" s="62"/>
      <c r="C166" s="62"/>
      <c r="D166" s="62"/>
      <c r="E166" s="63" t="s">
        <v>935</v>
      </c>
      <c r="F166" s="62"/>
      <c r="G166" s="62"/>
      <c r="H166" s="62"/>
      <c r="I166" s="62"/>
      <c r="J166" s="62"/>
      <c r="K166" s="62"/>
      <c r="L166" s="62"/>
    </row>
    <row r="167" customFormat="false" ht="33" hidden="false" customHeight="false" outlineLevel="0" collapsed="false">
      <c r="A167" s="62"/>
      <c r="B167" s="62"/>
      <c r="C167" s="62"/>
      <c r="D167" s="62"/>
      <c r="E167" s="63" t="s">
        <v>932</v>
      </c>
      <c r="F167" s="62"/>
      <c r="G167" s="62"/>
      <c r="H167" s="62"/>
      <c r="I167" s="62"/>
      <c r="J167" s="62"/>
      <c r="K167" s="62"/>
      <c r="L167" s="62"/>
    </row>
    <row r="168" customFormat="false" ht="33" hidden="false" customHeight="false" outlineLevel="0" collapsed="false">
      <c r="A168" s="62"/>
      <c r="B168" s="62"/>
      <c r="C168" s="62"/>
      <c r="D168" s="62"/>
      <c r="E168" s="63" t="s">
        <v>244</v>
      </c>
      <c r="F168" s="62"/>
      <c r="G168" s="62"/>
      <c r="H168" s="62"/>
      <c r="I168" s="62"/>
      <c r="J168" s="62"/>
      <c r="K168" s="62"/>
      <c r="L168" s="62"/>
    </row>
    <row r="169" customFormat="false" ht="17.25" hidden="false" customHeight="false" outlineLevel="0" collapsed="false">
      <c r="A169" s="62"/>
      <c r="B169" s="62"/>
      <c r="C169" s="62"/>
      <c r="D169" s="62"/>
      <c r="E169" s="62" t="s">
        <v>330</v>
      </c>
      <c r="F169" s="62"/>
      <c r="G169" s="62"/>
      <c r="H169" s="62"/>
      <c r="I169" s="62"/>
      <c r="J169" s="62"/>
      <c r="K169" s="62"/>
      <c r="L169" s="62"/>
    </row>
    <row r="170" customFormat="false" ht="33" hidden="false" customHeight="false" outlineLevel="0" collapsed="false">
      <c r="A170" s="62"/>
      <c r="B170" s="62"/>
      <c r="C170" s="62"/>
      <c r="D170" s="62"/>
      <c r="E170" s="63" t="s">
        <v>919</v>
      </c>
      <c r="F170" s="62"/>
      <c r="G170" s="62"/>
      <c r="H170" s="62"/>
      <c r="I170" s="62"/>
      <c r="J170" s="62"/>
      <c r="K170" s="62"/>
      <c r="L170" s="62"/>
    </row>
    <row r="171" customFormat="false" ht="17.25" hidden="false" customHeight="false" outlineLevel="0" collapsed="false">
      <c r="A171" s="62"/>
      <c r="B171" s="62"/>
      <c r="C171" s="62"/>
      <c r="D171" s="62"/>
      <c r="E171" s="63" t="s">
        <v>920</v>
      </c>
      <c r="F171" s="62"/>
      <c r="G171" s="62"/>
      <c r="H171" s="62"/>
      <c r="I171" s="62"/>
      <c r="J171" s="62"/>
      <c r="K171" s="62"/>
      <c r="L171" s="62"/>
    </row>
    <row r="172" customFormat="false" ht="33" hidden="false" customHeight="false" outlineLevel="0" collapsed="false">
      <c r="A172" s="62"/>
      <c r="B172" s="62"/>
      <c r="C172" s="62"/>
      <c r="D172" s="62"/>
      <c r="E172" s="63" t="s">
        <v>919</v>
      </c>
      <c r="F172" s="62"/>
      <c r="G172" s="62"/>
      <c r="H172" s="62"/>
      <c r="I172" s="62"/>
      <c r="J172" s="62"/>
      <c r="K172" s="62"/>
      <c r="L172" s="62"/>
    </row>
    <row r="173" customFormat="false" ht="17.25" hidden="false" customHeight="false" outlineLevel="0" collapsed="false">
      <c r="A173" s="62"/>
      <c r="B173" s="62"/>
      <c r="C173" s="62"/>
      <c r="D173" s="62"/>
      <c r="E173" s="63" t="s">
        <v>233</v>
      </c>
      <c r="F173" s="62"/>
      <c r="G173" s="62"/>
      <c r="H173" s="62"/>
      <c r="I173" s="62"/>
      <c r="J173" s="62"/>
      <c r="K173" s="62"/>
      <c r="L173" s="62"/>
    </row>
    <row r="174" customFormat="false" ht="33" hidden="false" customHeight="false" outlineLevel="0" collapsed="false">
      <c r="A174" s="62"/>
      <c r="B174" s="62" t="n">
        <v>53</v>
      </c>
      <c r="C174" s="62"/>
      <c r="D174" s="62"/>
      <c r="E174" s="63" t="s">
        <v>881</v>
      </c>
      <c r="F174" s="62"/>
      <c r="G174" s="62" t="s">
        <v>936</v>
      </c>
      <c r="H174" s="62"/>
      <c r="I174" s="62"/>
      <c r="J174" s="62"/>
      <c r="K174" s="62"/>
      <c r="L174" s="63" t="s">
        <v>937</v>
      </c>
    </row>
    <row r="175" customFormat="false" ht="48.75" hidden="false" customHeight="false" outlineLevel="0" collapsed="false">
      <c r="A175" s="62"/>
      <c r="B175" s="62"/>
      <c r="C175" s="62"/>
      <c r="D175" s="62"/>
      <c r="E175" s="63" t="s">
        <v>873</v>
      </c>
      <c r="F175" s="62"/>
      <c r="G175" s="62" t="n">
        <v>21</v>
      </c>
      <c r="H175" s="62" t="s">
        <v>938</v>
      </c>
      <c r="I175" s="62"/>
      <c r="J175" s="62"/>
      <c r="K175" s="62"/>
      <c r="L175" s="62" t="s">
        <v>939</v>
      </c>
    </row>
    <row r="176" customFormat="false" ht="33" hidden="false" customHeight="false" outlineLevel="0" collapsed="false">
      <c r="A176" s="62"/>
      <c r="B176" s="62"/>
      <c r="C176" s="62"/>
      <c r="D176" s="62"/>
      <c r="E176" s="63" t="s">
        <v>244</v>
      </c>
      <c r="F176" s="62"/>
      <c r="G176" s="62" t="s">
        <v>767</v>
      </c>
      <c r="H176" s="62"/>
      <c r="I176" s="62"/>
      <c r="J176" s="62"/>
      <c r="K176" s="62"/>
      <c r="L176" s="63" t="s">
        <v>940</v>
      </c>
    </row>
    <row r="177" customFormat="false" ht="33" hidden="false" customHeight="false" outlineLevel="0" collapsed="false">
      <c r="A177" s="62"/>
      <c r="B177" s="62"/>
      <c r="C177" s="62"/>
      <c r="D177" s="62"/>
      <c r="E177" s="63" t="s">
        <v>289</v>
      </c>
      <c r="F177" s="62"/>
      <c r="G177" s="64" t="n">
        <v>40544</v>
      </c>
      <c r="H177" s="62" t="s">
        <v>804</v>
      </c>
      <c r="I177" s="62"/>
      <c r="J177" s="62"/>
      <c r="K177" s="62"/>
      <c r="L177" s="63" t="s">
        <v>941</v>
      </c>
    </row>
    <row r="178" customFormat="false" ht="33" hidden="false" customHeight="false" outlineLevel="0" collapsed="false">
      <c r="A178" s="62"/>
      <c r="B178" s="62"/>
      <c r="C178" s="62"/>
      <c r="D178" s="62"/>
      <c r="E178" s="63" t="s">
        <v>909</v>
      </c>
      <c r="F178" s="62"/>
      <c r="G178" s="62" t="s">
        <v>267</v>
      </c>
      <c r="H178" s="62" t="s">
        <v>268</v>
      </c>
      <c r="I178" s="62"/>
      <c r="J178" s="62"/>
      <c r="K178" s="62"/>
      <c r="L178" s="63" t="s">
        <v>942</v>
      </c>
    </row>
    <row r="179" customFormat="false" ht="48.75" hidden="false" customHeight="false" outlineLevel="0" collapsed="false">
      <c r="A179" s="62"/>
      <c r="B179" s="62"/>
      <c r="C179" s="62"/>
      <c r="D179" s="62"/>
      <c r="E179" s="63" t="s">
        <v>943</v>
      </c>
      <c r="F179" s="62"/>
      <c r="G179" s="63" t="s">
        <v>320</v>
      </c>
      <c r="H179" s="64" t="n">
        <v>40805</v>
      </c>
      <c r="I179" s="62"/>
      <c r="J179" s="62"/>
      <c r="K179" s="62"/>
      <c r="L179" s="63" t="s">
        <v>944</v>
      </c>
    </row>
    <row r="180" customFormat="false" ht="48.75" hidden="false" customHeight="false" outlineLevel="0" collapsed="false">
      <c r="A180" s="62"/>
      <c r="B180" s="62"/>
      <c r="C180" s="62"/>
      <c r="D180" s="62"/>
      <c r="E180" s="63" t="s">
        <v>945</v>
      </c>
      <c r="F180" s="62"/>
      <c r="G180" s="63" t="s">
        <v>270</v>
      </c>
      <c r="H180" s="62"/>
      <c r="I180" s="62"/>
      <c r="J180" s="62"/>
      <c r="K180" s="62"/>
      <c r="L180" s="62" t="s">
        <v>946</v>
      </c>
    </row>
    <row r="181" customFormat="false" ht="48.75" hidden="false" customHeight="false" outlineLevel="0" collapsed="false">
      <c r="A181" s="62"/>
      <c r="B181" s="62"/>
      <c r="C181" s="62"/>
      <c r="D181" s="62"/>
      <c r="E181" s="63" t="s">
        <v>947</v>
      </c>
      <c r="F181" s="62"/>
      <c r="G181" s="62" t="s">
        <v>267</v>
      </c>
      <c r="H181" s="62"/>
      <c r="I181" s="62"/>
      <c r="J181" s="62"/>
      <c r="K181" s="62"/>
      <c r="L181" s="62" t="s">
        <v>948</v>
      </c>
    </row>
    <row r="182" customFormat="false" ht="48.75" hidden="false" customHeight="false" outlineLevel="0" collapsed="false">
      <c r="A182" s="62"/>
      <c r="B182" s="62"/>
      <c r="C182" s="62"/>
      <c r="D182" s="62"/>
      <c r="E182" s="63" t="s">
        <v>949</v>
      </c>
      <c r="F182" s="62"/>
      <c r="G182" s="64" t="n">
        <v>40805</v>
      </c>
      <c r="H182" s="62"/>
      <c r="I182" s="62"/>
      <c r="J182" s="62"/>
      <c r="K182" s="62"/>
      <c r="L182" s="63" t="s">
        <v>950</v>
      </c>
    </row>
    <row r="183" customFormat="false" ht="33" hidden="false" customHeight="false" outlineLevel="0" collapsed="false">
      <c r="A183" s="62"/>
      <c r="B183" s="62"/>
      <c r="C183" s="62"/>
      <c r="D183" s="62"/>
      <c r="E183" s="63" t="s">
        <v>951</v>
      </c>
      <c r="F183" s="62"/>
      <c r="G183" s="62" t="s">
        <v>267</v>
      </c>
      <c r="H183" s="62"/>
      <c r="I183" s="62"/>
      <c r="J183" s="62"/>
      <c r="K183" s="62"/>
      <c r="L183" s="62" t="s">
        <v>952</v>
      </c>
    </row>
    <row r="184" customFormat="false" ht="33" hidden="false" customHeight="false" outlineLevel="0" collapsed="false">
      <c r="A184" s="62"/>
      <c r="B184" s="62"/>
      <c r="C184" s="62"/>
      <c r="D184" s="62"/>
      <c r="E184" s="62"/>
      <c r="F184" s="62"/>
      <c r="G184" s="62" t="s">
        <v>953</v>
      </c>
      <c r="H184" s="62"/>
      <c r="I184" s="62"/>
      <c r="J184" s="62"/>
      <c r="K184" s="62"/>
      <c r="L184" s="63" t="s">
        <v>954</v>
      </c>
    </row>
    <row r="185" customFormat="false" ht="33" hidden="false" customHeight="false" outlineLevel="0" collapsed="false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 t="s">
        <v>955</v>
      </c>
    </row>
    <row r="186" customFormat="false" ht="17.25" hidden="false" customHeight="false" outlineLevel="0" collapsed="false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3" t="s">
        <v>956</v>
      </c>
    </row>
    <row r="187" customFormat="false" ht="33" hidden="false" customHeight="false" outlineLevel="0" collapsed="false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 t="s">
        <v>957</v>
      </c>
    </row>
    <row r="188" customFormat="false" ht="17.25" hidden="false" customHeight="false" outlineLevel="0" collapsed="false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 t="s">
        <v>958</v>
      </c>
    </row>
    <row r="189" customFormat="false" ht="33" hidden="false" customHeight="false" outlineLevel="0" collapsed="false">
      <c r="A189" s="62"/>
      <c r="B189" s="62" t="n">
        <v>54</v>
      </c>
      <c r="C189" s="62"/>
      <c r="D189" s="62"/>
      <c r="E189" s="63" t="s">
        <v>881</v>
      </c>
      <c r="F189" s="62"/>
      <c r="G189" s="62" t="s">
        <v>767</v>
      </c>
      <c r="H189" s="62"/>
      <c r="I189" s="62"/>
      <c r="J189" s="62"/>
      <c r="K189" s="62"/>
      <c r="L189" s="62"/>
    </row>
    <row r="190" customFormat="false" ht="33" hidden="false" customHeight="false" outlineLevel="0" collapsed="false">
      <c r="A190" s="62"/>
      <c r="B190" s="62"/>
      <c r="C190" s="62"/>
      <c r="D190" s="62"/>
      <c r="E190" s="63" t="s">
        <v>873</v>
      </c>
      <c r="F190" s="62"/>
      <c r="G190" s="64" t="n">
        <v>40545</v>
      </c>
      <c r="H190" s="62" t="s">
        <v>959</v>
      </c>
      <c r="I190" s="62"/>
      <c r="J190" s="62"/>
      <c r="K190" s="62"/>
      <c r="L190" s="62"/>
    </row>
    <row r="191" customFormat="false" ht="33" hidden="false" customHeight="false" outlineLevel="0" collapsed="false">
      <c r="A191" s="62"/>
      <c r="B191" s="62"/>
      <c r="C191" s="62"/>
      <c r="D191" s="62"/>
      <c r="E191" s="63" t="s">
        <v>244</v>
      </c>
      <c r="F191" s="62"/>
      <c r="G191" s="62"/>
      <c r="H191" s="62"/>
      <c r="I191" s="62"/>
      <c r="J191" s="62"/>
      <c r="K191" s="62"/>
      <c r="L191" s="62"/>
    </row>
    <row r="192" customFormat="false" ht="33" hidden="false" customHeight="false" outlineLevel="0" collapsed="false">
      <c r="A192" s="62"/>
      <c r="B192" s="62"/>
      <c r="C192" s="62"/>
      <c r="D192" s="62"/>
      <c r="E192" s="63" t="s">
        <v>289</v>
      </c>
      <c r="F192" s="62"/>
      <c r="G192" s="62"/>
      <c r="H192" s="62"/>
      <c r="I192" s="62"/>
      <c r="J192" s="62"/>
      <c r="K192" s="62"/>
      <c r="L192" s="62"/>
    </row>
    <row r="193" customFormat="false" ht="17.25" hidden="false" customHeight="false" outlineLevel="0" collapsed="false">
      <c r="A193" s="62"/>
      <c r="B193" s="62"/>
      <c r="C193" s="62"/>
      <c r="D193" s="62"/>
      <c r="E193" s="63" t="s">
        <v>909</v>
      </c>
      <c r="F193" s="62"/>
      <c r="G193" s="62"/>
      <c r="H193" s="62"/>
      <c r="I193" s="62"/>
      <c r="J193" s="62"/>
      <c r="K193" s="62"/>
      <c r="L193" s="62"/>
    </row>
    <row r="194" customFormat="false" ht="48.75" hidden="false" customHeight="false" outlineLevel="0" collapsed="false">
      <c r="A194" s="62"/>
      <c r="B194" s="62"/>
      <c r="C194" s="62"/>
      <c r="D194" s="62"/>
      <c r="E194" s="63" t="s">
        <v>960</v>
      </c>
      <c r="F194" s="62"/>
      <c r="G194" s="62"/>
      <c r="H194" s="62"/>
      <c r="I194" s="62"/>
      <c r="J194" s="62"/>
      <c r="K194" s="62"/>
      <c r="L194" s="62"/>
    </row>
    <row r="195" customFormat="false" ht="33" hidden="false" customHeight="false" outlineLevel="0" collapsed="false">
      <c r="A195" s="62"/>
      <c r="B195" s="62"/>
      <c r="C195" s="62"/>
      <c r="D195" s="62"/>
      <c r="E195" s="63" t="s">
        <v>927</v>
      </c>
      <c r="F195" s="62"/>
      <c r="G195" s="62"/>
      <c r="H195" s="62"/>
      <c r="I195" s="62"/>
      <c r="J195" s="62"/>
      <c r="K195" s="62"/>
      <c r="L195" s="62"/>
    </row>
    <row r="196" customFormat="false" ht="33" hidden="false" customHeight="false" outlineLevel="0" collapsed="false">
      <c r="A196" s="62"/>
      <c r="B196" s="62"/>
      <c r="C196" s="62"/>
      <c r="D196" s="62"/>
      <c r="E196" s="63" t="s">
        <v>932</v>
      </c>
      <c r="F196" s="62"/>
      <c r="G196" s="62"/>
      <c r="H196" s="62"/>
      <c r="I196" s="62"/>
      <c r="J196" s="62"/>
      <c r="K196" s="62"/>
      <c r="L196" s="62"/>
    </row>
    <row r="197" customFormat="false" ht="17.25" hidden="false" customHeight="false" outlineLevel="0" collapsed="false">
      <c r="A197" s="62"/>
      <c r="B197" s="62"/>
      <c r="C197" s="62"/>
      <c r="D197" s="62"/>
      <c r="E197" s="63" t="s">
        <v>233</v>
      </c>
      <c r="F197" s="62"/>
      <c r="G197" s="62"/>
      <c r="H197" s="62"/>
      <c r="I197" s="62"/>
      <c r="J197" s="62"/>
      <c r="K197" s="62"/>
      <c r="L197" s="62"/>
    </row>
    <row r="198" customFormat="false" ht="17.25" hidden="false" customHeight="false" outlineLevel="0" collapsed="false">
      <c r="A198" s="62"/>
      <c r="B198" s="62"/>
      <c r="C198" s="62"/>
      <c r="D198" s="62"/>
      <c r="E198" s="63" t="s">
        <v>951</v>
      </c>
      <c r="F198" s="62"/>
      <c r="G198" s="62"/>
      <c r="H198" s="62"/>
      <c r="I198" s="62"/>
      <c r="J198" s="62"/>
      <c r="K198" s="62"/>
      <c r="L198" s="62"/>
    </row>
    <row r="199" customFormat="false" ht="33" hidden="false" customHeight="false" outlineLevel="0" collapsed="false">
      <c r="A199" s="62"/>
      <c r="B199" s="62" t="n">
        <v>55</v>
      </c>
      <c r="C199" s="62"/>
      <c r="D199" s="62"/>
      <c r="E199" s="63" t="s">
        <v>881</v>
      </c>
      <c r="F199" s="62"/>
      <c r="G199" s="62" t="s">
        <v>908</v>
      </c>
      <c r="H199" s="62"/>
      <c r="I199" s="62"/>
      <c r="J199" s="62"/>
      <c r="K199" s="62"/>
      <c r="L199" s="62"/>
    </row>
    <row r="200" customFormat="false" ht="33" hidden="false" customHeight="false" outlineLevel="0" collapsed="false">
      <c r="A200" s="62"/>
      <c r="B200" s="62"/>
      <c r="C200" s="62"/>
      <c r="D200" s="62"/>
      <c r="E200" s="63" t="s">
        <v>873</v>
      </c>
      <c r="F200" s="62"/>
      <c r="G200" s="62" t="n">
        <v>15</v>
      </c>
      <c r="H200" s="62" t="s">
        <v>771</v>
      </c>
      <c r="I200" s="62"/>
      <c r="J200" s="62"/>
      <c r="K200" s="62"/>
      <c r="L200" s="62"/>
    </row>
    <row r="201" customFormat="false" ht="33" hidden="false" customHeight="false" outlineLevel="0" collapsed="false">
      <c r="A201" s="62"/>
      <c r="B201" s="62"/>
      <c r="C201" s="62"/>
      <c r="D201" s="62"/>
      <c r="E201" s="63" t="s">
        <v>244</v>
      </c>
      <c r="F201" s="62"/>
      <c r="G201" s="62" t="n">
        <v>16</v>
      </c>
      <c r="H201" s="62" t="s">
        <v>771</v>
      </c>
      <c r="I201" s="62"/>
      <c r="J201" s="62"/>
      <c r="K201" s="62"/>
      <c r="L201" s="62"/>
    </row>
    <row r="202" customFormat="false" ht="33" hidden="false" customHeight="false" outlineLevel="0" collapsed="false">
      <c r="A202" s="62"/>
      <c r="B202" s="62"/>
      <c r="C202" s="62"/>
      <c r="D202" s="62"/>
      <c r="E202" s="63" t="s">
        <v>289</v>
      </c>
      <c r="F202" s="62"/>
      <c r="G202" s="62" t="s">
        <v>267</v>
      </c>
      <c r="H202" s="62" t="s">
        <v>268</v>
      </c>
      <c r="I202" s="62"/>
      <c r="J202" s="62"/>
      <c r="K202" s="62"/>
      <c r="L202" s="62"/>
    </row>
    <row r="203" customFormat="false" ht="17.25" hidden="false" customHeight="false" outlineLevel="0" collapsed="false">
      <c r="A203" s="62"/>
      <c r="B203" s="62"/>
      <c r="C203" s="62"/>
      <c r="D203" s="62"/>
      <c r="E203" s="63" t="s">
        <v>909</v>
      </c>
      <c r="F203" s="62"/>
      <c r="G203" s="63" t="s">
        <v>320</v>
      </c>
      <c r="H203" s="62" t="s">
        <v>961</v>
      </c>
      <c r="I203" s="62"/>
      <c r="J203" s="62"/>
      <c r="K203" s="62"/>
      <c r="L203" s="62"/>
    </row>
    <row r="204" customFormat="false" ht="33" hidden="false" customHeight="false" outlineLevel="0" collapsed="false">
      <c r="A204" s="62"/>
      <c r="B204" s="62"/>
      <c r="C204" s="62"/>
      <c r="D204" s="62"/>
      <c r="E204" s="63" t="s">
        <v>927</v>
      </c>
      <c r="F204" s="62"/>
      <c r="G204" s="63" t="s">
        <v>270</v>
      </c>
      <c r="H204" s="62"/>
      <c r="I204" s="62"/>
      <c r="J204" s="62"/>
      <c r="K204" s="62"/>
      <c r="L204" s="62"/>
    </row>
    <row r="205" customFormat="false" ht="33" hidden="false" customHeight="false" outlineLevel="0" collapsed="false">
      <c r="A205" s="62"/>
      <c r="B205" s="62"/>
      <c r="C205" s="62"/>
      <c r="D205" s="62"/>
      <c r="E205" s="63" t="s">
        <v>962</v>
      </c>
      <c r="F205" s="62"/>
      <c r="G205" s="62" t="s">
        <v>267</v>
      </c>
      <c r="H205" s="62"/>
      <c r="I205" s="62"/>
      <c r="J205" s="62"/>
      <c r="K205" s="62"/>
      <c r="L205" s="62"/>
    </row>
    <row r="206" customFormat="false" ht="33" hidden="false" customHeight="false" outlineLevel="0" collapsed="false">
      <c r="A206" s="62"/>
      <c r="B206" s="62"/>
      <c r="C206" s="62"/>
      <c r="D206" s="62"/>
      <c r="E206" s="63" t="s">
        <v>963</v>
      </c>
      <c r="F206" s="62"/>
      <c r="G206" s="62" t="s">
        <v>961</v>
      </c>
      <c r="H206" s="62"/>
      <c r="I206" s="62"/>
      <c r="J206" s="62"/>
      <c r="K206" s="62"/>
      <c r="L206" s="62"/>
    </row>
    <row r="207" customFormat="false" ht="33" hidden="false" customHeight="false" outlineLevel="0" collapsed="false">
      <c r="A207" s="62"/>
      <c r="B207" s="62"/>
      <c r="C207" s="62"/>
      <c r="D207" s="62"/>
      <c r="E207" s="62" t="s">
        <v>964</v>
      </c>
      <c r="F207" s="62"/>
      <c r="G207" s="62" t="s">
        <v>267</v>
      </c>
      <c r="H207" s="62"/>
      <c r="I207" s="62"/>
      <c r="J207" s="62"/>
      <c r="K207" s="62"/>
      <c r="L207" s="62"/>
    </row>
    <row r="208" customFormat="false" ht="33" hidden="false" customHeight="false" outlineLevel="0" collapsed="false">
      <c r="A208" s="62"/>
      <c r="B208" s="62"/>
      <c r="C208" s="62"/>
      <c r="D208" s="62"/>
      <c r="E208" s="63" t="s">
        <v>951</v>
      </c>
      <c r="F208" s="62"/>
      <c r="G208" s="62" t="s">
        <v>965</v>
      </c>
      <c r="H208" s="62"/>
      <c r="I208" s="62"/>
      <c r="J208" s="62"/>
      <c r="K208" s="62"/>
      <c r="L208" s="62"/>
    </row>
    <row r="209" customFormat="false" ht="48.75" hidden="false" customHeight="false" outlineLevel="0" collapsed="false">
      <c r="A209" s="62"/>
      <c r="B209" s="62"/>
      <c r="C209" s="62"/>
      <c r="D209" s="62"/>
      <c r="E209" s="63" t="s">
        <v>966</v>
      </c>
      <c r="F209" s="62"/>
      <c r="G209" s="62"/>
      <c r="H209" s="62"/>
      <c r="I209" s="62"/>
      <c r="J209" s="62"/>
      <c r="K209" s="62"/>
      <c r="L209" s="62"/>
    </row>
    <row r="210" customFormat="false" ht="33" hidden="false" customHeight="false" outlineLevel="0" collapsed="false">
      <c r="A210" s="62"/>
      <c r="B210" s="62"/>
      <c r="C210" s="62"/>
      <c r="D210" s="62"/>
      <c r="E210" s="63" t="s">
        <v>927</v>
      </c>
      <c r="F210" s="62"/>
      <c r="G210" s="62"/>
      <c r="H210" s="62"/>
      <c r="I210" s="62"/>
      <c r="J210" s="62"/>
      <c r="K210" s="62"/>
      <c r="L210" s="62"/>
    </row>
    <row r="211" customFormat="false" ht="33" hidden="false" customHeight="false" outlineLevel="0" collapsed="false">
      <c r="A211" s="62"/>
      <c r="B211" s="62"/>
      <c r="C211" s="62"/>
      <c r="D211" s="62"/>
      <c r="E211" s="63" t="s">
        <v>932</v>
      </c>
      <c r="F211" s="62"/>
      <c r="G211" s="62"/>
      <c r="H211" s="62"/>
      <c r="I211" s="62"/>
      <c r="J211" s="62"/>
      <c r="K211" s="62"/>
      <c r="L211" s="62"/>
    </row>
    <row r="212" customFormat="false" ht="17.25" hidden="false" customHeight="false" outlineLevel="0" collapsed="false">
      <c r="A212" s="62"/>
      <c r="B212" s="62"/>
      <c r="C212" s="62"/>
      <c r="D212" s="62"/>
      <c r="E212" s="62" t="s">
        <v>964</v>
      </c>
      <c r="F212" s="62"/>
      <c r="G212" s="62"/>
      <c r="H212" s="62"/>
      <c r="I212" s="62"/>
      <c r="J212" s="62"/>
      <c r="K212" s="62"/>
      <c r="L212" s="62"/>
    </row>
    <row r="213" customFormat="false" ht="17.25" hidden="false" customHeight="false" outlineLevel="0" collapsed="false">
      <c r="A213" s="62"/>
      <c r="B213" s="62"/>
      <c r="C213" s="62"/>
      <c r="D213" s="62"/>
      <c r="E213" s="63" t="s">
        <v>951</v>
      </c>
      <c r="F213" s="62"/>
      <c r="G213" s="62"/>
      <c r="H213" s="62"/>
      <c r="I213" s="62"/>
      <c r="J213" s="62"/>
      <c r="K213" s="62"/>
      <c r="L213" s="62"/>
    </row>
    <row r="214" customFormat="false" ht="17.25" hidden="false" customHeight="false" outlineLevel="0" collapsed="false">
      <c r="A214" s="62"/>
      <c r="B214" s="62"/>
      <c r="C214" s="62"/>
      <c r="D214" s="62"/>
      <c r="E214" s="63" t="s">
        <v>920</v>
      </c>
      <c r="F214" s="62"/>
      <c r="G214" s="62"/>
      <c r="H214" s="62"/>
      <c r="I214" s="62"/>
      <c r="J214" s="62"/>
      <c r="K214" s="62"/>
      <c r="L214" s="62"/>
    </row>
    <row r="215" customFormat="false" ht="33" hidden="false" customHeight="false" outlineLevel="0" collapsed="false">
      <c r="A215" s="62"/>
      <c r="B215" s="62"/>
      <c r="C215" s="62"/>
      <c r="D215" s="62"/>
      <c r="E215" s="63" t="s">
        <v>967</v>
      </c>
      <c r="F215" s="62"/>
      <c r="G215" s="62"/>
      <c r="H215" s="62"/>
      <c r="I215" s="62"/>
      <c r="J215" s="62"/>
      <c r="K215" s="62"/>
      <c r="L215" s="62"/>
    </row>
    <row r="216" customFormat="false" ht="17.25" hidden="false" customHeight="false" outlineLevel="0" collapsed="false">
      <c r="A216" s="62"/>
      <c r="B216" s="62"/>
      <c r="C216" s="62"/>
      <c r="D216" s="62"/>
      <c r="E216" s="63" t="s">
        <v>233</v>
      </c>
      <c r="F216" s="62"/>
      <c r="G216" s="62"/>
      <c r="H216" s="62"/>
      <c r="I216" s="62"/>
      <c r="J216" s="62"/>
      <c r="K216" s="62"/>
      <c r="L216" s="62"/>
    </row>
    <row r="217" customFormat="false" ht="33" hidden="false" customHeight="false" outlineLevel="0" collapsed="false">
      <c r="A217" s="62"/>
      <c r="B217" s="62" t="n">
        <v>56</v>
      </c>
      <c r="C217" s="62"/>
      <c r="D217" s="62"/>
      <c r="E217" s="63" t="s">
        <v>881</v>
      </c>
      <c r="F217" s="62"/>
      <c r="G217" s="62" t="s">
        <v>908</v>
      </c>
      <c r="H217" s="62"/>
      <c r="I217" s="62"/>
      <c r="J217" s="62"/>
      <c r="K217" s="62"/>
      <c r="L217" s="62"/>
    </row>
    <row r="218" customFormat="false" ht="33" hidden="false" customHeight="false" outlineLevel="0" collapsed="false">
      <c r="A218" s="62"/>
      <c r="B218" s="62"/>
      <c r="C218" s="62"/>
      <c r="D218" s="62"/>
      <c r="E218" s="63" t="s">
        <v>873</v>
      </c>
      <c r="F218" s="62"/>
      <c r="G218" s="62" t="n">
        <v>6</v>
      </c>
      <c r="H218" s="62" t="s">
        <v>771</v>
      </c>
      <c r="I218" s="62"/>
      <c r="J218" s="62"/>
      <c r="K218" s="62"/>
      <c r="L218" s="62"/>
    </row>
    <row r="219" customFormat="false" ht="33" hidden="false" customHeight="false" outlineLevel="0" collapsed="false">
      <c r="A219" s="62"/>
      <c r="B219" s="62"/>
      <c r="C219" s="62"/>
      <c r="D219" s="62"/>
      <c r="E219" s="63" t="s">
        <v>244</v>
      </c>
      <c r="F219" s="62"/>
      <c r="G219" s="62"/>
      <c r="H219" s="62"/>
      <c r="I219" s="62"/>
      <c r="J219" s="62"/>
      <c r="K219" s="62"/>
      <c r="L219" s="62"/>
    </row>
    <row r="220" customFormat="false" ht="33" hidden="false" customHeight="false" outlineLevel="0" collapsed="false">
      <c r="A220" s="62"/>
      <c r="B220" s="62"/>
      <c r="C220" s="62"/>
      <c r="D220" s="62"/>
      <c r="E220" s="63" t="s">
        <v>289</v>
      </c>
      <c r="F220" s="62"/>
      <c r="G220" s="62"/>
      <c r="H220" s="62"/>
      <c r="I220" s="62"/>
      <c r="J220" s="62"/>
      <c r="K220" s="62"/>
      <c r="L220" s="62"/>
    </row>
    <row r="221" customFormat="false" ht="17.25" hidden="false" customHeight="false" outlineLevel="0" collapsed="false">
      <c r="A221" s="62"/>
      <c r="B221" s="62"/>
      <c r="C221" s="62"/>
      <c r="D221" s="62"/>
      <c r="E221" s="63" t="s">
        <v>909</v>
      </c>
      <c r="F221" s="62"/>
      <c r="G221" s="62"/>
      <c r="H221" s="62"/>
      <c r="I221" s="62"/>
      <c r="J221" s="62"/>
      <c r="K221" s="62"/>
      <c r="L221" s="62"/>
    </row>
    <row r="222" customFormat="false" ht="33" hidden="false" customHeight="false" outlineLevel="0" collapsed="false">
      <c r="A222" s="62"/>
      <c r="B222" s="62"/>
      <c r="C222" s="62"/>
      <c r="D222" s="62"/>
      <c r="E222" s="63" t="s">
        <v>968</v>
      </c>
      <c r="F222" s="62"/>
      <c r="G222" s="62"/>
      <c r="H222" s="62"/>
      <c r="I222" s="62"/>
      <c r="J222" s="62"/>
      <c r="K222" s="62"/>
      <c r="L222" s="62"/>
    </row>
    <row r="223" customFormat="false" ht="33" hidden="false" customHeight="false" outlineLevel="0" collapsed="false">
      <c r="A223" s="62"/>
      <c r="B223" s="62"/>
      <c r="C223" s="62"/>
      <c r="D223" s="62"/>
      <c r="E223" s="63" t="s">
        <v>969</v>
      </c>
      <c r="F223" s="62"/>
      <c r="G223" s="62"/>
      <c r="H223" s="62"/>
      <c r="I223" s="62"/>
      <c r="J223" s="62"/>
      <c r="K223" s="62"/>
      <c r="L223" s="62"/>
    </row>
    <row r="224" customFormat="false" ht="33" hidden="false" customHeight="false" outlineLevel="0" collapsed="false">
      <c r="A224" s="62"/>
      <c r="B224" s="62"/>
      <c r="C224" s="62"/>
      <c r="D224" s="62"/>
      <c r="E224" s="63" t="s">
        <v>963</v>
      </c>
      <c r="F224" s="62"/>
      <c r="G224" s="62"/>
      <c r="H224" s="62"/>
      <c r="I224" s="62"/>
      <c r="J224" s="62"/>
      <c r="K224" s="62"/>
      <c r="L224" s="62"/>
    </row>
    <row r="225" customFormat="false" ht="17.25" hidden="false" customHeight="false" outlineLevel="0" collapsed="false">
      <c r="A225" s="62"/>
      <c r="B225" s="62"/>
      <c r="C225" s="62"/>
      <c r="D225" s="62"/>
      <c r="E225" s="63" t="s">
        <v>951</v>
      </c>
      <c r="F225" s="62"/>
      <c r="G225" s="62"/>
      <c r="H225" s="62"/>
      <c r="I225" s="62"/>
      <c r="J225" s="62"/>
      <c r="K225" s="62"/>
      <c r="L225" s="62"/>
    </row>
    <row r="226" customFormat="false" ht="17.25" hidden="false" customHeight="false" outlineLevel="0" collapsed="false">
      <c r="A226" s="62"/>
      <c r="B226" s="62"/>
      <c r="C226" s="62"/>
      <c r="D226" s="62"/>
      <c r="E226" s="63" t="s">
        <v>920</v>
      </c>
      <c r="F226" s="62"/>
      <c r="G226" s="62"/>
      <c r="H226" s="62"/>
      <c r="I226" s="62"/>
      <c r="J226" s="62"/>
      <c r="K226" s="62"/>
      <c r="L226" s="62"/>
    </row>
    <row r="227" customFormat="false" ht="17.25" hidden="false" customHeight="false" outlineLevel="0" collapsed="false">
      <c r="A227" s="62"/>
      <c r="B227" s="62"/>
      <c r="C227" s="62"/>
      <c r="D227" s="62"/>
      <c r="E227" s="63" t="s">
        <v>951</v>
      </c>
      <c r="F227" s="62"/>
      <c r="G227" s="62"/>
      <c r="H227" s="62"/>
      <c r="I227" s="62"/>
      <c r="J227" s="62"/>
      <c r="K227" s="62"/>
      <c r="L227" s="62"/>
    </row>
    <row r="228" customFormat="false" ht="17.25" hidden="false" customHeight="false" outlineLevel="0" collapsed="false">
      <c r="A228" s="62"/>
      <c r="B228" s="62"/>
      <c r="C228" s="62"/>
      <c r="D228" s="62"/>
      <c r="E228" s="63" t="s">
        <v>233</v>
      </c>
      <c r="F228" s="62"/>
      <c r="G228" s="62"/>
      <c r="H228" s="62"/>
      <c r="I228" s="62"/>
      <c r="J228" s="62"/>
      <c r="K228" s="62"/>
      <c r="L228" s="62"/>
    </row>
    <row r="229" customFormat="false" ht="33" hidden="false" customHeight="false" outlineLevel="0" collapsed="false">
      <c r="A229" s="62"/>
      <c r="B229" s="62" t="n">
        <v>57</v>
      </c>
      <c r="C229" s="62"/>
      <c r="D229" s="62"/>
      <c r="E229" s="63" t="s">
        <v>881</v>
      </c>
      <c r="F229" s="62"/>
      <c r="G229" s="62" t="s">
        <v>970</v>
      </c>
      <c r="H229" s="62"/>
      <c r="I229" s="62"/>
      <c r="J229" s="62"/>
      <c r="K229" s="62"/>
      <c r="L229" s="62"/>
    </row>
    <row r="230" customFormat="false" ht="33" hidden="false" customHeight="false" outlineLevel="0" collapsed="false">
      <c r="A230" s="62"/>
      <c r="B230" s="62"/>
      <c r="C230" s="62"/>
      <c r="D230" s="62"/>
      <c r="E230" s="63" t="s">
        <v>873</v>
      </c>
      <c r="F230" s="62"/>
      <c r="G230" s="62" t="n">
        <v>10</v>
      </c>
      <c r="H230" s="62" t="s">
        <v>971</v>
      </c>
      <c r="I230" s="62"/>
      <c r="J230" s="62"/>
      <c r="K230" s="62"/>
      <c r="L230" s="62"/>
    </row>
    <row r="231" customFormat="false" ht="33" hidden="false" customHeight="false" outlineLevel="0" collapsed="false">
      <c r="A231" s="62"/>
      <c r="B231" s="62"/>
      <c r="C231" s="62"/>
      <c r="D231" s="62"/>
      <c r="E231" s="63" t="s">
        <v>244</v>
      </c>
      <c r="F231" s="62"/>
      <c r="G231" s="62"/>
      <c r="H231" s="62"/>
      <c r="I231" s="62"/>
      <c r="J231" s="62"/>
      <c r="K231" s="62"/>
      <c r="L231" s="62"/>
    </row>
    <row r="232" customFormat="false" ht="33" hidden="false" customHeight="false" outlineLevel="0" collapsed="false">
      <c r="A232" s="62"/>
      <c r="B232" s="62"/>
      <c r="C232" s="62"/>
      <c r="D232" s="62"/>
      <c r="E232" s="63" t="s">
        <v>289</v>
      </c>
      <c r="F232" s="62"/>
      <c r="G232" s="62"/>
      <c r="H232" s="62"/>
      <c r="I232" s="62"/>
      <c r="J232" s="62"/>
      <c r="K232" s="62"/>
      <c r="L232" s="62"/>
    </row>
    <row r="233" customFormat="false" ht="17.25" hidden="false" customHeight="false" outlineLevel="0" collapsed="false">
      <c r="A233" s="62"/>
      <c r="B233" s="62"/>
      <c r="C233" s="62"/>
      <c r="D233" s="62"/>
      <c r="E233" s="63" t="s">
        <v>909</v>
      </c>
      <c r="F233" s="62"/>
      <c r="G233" s="62"/>
      <c r="H233" s="62"/>
      <c r="I233" s="62"/>
      <c r="J233" s="62"/>
      <c r="K233" s="62"/>
      <c r="L233" s="62"/>
    </row>
    <row r="234" customFormat="false" ht="48.75" hidden="false" customHeight="false" outlineLevel="0" collapsed="false">
      <c r="A234" s="62"/>
      <c r="B234" s="62"/>
      <c r="C234" s="62"/>
      <c r="D234" s="62"/>
      <c r="E234" s="63" t="s">
        <v>972</v>
      </c>
      <c r="F234" s="62"/>
      <c r="G234" s="62"/>
      <c r="H234" s="62"/>
      <c r="I234" s="62"/>
      <c r="J234" s="62"/>
      <c r="K234" s="62"/>
      <c r="L234" s="62"/>
    </row>
    <row r="235" customFormat="false" ht="33" hidden="false" customHeight="false" outlineLevel="0" collapsed="false">
      <c r="A235" s="62"/>
      <c r="B235" s="62"/>
      <c r="C235" s="62"/>
      <c r="D235" s="62"/>
      <c r="E235" s="63" t="s">
        <v>973</v>
      </c>
      <c r="F235" s="62"/>
      <c r="G235" s="62"/>
      <c r="H235" s="62"/>
      <c r="I235" s="62"/>
      <c r="J235" s="62"/>
      <c r="K235" s="62"/>
      <c r="L235" s="62"/>
    </row>
    <row r="236" customFormat="false" ht="33" hidden="false" customHeight="false" outlineLevel="0" collapsed="false">
      <c r="A236" s="62"/>
      <c r="B236" s="62"/>
      <c r="C236" s="62"/>
      <c r="D236" s="62"/>
      <c r="E236" s="63" t="s">
        <v>974</v>
      </c>
      <c r="F236" s="62"/>
      <c r="G236" s="62"/>
      <c r="H236" s="62"/>
      <c r="I236" s="62"/>
      <c r="J236" s="62"/>
      <c r="K236" s="62"/>
      <c r="L236" s="62"/>
    </row>
    <row r="237" customFormat="false" ht="17.25" hidden="false" customHeight="false" outlineLevel="0" collapsed="false">
      <c r="A237" s="62"/>
      <c r="B237" s="62"/>
      <c r="C237" s="62"/>
      <c r="D237" s="62"/>
      <c r="E237" s="63" t="s">
        <v>951</v>
      </c>
      <c r="F237" s="62"/>
      <c r="G237" s="62"/>
      <c r="H237" s="62"/>
      <c r="I237" s="62"/>
      <c r="J237" s="62"/>
      <c r="K237" s="62"/>
      <c r="L237" s="62"/>
    </row>
    <row r="238" customFormat="false" ht="17.25" hidden="false" customHeight="false" outlineLevel="0" collapsed="false">
      <c r="A238" s="62"/>
      <c r="B238" s="62"/>
      <c r="C238" s="62"/>
      <c r="D238" s="62"/>
      <c r="E238" s="63" t="s">
        <v>920</v>
      </c>
      <c r="F238" s="62"/>
      <c r="G238" s="62"/>
      <c r="H238" s="62"/>
      <c r="I238" s="62"/>
      <c r="J238" s="62"/>
      <c r="K238" s="62"/>
      <c r="L238" s="62"/>
    </row>
    <row r="239" customFormat="false" ht="17.25" hidden="false" customHeight="false" outlineLevel="0" collapsed="false">
      <c r="A239" s="62"/>
      <c r="B239" s="62"/>
      <c r="C239" s="62"/>
      <c r="D239" s="62"/>
      <c r="E239" s="63" t="s">
        <v>951</v>
      </c>
      <c r="F239" s="62"/>
      <c r="G239" s="62"/>
      <c r="H239" s="62"/>
      <c r="I239" s="62"/>
      <c r="J239" s="62"/>
      <c r="K239" s="62"/>
      <c r="L239" s="62"/>
    </row>
    <row r="240" customFormat="false" ht="17.25" hidden="false" customHeight="false" outlineLevel="0" collapsed="false">
      <c r="A240" s="62"/>
      <c r="B240" s="62"/>
      <c r="C240" s="62"/>
      <c r="D240" s="62"/>
      <c r="E240" s="63" t="s">
        <v>233</v>
      </c>
      <c r="F240" s="62"/>
      <c r="G240" s="62"/>
      <c r="H240" s="62"/>
      <c r="I240" s="62"/>
      <c r="J240" s="62"/>
      <c r="K240" s="62"/>
      <c r="L240" s="62"/>
    </row>
    <row r="241" customFormat="false" ht="33" hidden="false" customHeight="false" outlineLevel="0" collapsed="false">
      <c r="A241" s="62"/>
      <c r="B241" s="62" t="n">
        <v>58</v>
      </c>
      <c r="C241" s="62"/>
      <c r="D241" s="62"/>
      <c r="E241" s="63" t="s">
        <v>881</v>
      </c>
      <c r="F241" s="62"/>
      <c r="G241" s="62" t="s">
        <v>767</v>
      </c>
      <c r="H241" s="62"/>
      <c r="I241" s="62"/>
      <c r="J241" s="62"/>
      <c r="K241" s="62"/>
      <c r="L241" s="62"/>
    </row>
    <row r="242" customFormat="false" ht="33" hidden="false" customHeight="false" outlineLevel="0" collapsed="false">
      <c r="A242" s="62"/>
      <c r="B242" s="62"/>
      <c r="C242" s="62"/>
      <c r="D242" s="62"/>
      <c r="E242" s="63" t="s">
        <v>873</v>
      </c>
      <c r="F242" s="62"/>
      <c r="G242" s="64" t="n">
        <v>40575</v>
      </c>
      <c r="H242" s="62" t="s">
        <v>975</v>
      </c>
      <c r="I242" s="62"/>
      <c r="J242" s="62"/>
      <c r="K242" s="62"/>
      <c r="L242" s="62"/>
    </row>
    <row r="243" customFormat="false" ht="33" hidden="false" customHeight="false" outlineLevel="0" collapsed="false">
      <c r="A243" s="62"/>
      <c r="B243" s="62"/>
      <c r="C243" s="62"/>
      <c r="D243" s="62"/>
      <c r="E243" s="63" t="s">
        <v>244</v>
      </c>
      <c r="F243" s="62"/>
      <c r="G243" s="62" t="n">
        <v>10</v>
      </c>
      <c r="H243" s="62" t="s">
        <v>771</v>
      </c>
      <c r="I243" s="62"/>
      <c r="J243" s="62"/>
      <c r="K243" s="62"/>
      <c r="L243" s="62"/>
    </row>
    <row r="244" customFormat="false" ht="33" hidden="false" customHeight="false" outlineLevel="0" collapsed="false">
      <c r="A244" s="62"/>
      <c r="B244" s="62"/>
      <c r="C244" s="62"/>
      <c r="D244" s="62"/>
      <c r="E244" s="63" t="s">
        <v>976</v>
      </c>
      <c r="F244" s="62"/>
      <c r="G244" s="62" t="n">
        <v>20</v>
      </c>
      <c r="H244" s="62" t="s">
        <v>771</v>
      </c>
      <c r="I244" s="62"/>
      <c r="J244" s="62"/>
      <c r="K244" s="62"/>
      <c r="L244" s="62"/>
    </row>
    <row r="245" customFormat="false" ht="33" hidden="false" customHeight="false" outlineLevel="0" collapsed="false">
      <c r="A245" s="62"/>
      <c r="B245" s="62"/>
      <c r="C245" s="62"/>
      <c r="D245" s="62"/>
      <c r="E245" s="63" t="s">
        <v>289</v>
      </c>
      <c r="F245" s="62"/>
      <c r="G245" s="62" t="s">
        <v>267</v>
      </c>
      <c r="H245" s="62" t="s">
        <v>268</v>
      </c>
      <c r="I245" s="62"/>
      <c r="J245" s="62"/>
      <c r="K245" s="62"/>
      <c r="L245" s="62"/>
    </row>
    <row r="246" customFormat="false" ht="17.25" hidden="false" customHeight="false" outlineLevel="0" collapsed="false">
      <c r="A246" s="62"/>
      <c r="B246" s="62"/>
      <c r="C246" s="62"/>
      <c r="D246" s="62"/>
      <c r="E246" s="63" t="s">
        <v>909</v>
      </c>
      <c r="F246" s="62"/>
      <c r="G246" s="63" t="s">
        <v>269</v>
      </c>
      <c r="H246" s="62" t="s">
        <v>977</v>
      </c>
      <c r="I246" s="62"/>
      <c r="J246" s="62"/>
      <c r="K246" s="62"/>
      <c r="L246" s="62"/>
    </row>
    <row r="247" customFormat="false" ht="33" hidden="false" customHeight="false" outlineLevel="0" collapsed="false">
      <c r="A247" s="62"/>
      <c r="B247" s="62"/>
      <c r="C247" s="62"/>
      <c r="D247" s="62"/>
      <c r="E247" s="63" t="s">
        <v>978</v>
      </c>
      <c r="F247" s="62"/>
      <c r="G247" s="63" t="s">
        <v>270</v>
      </c>
      <c r="H247" s="62"/>
      <c r="I247" s="62"/>
      <c r="J247" s="62"/>
      <c r="K247" s="62"/>
      <c r="L247" s="62"/>
    </row>
    <row r="248" customFormat="false" ht="48.75" hidden="false" customHeight="false" outlineLevel="0" collapsed="false">
      <c r="A248" s="62"/>
      <c r="B248" s="62"/>
      <c r="C248" s="62"/>
      <c r="D248" s="62"/>
      <c r="E248" s="63" t="s">
        <v>979</v>
      </c>
      <c r="F248" s="62"/>
      <c r="G248" s="62" t="s">
        <v>267</v>
      </c>
      <c r="H248" s="62"/>
      <c r="I248" s="62"/>
      <c r="J248" s="62"/>
      <c r="K248" s="62"/>
      <c r="L248" s="62"/>
    </row>
    <row r="249" customFormat="false" ht="33" hidden="false" customHeight="false" outlineLevel="0" collapsed="false">
      <c r="A249" s="62"/>
      <c r="B249" s="62"/>
      <c r="C249" s="62"/>
      <c r="D249" s="62"/>
      <c r="E249" s="63" t="s">
        <v>980</v>
      </c>
      <c r="F249" s="62"/>
      <c r="G249" s="62" t="s">
        <v>977</v>
      </c>
      <c r="H249" s="62"/>
      <c r="I249" s="62"/>
      <c r="J249" s="62"/>
      <c r="K249" s="62"/>
      <c r="L249" s="62"/>
    </row>
    <row r="250" customFormat="false" ht="33" hidden="false" customHeight="false" outlineLevel="0" collapsed="false">
      <c r="A250" s="62"/>
      <c r="B250" s="62"/>
      <c r="C250" s="62"/>
      <c r="D250" s="62"/>
      <c r="E250" s="63" t="s">
        <v>773</v>
      </c>
      <c r="F250" s="62"/>
      <c r="G250" s="62" t="s">
        <v>267</v>
      </c>
      <c r="H250" s="62"/>
      <c r="I250" s="62"/>
      <c r="J250" s="62"/>
      <c r="K250" s="62"/>
      <c r="L250" s="62"/>
    </row>
    <row r="251" customFormat="false" ht="33" hidden="false" customHeight="false" outlineLevel="0" collapsed="false">
      <c r="A251" s="62"/>
      <c r="B251" s="62"/>
      <c r="C251" s="62"/>
      <c r="D251" s="62"/>
      <c r="E251" s="63" t="s">
        <v>244</v>
      </c>
      <c r="F251" s="62"/>
      <c r="G251" s="62" t="s">
        <v>981</v>
      </c>
      <c r="H251" s="62"/>
      <c r="I251" s="62"/>
      <c r="J251" s="62"/>
      <c r="K251" s="62"/>
      <c r="L251" s="62"/>
    </row>
    <row r="252" customFormat="false" ht="33" hidden="false" customHeight="false" outlineLevel="0" collapsed="false">
      <c r="A252" s="62"/>
      <c r="B252" s="62"/>
      <c r="C252" s="62"/>
      <c r="D252" s="62"/>
      <c r="E252" s="62" t="s">
        <v>982</v>
      </c>
      <c r="F252" s="62"/>
      <c r="G252" s="62"/>
      <c r="H252" s="62"/>
      <c r="I252" s="62"/>
      <c r="J252" s="62"/>
      <c r="K252" s="62"/>
      <c r="L252" s="62"/>
    </row>
    <row r="253" customFormat="false" ht="33" hidden="false" customHeight="false" outlineLevel="0" collapsed="false">
      <c r="A253" s="62"/>
      <c r="B253" s="62"/>
      <c r="C253" s="62"/>
      <c r="D253" s="62"/>
      <c r="E253" s="63" t="s">
        <v>919</v>
      </c>
      <c r="F253" s="62"/>
      <c r="G253" s="62"/>
      <c r="H253" s="62"/>
      <c r="I253" s="62"/>
      <c r="J253" s="62"/>
      <c r="K253" s="62"/>
      <c r="L253" s="62"/>
    </row>
    <row r="254" customFormat="false" ht="17.25" hidden="false" customHeight="false" outlineLevel="0" collapsed="false">
      <c r="A254" s="62"/>
      <c r="B254" s="62"/>
      <c r="C254" s="62"/>
      <c r="D254" s="62"/>
      <c r="E254" s="63" t="s">
        <v>920</v>
      </c>
      <c r="F254" s="62"/>
      <c r="G254" s="62"/>
      <c r="H254" s="62"/>
      <c r="I254" s="62"/>
      <c r="J254" s="62"/>
      <c r="K254" s="62"/>
      <c r="L254" s="62"/>
    </row>
    <row r="255" customFormat="false" ht="33" hidden="false" customHeight="false" outlineLevel="0" collapsed="false">
      <c r="A255" s="62"/>
      <c r="B255" s="62"/>
      <c r="C255" s="62"/>
      <c r="D255" s="62"/>
      <c r="E255" s="63" t="s">
        <v>919</v>
      </c>
      <c r="F255" s="62"/>
      <c r="G255" s="62"/>
      <c r="H255" s="62"/>
      <c r="I255" s="62"/>
      <c r="J255" s="62"/>
      <c r="K255" s="62"/>
      <c r="L255" s="62"/>
    </row>
    <row r="256" customFormat="false" ht="33" hidden="false" customHeight="false" outlineLevel="0" collapsed="false">
      <c r="A256" s="62"/>
      <c r="B256" s="62"/>
      <c r="C256" s="62"/>
      <c r="D256" s="62"/>
      <c r="E256" s="62" t="s">
        <v>982</v>
      </c>
      <c r="F256" s="62"/>
      <c r="G256" s="62"/>
      <c r="H256" s="62"/>
      <c r="I256" s="62"/>
      <c r="J256" s="62"/>
      <c r="K256" s="62"/>
      <c r="L256" s="62"/>
    </row>
    <row r="257" customFormat="false" ht="48.75" hidden="false" customHeight="false" outlineLevel="0" collapsed="false">
      <c r="A257" s="62"/>
      <c r="B257" s="62"/>
      <c r="C257" s="62"/>
      <c r="D257" s="62" t="s">
        <v>274</v>
      </c>
      <c r="E257" s="62" t="s">
        <v>275</v>
      </c>
      <c r="F257" s="62" t="s">
        <v>268</v>
      </c>
      <c r="G257" s="62" t="s">
        <v>267</v>
      </c>
      <c r="H257" s="62" t="s">
        <v>268</v>
      </c>
      <c r="I257" s="62" t="s">
        <v>276</v>
      </c>
      <c r="J257" s="62" t="s">
        <v>276</v>
      </c>
      <c r="K257" s="62"/>
      <c r="L257" s="62"/>
    </row>
    <row r="258" customFormat="false" ht="15.75" hidden="false" customHeight="false" outlineLevel="0" collapsed="false">
      <c r="A258" s="3" t="s">
        <v>211</v>
      </c>
    </row>
    <row r="265" customFormat="false" ht="15.75" hidden="false" customHeight="false" outlineLevel="0" collapsed="false">
      <c r="A265" s="65" t="s">
        <v>281</v>
      </c>
    </row>
  </sheetData>
  <hyperlinks>
    <hyperlink ref="M1" location="Index!A1" display="Index"/>
    <hyperlink ref="A258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6"/>
    <col collapsed="false" customWidth="true" hidden="false" outlineLevel="0" max="12" min="12" style="0" width="14.86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208</v>
      </c>
      <c r="B4" s="62" t="n">
        <v>483</v>
      </c>
      <c r="C4" s="63" t="s">
        <v>983</v>
      </c>
      <c r="D4" s="63" t="s">
        <v>255</v>
      </c>
      <c r="E4" s="63" t="s">
        <v>876</v>
      </c>
      <c r="F4" s="62"/>
      <c r="G4" s="62" t="s">
        <v>984</v>
      </c>
      <c r="H4" s="62"/>
      <c r="I4" s="62"/>
      <c r="J4" s="62"/>
      <c r="K4" s="62"/>
      <c r="L4" s="63" t="s">
        <v>985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986</v>
      </c>
      <c r="E5" s="62"/>
      <c r="F5" s="62"/>
      <c r="G5" s="62" t="s">
        <v>586</v>
      </c>
      <c r="H5" s="62" t="s">
        <v>959</v>
      </c>
      <c r="I5" s="62"/>
      <c r="J5" s="62"/>
      <c r="K5" s="62"/>
      <c r="L5" s="62" t="s">
        <v>987</v>
      </c>
    </row>
    <row r="6" customFormat="false" ht="33" hidden="false" customHeight="false" outlineLevel="0" collapsed="false">
      <c r="A6" s="62" t="n">
        <v>192</v>
      </c>
      <c r="B6" s="62"/>
      <c r="C6" s="62"/>
      <c r="D6" s="63" t="s">
        <v>988</v>
      </c>
      <c r="E6" s="62"/>
      <c r="F6" s="62"/>
      <c r="G6" s="62" t="n">
        <v>18</v>
      </c>
      <c r="H6" s="62" t="s">
        <v>771</v>
      </c>
      <c r="I6" s="62"/>
      <c r="J6" s="62"/>
      <c r="K6" s="62"/>
      <c r="L6" s="63" t="s">
        <v>989</v>
      </c>
    </row>
    <row r="7" customFormat="false" ht="33" hidden="false" customHeight="false" outlineLevel="0" collapsed="false">
      <c r="A7" s="62"/>
      <c r="B7" s="62"/>
      <c r="C7" s="62"/>
      <c r="D7" s="62" t="s">
        <v>990</v>
      </c>
      <c r="E7" s="62"/>
      <c r="F7" s="62"/>
      <c r="G7" s="62" t="n">
        <v>23</v>
      </c>
      <c r="H7" s="62" t="s">
        <v>771</v>
      </c>
      <c r="I7" s="62"/>
      <c r="J7" s="62"/>
      <c r="K7" s="62"/>
      <c r="L7" s="63" t="s">
        <v>991</v>
      </c>
    </row>
    <row r="8" customFormat="false" ht="33" hidden="false" customHeight="false" outlineLevel="0" collapsed="false">
      <c r="A8" s="62"/>
      <c r="B8" s="62"/>
      <c r="C8" s="62"/>
      <c r="D8" s="63" t="s">
        <v>227</v>
      </c>
      <c r="E8" s="62"/>
      <c r="F8" s="62"/>
      <c r="G8" s="62" t="s">
        <v>992</v>
      </c>
      <c r="H8" s="62"/>
      <c r="I8" s="62"/>
      <c r="J8" s="62"/>
      <c r="K8" s="62"/>
      <c r="L8" s="62" t="s">
        <v>993</v>
      </c>
    </row>
    <row r="9" customFormat="false" ht="33" hidden="false" customHeight="false" outlineLevel="0" collapsed="false">
      <c r="A9" s="62"/>
      <c r="B9" s="62"/>
      <c r="C9" s="62"/>
      <c r="D9" s="63" t="s">
        <v>282</v>
      </c>
      <c r="E9" s="62"/>
      <c r="F9" s="62"/>
      <c r="G9" s="62" t="n">
        <v>16</v>
      </c>
      <c r="H9" s="62" t="s">
        <v>290</v>
      </c>
      <c r="I9" s="62"/>
      <c r="J9" s="62"/>
      <c r="K9" s="62"/>
      <c r="L9" s="63" t="s">
        <v>994</v>
      </c>
    </row>
    <row r="10" customFormat="false" ht="33" hidden="false" customHeight="false" outlineLevel="0" collapsed="false">
      <c r="A10" s="62"/>
      <c r="B10" s="62"/>
      <c r="C10" s="62"/>
      <c r="D10" s="63" t="s">
        <v>995</v>
      </c>
      <c r="E10" s="62"/>
      <c r="F10" s="62"/>
      <c r="G10" s="62" t="n">
        <v>17</v>
      </c>
      <c r="H10" s="62" t="s">
        <v>301</v>
      </c>
      <c r="I10" s="62"/>
      <c r="J10" s="62"/>
      <c r="K10" s="62"/>
      <c r="L10" s="63" t="s">
        <v>996</v>
      </c>
    </row>
    <row r="11" customFormat="false" ht="33" hidden="false" customHeight="false" outlineLevel="0" collapsed="false">
      <c r="A11" s="62"/>
      <c r="B11" s="62"/>
      <c r="C11" s="62"/>
      <c r="D11" s="62" t="s">
        <v>997</v>
      </c>
      <c r="E11" s="62"/>
      <c r="F11" s="62"/>
      <c r="G11" s="62" t="n">
        <v>18</v>
      </c>
      <c r="H11" s="62" t="s">
        <v>301</v>
      </c>
      <c r="I11" s="62"/>
      <c r="J11" s="62"/>
      <c r="K11" s="62"/>
      <c r="L11" s="62" t="s">
        <v>998</v>
      </c>
    </row>
    <row r="12" customFormat="false" ht="33" hidden="false" customHeight="false" outlineLevel="0" collapsed="false">
      <c r="A12" s="62"/>
      <c r="B12" s="62"/>
      <c r="C12" s="62"/>
      <c r="D12" s="63" t="s">
        <v>999</v>
      </c>
      <c r="E12" s="62"/>
      <c r="F12" s="62"/>
      <c r="G12" s="62" t="n">
        <v>19</v>
      </c>
      <c r="H12" s="62" t="s">
        <v>771</v>
      </c>
      <c r="I12" s="62"/>
      <c r="J12" s="62"/>
      <c r="K12" s="62"/>
      <c r="L12" s="63" t="s">
        <v>1000</v>
      </c>
    </row>
    <row r="13" customFormat="false" ht="33" hidden="false" customHeight="false" outlineLevel="0" collapsed="false">
      <c r="A13" s="62"/>
      <c r="B13" s="62"/>
      <c r="C13" s="62"/>
      <c r="D13" s="63" t="s">
        <v>255</v>
      </c>
      <c r="E13" s="62"/>
      <c r="F13" s="62"/>
      <c r="G13" s="62" t="n">
        <v>20</v>
      </c>
      <c r="H13" s="62" t="s">
        <v>771</v>
      </c>
      <c r="I13" s="62"/>
      <c r="J13" s="62"/>
      <c r="K13" s="62"/>
      <c r="L13" s="63" t="s">
        <v>1001</v>
      </c>
    </row>
    <row r="14" customFormat="false" ht="33" hidden="false" customHeight="false" outlineLevel="0" collapsed="false">
      <c r="A14" s="62"/>
      <c r="B14" s="62"/>
      <c r="C14" s="62"/>
      <c r="D14" s="63" t="s">
        <v>1002</v>
      </c>
      <c r="E14" s="62"/>
      <c r="F14" s="62"/>
      <c r="G14" s="62" t="n">
        <v>21</v>
      </c>
      <c r="H14" s="62" t="s">
        <v>771</v>
      </c>
      <c r="I14" s="62"/>
      <c r="J14" s="62"/>
      <c r="K14" s="62"/>
      <c r="L14" s="63" t="s">
        <v>1003</v>
      </c>
    </row>
    <row r="15" customFormat="false" ht="33" hidden="false" customHeight="false" outlineLevel="0" collapsed="false">
      <c r="A15" s="62"/>
      <c r="B15" s="62"/>
      <c r="C15" s="62"/>
      <c r="D15" s="62" t="s">
        <v>1004</v>
      </c>
      <c r="E15" s="62"/>
      <c r="F15" s="62"/>
      <c r="G15" s="62" t="n">
        <v>22</v>
      </c>
      <c r="H15" s="62" t="s">
        <v>771</v>
      </c>
      <c r="I15" s="62"/>
      <c r="J15" s="62"/>
      <c r="K15" s="62"/>
      <c r="L15" s="62" t="s">
        <v>1005</v>
      </c>
    </row>
    <row r="16" customFormat="false" ht="33" hidden="false" customHeight="false" outlineLevel="0" collapsed="false">
      <c r="A16" s="62"/>
      <c r="B16" s="62"/>
      <c r="C16" s="62"/>
      <c r="D16" s="63" t="s">
        <v>246</v>
      </c>
      <c r="E16" s="62"/>
      <c r="F16" s="62"/>
      <c r="G16" s="62" t="n">
        <v>23</v>
      </c>
      <c r="H16" s="62" t="s">
        <v>301</v>
      </c>
      <c r="I16" s="62"/>
      <c r="J16" s="62"/>
      <c r="K16" s="62"/>
      <c r="L16" s="63" t="s">
        <v>1006</v>
      </c>
    </row>
    <row r="17" customFormat="false" ht="33" hidden="false" customHeight="false" outlineLevel="0" collapsed="false">
      <c r="A17" s="62"/>
      <c r="B17" s="62"/>
      <c r="C17" s="62"/>
      <c r="D17" s="63" t="s">
        <v>1007</v>
      </c>
      <c r="E17" s="62"/>
      <c r="F17" s="62"/>
      <c r="G17" s="62" t="n">
        <v>24</v>
      </c>
      <c r="H17" s="62" t="s">
        <v>1008</v>
      </c>
      <c r="I17" s="62"/>
      <c r="J17" s="62"/>
      <c r="K17" s="62"/>
      <c r="L17" s="63" t="s">
        <v>1009</v>
      </c>
    </row>
    <row r="18" customFormat="false" ht="17.25" hidden="false" customHeight="false" outlineLevel="0" collapsed="false">
      <c r="A18" s="62"/>
      <c r="B18" s="62"/>
      <c r="C18" s="62"/>
      <c r="D18" s="63" t="s">
        <v>1010</v>
      </c>
      <c r="E18" s="62"/>
      <c r="F18" s="62"/>
      <c r="G18" s="62"/>
      <c r="H18" s="62" t="s">
        <v>1011</v>
      </c>
      <c r="I18" s="62"/>
      <c r="J18" s="62"/>
      <c r="K18" s="62"/>
      <c r="L18" s="63" t="s">
        <v>1012</v>
      </c>
    </row>
    <row r="19" customFormat="false" ht="48.75" hidden="false" customHeight="false" outlineLevel="0" collapsed="false">
      <c r="A19" s="62"/>
      <c r="B19" s="62"/>
      <c r="C19" s="62"/>
      <c r="D19" s="62" t="s">
        <v>1013</v>
      </c>
      <c r="E19" s="62"/>
      <c r="F19" s="62"/>
      <c r="G19" s="62"/>
      <c r="H19" s="62" t="s">
        <v>1014</v>
      </c>
      <c r="I19" s="62"/>
      <c r="J19" s="62"/>
      <c r="K19" s="62"/>
      <c r="L19" s="63" t="s">
        <v>1015</v>
      </c>
    </row>
    <row r="20" customFormat="false" ht="33" hidden="false" customHeight="false" outlineLevel="0" collapsed="false">
      <c r="A20" s="62"/>
      <c r="B20" s="62"/>
      <c r="C20" s="62"/>
      <c r="D20" s="63" t="s">
        <v>1016</v>
      </c>
      <c r="E20" s="62"/>
      <c r="F20" s="62"/>
      <c r="G20" s="62"/>
      <c r="H20" s="62"/>
      <c r="I20" s="62"/>
      <c r="J20" s="62"/>
      <c r="K20" s="62"/>
      <c r="L20" s="63" t="s">
        <v>1017</v>
      </c>
    </row>
    <row r="21" customFormat="false" ht="33" hidden="false" customHeight="false" outlineLevel="0" collapsed="false">
      <c r="A21" s="62"/>
      <c r="B21" s="62"/>
      <c r="C21" s="62"/>
      <c r="D21" s="63" t="s">
        <v>1018</v>
      </c>
      <c r="E21" s="62"/>
      <c r="F21" s="62"/>
      <c r="G21" s="62" t="s">
        <v>1019</v>
      </c>
      <c r="H21" s="62"/>
      <c r="I21" s="62"/>
      <c r="J21" s="62"/>
      <c r="K21" s="62"/>
      <c r="L21" s="63" t="s">
        <v>1020</v>
      </c>
    </row>
    <row r="22" customFormat="false" ht="33" hidden="false" customHeight="false" outlineLevel="0" collapsed="false">
      <c r="A22" s="62"/>
      <c r="B22" s="62"/>
      <c r="C22" s="62"/>
      <c r="D22" s="63" t="s">
        <v>1021</v>
      </c>
      <c r="E22" s="62"/>
      <c r="F22" s="62"/>
      <c r="G22" s="62" t="n">
        <v>9</v>
      </c>
      <c r="H22" s="62" t="s">
        <v>771</v>
      </c>
      <c r="I22" s="62"/>
      <c r="J22" s="62"/>
      <c r="K22" s="62"/>
      <c r="L22" s="63" t="s">
        <v>1022</v>
      </c>
    </row>
    <row r="23" customFormat="false" ht="48.75" hidden="false" customHeight="false" outlineLevel="0" collapsed="false">
      <c r="A23" s="62"/>
      <c r="B23" s="62"/>
      <c r="C23" s="62"/>
      <c r="D23" s="63" t="s">
        <v>1023</v>
      </c>
      <c r="E23" s="62"/>
      <c r="F23" s="62"/>
      <c r="G23" s="62" t="n">
        <v>11</v>
      </c>
      <c r="H23" s="62" t="s">
        <v>1024</v>
      </c>
      <c r="I23" s="62"/>
      <c r="J23" s="62"/>
      <c r="K23" s="62"/>
      <c r="L23" s="63" t="s">
        <v>1025</v>
      </c>
    </row>
    <row r="24" customFormat="false" ht="33" hidden="false" customHeight="false" outlineLevel="0" collapsed="false">
      <c r="A24" s="62"/>
      <c r="B24" s="62"/>
      <c r="C24" s="62"/>
      <c r="D24" s="62" t="s">
        <v>1026</v>
      </c>
      <c r="E24" s="62"/>
      <c r="F24" s="62"/>
      <c r="G24" s="62" t="n">
        <v>12</v>
      </c>
      <c r="H24" s="62" t="s">
        <v>771</v>
      </c>
      <c r="I24" s="62"/>
      <c r="J24" s="62"/>
      <c r="K24" s="62"/>
      <c r="L24" s="63" t="s">
        <v>1027</v>
      </c>
    </row>
    <row r="25" customFormat="false" ht="33" hidden="false" customHeight="false" outlineLevel="0" collapsed="false">
      <c r="A25" s="62"/>
      <c r="B25" s="62"/>
      <c r="C25" s="62"/>
      <c r="D25" s="63" t="s">
        <v>1028</v>
      </c>
      <c r="E25" s="62"/>
      <c r="F25" s="62"/>
      <c r="G25" s="62" t="n">
        <v>13</v>
      </c>
      <c r="H25" s="62" t="s">
        <v>301</v>
      </c>
      <c r="I25" s="62"/>
      <c r="J25" s="62"/>
      <c r="K25" s="62"/>
      <c r="L25" s="63" t="s">
        <v>1029</v>
      </c>
    </row>
    <row r="26" customFormat="false" ht="17.25" hidden="false" customHeight="false" outlineLevel="0" collapsed="false">
      <c r="A26" s="62"/>
      <c r="B26" s="62"/>
      <c r="C26" s="62"/>
      <c r="D26" s="63" t="s">
        <v>1030</v>
      </c>
      <c r="E26" s="62"/>
      <c r="F26" s="62"/>
      <c r="G26" s="62" t="n">
        <v>16</v>
      </c>
      <c r="H26" s="62" t="s">
        <v>301</v>
      </c>
      <c r="I26" s="62"/>
      <c r="J26" s="62"/>
      <c r="K26" s="62"/>
      <c r="L26" s="63" t="s">
        <v>838</v>
      </c>
    </row>
    <row r="27" customFormat="false" ht="33" hidden="false" customHeight="false" outlineLevel="0" collapsed="false">
      <c r="A27" s="62"/>
      <c r="B27" s="62"/>
      <c r="C27" s="62"/>
      <c r="D27" s="63" t="s">
        <v>1031</v>
      </c>
      <c r="E27" s="62"/>
      <c r="F27" s="62"/>
      <c r="G27" s="62" t="n">
        <v>17</v>
      </c>
      <c r="H27" s="62" t="s">
        <v>301</v>
      </c>
      <c r="I27" s="62"/>
      <c r="J27" s="62"/>
      <c r="K27" s="62"/>
      <c r="L27" s="62" t="s">
        <v>1032</v>
      </c>
    </row>
    <row r="28" customFormat="false" ht="33" hidden="false" customHeight="false" outlineLevel="0" collapsed="false">
      <c r="A28" s="62"/>
      <c r="B28" s="62"/>
      <c r="C28" s="62"/>
      <c r="D28" s="63" t="s">
        <v>1033</v>
      </c>
      <c r="E28" s="62"/>
      <c r="F28" s="62"/>
      <c r="G28" s="62" t="n">
        <v>18</v>
      </c>
      <c r="H28" s="62" t="s">
        <v>301</v>
      </c>
      <c r="I28" s="62"/>
      <c r="J28" s="62"/>
      <c r="K28" s="62"/>
      <c r="L28" s="62" t="s">
        <v>1034</v>
      </c>
    </row>
    <row r="29" customFormat="false" ht="33" hidden="false" customHeight="false" outlineLevel="0" collapsed="false">
      <c r="A29" s="62"/>
      <c r="B29" s="62"/>
      <c r="C29" s="62"/>
      <c r="D29" s="63" t="s">
        <v>1035</v>
      </c>
      <c r="E29" s="62"/>
      <c r="F29" s="62"/>
      <c r="G29" s="62" t="n">
        <v>19</v>
      </c>
      <c r="H29" s="62" t="s">
        <v>771</v>
      </c>
      <c r="I29" s="62"/>
      <c r="J29" s="62"/>
      <c r="K29" s="62"/>
      <c r="L29" s="63" t="s">
        <v>1036</v>
      </c>
    </row>
    <row r="30" customFormat="false" ht="33" hidden="false" customHeight="false" outlineLevel="0" collapsed="false">
      <c r="A30" s="62"/>
      <c r="B30" s="62"/>
      <c r="C30" s="62"/>
      <c r="D30" s="63" t="s">
        <v>1023</v>
      </c>
      <c r="E30" s="62"/>
      <c r="F30" s="62"/>
      <c r="G30" s="62" t="n">
        <v>20</v>
      </c>
      <c r="H30" s="62" t="s">
        <v>1024</v>
      </c>
      <c r="I30" s="62"/>
      <c r="J30" s="62"/>
      <c r="K30" s="62"/>
      <c r="L30" s="63" t="s">
        <v>1037</v>
      </c>
    </row>
    <row r="31" customFormat="false" ht="33" hidden="false" customHeight="false" outlineLevel="0" collapsed="false">
      <c r="A31" s="62"/>
      <c r="B31" s="62"/>
      <c r="C31" s="62"/>
      <c r="D31" s="63" t="s">
        <v>917</v>
      </c>
      <c r="E31" s="62"/>
      <c r="F31" s="62"/>
      <c r="G31" s="62" t="n">
        <v>24</v>
      </c>
      <c r="H31" s="62" t="s">
        <v>301</v>
      </c>
      <c r="I31" s="62"/>
      <c r="J31" s="62"/>
      <c r="K31" s="62"/>
      <c r="L31" s="63" t="s">
        <v>1001</v>
      </c>
    </row>
    <row r="32" customFormat="false" ht="33" hidden="false" customHeight="false" outlineLevel="0" collapsed="false">
      <c r="A32" s="62"/>
      <c r="B32" s="62"/>
      <c r="C32" s="62"/>
      <c r="D32" s="62" t="s">
        <v>1038</v>
      </c>
      <c r="E32" s="62"/>
      <c r="F32" s="62"/>
      <c r="G32" s="62" t="n">
        <v>25</v>
      </c>
      <c r="H32" s="62" t="s">
        <v>771</v>
      </c>
      <c r="I32" s="62"/>
      <c r="J32" s="62"/>
      <c r="K32" s="62"/>
      <c r="L32" s="63" t="s">
        <v>1039</v>
      </c>
    </row>
    <row r="33" customFormat="false" ht="33" hidden="false" customHeight="false" outlineLevel="0" collapsed="false">
      <c r="A33" s="62"/>
      <c r="B33" s="62"/>
      <c r="C33" s="62"/>
      <c r="D33" s="63" t="s">
        <v>1040</v>
      </c>
      <c r="E33" s="62"/>
      <c r="F33" s="62"/>
      <c r="G33" s="62" t="s">
        <v>1041</v>
      </c>
      <c r="H33" s="62"/>
      <c r="I33" s="62"/>
      <c r="J33" s="62"/>
      <c r="K33" s="62"/>
      <c r="L33" s="63" t="s">
        <v>1042</v>
      </c>
    </row>
    <row r="34" customFormat="false" ht="33" hidden="false" customHeight="false" outlineLevel="0" collapsed="false">
      <c r="A34" s="62"/>
      <c r="B34" s="62"/>
      <c r="C34" s="62"/>
      <c r="D34" s="63" t="s">
        <v>1043</v>
      </c>
      <c r="E34" s="62"/>
      <c r="F34" s="62"/>
      <c r="G34" s="62" t="n">
        <v>4</v>
      </c>
      <c r="H34" s="62" t="s">
        <v>771</v>
      </c>
      <c r="I34" s="62"/>
      <c r="J34" s="62"/>
      <c r="K34" s="62"/>
      <c r="L34" s="63" t="s">
        <v>1044</v>
      </c>
    </row>
    <row r="35" customFormat="false" ht="48.75" hidden="false" customHeight="false" outlineLevel="0" collapsed="false">
      <c r="A35" s="62"/>
      <c r="B35" s="62"/>
      <c r="C35" s="62"/>
      <c r="D35" s="63" t="s">
        <v>1045</v>
      </c>
      <c r="E35" s="62"/>
      <c r="F35" s="62"/>
      <c r="G35" s="62" t="n">
        <v>5</v>
      </c>
      <c r="H35" s="62" t="s">
        <v>301</v>
      </c>
      <c r="I35" s="62"/>
      <c r="J35" s="62"/>
      <c r="K35" s="62"/>
      <c r="L35" s="63" t="s">
        <v>1046</v>
      </c>
    </row>
    <row r="36" customFormat="false" ht="17.25" hidden="false" customHeight="false" outlineLevel="0" collapsed="false">
      <c r="A36" s="62"/>
      <c r="B36" s="62"/>
      <c r="C36" s="62"/>
      <c r="D36" s="62" t="s">
        <v>1047</v>
      </c>
      <c r="E36" s="62"/>
      <c r="F36" s="62"/>
      <c r="G36" s="62" t="s">
        <v>1048</v>
      </c>
      <c r="H36" s="62"/>
      <c r="I36" s="62"/>
      <c r="J36" s="62"/>
      <c r="K36" s="62"/>
      <c r="L36" s="63" t="s">
        <v>1049</v>
      </c>
    </row>
    <row r="37" customFormat="false" ht="17.25" hidden="false" customHeight="false" outlineLevel="0" collapsed="false">
      <c r="A37" s="62"/>
      <c r="B37" s="62"/>
      <c r="C37" s="62"/>
      <c r="D37" s="63" t="s">
        <v>233</v>
      </c>
      <c r="E37" s="62"/>
      <c r="F37" s="62"/>
      <c r="G37" s="62" t="n">
        <v>1</v>
      </c>
      <c r="H37" s="62" t="s">
        <v>301</v>
      </c>
      <c r="I37" s="62"/>
      <c r="J37" s="62"/>
      <c r="K37" s="62"/>
      <c r="L37" s="63" t="s">
        <v>838</v>
      </c>
    </row>
    <row r="38" customFormat="false" ht="17.25" hidden="false" customHeight="false" outlineLevel="0" collapsed="false">
      <c r="A38" s="62"/>
      <c r="B38" s="62"/>
      <c r="C38" s="62"/>
      <c r="D38" s="62"/>
      <c r="E38" s="62"/>
      <c r="F38" s="62"/>
      <c r="G38" s="62" t="n">
        <v>2</v>
      </c>
      <c r="H38" s="62" t="s">
        <v>301</v>
      </c>
      <c r="I38" s="62"/>
      <c r="J38" s="62"/>
      <c r="K38" s="62"/>
      <c r="L38" s="63" t="s">
        <v>838</v>
      </c>
    </row>
    <row r="39" customFormat="false" ht="33" hidden="false" customHeight="false" outlineLevel="0" collapsed="false">
      <c r="A39" s="62"/>
      <c r="B39" s="62"/>
      <c r="C39" s="62"/>
      <c r="D39" s="62"/>
      <c r="E39" s="62"/>
      <c r="F39" s="62"/>
      <c r="G39" s="62" t="s">
        <v>1050</v>
      </c>
      <c r="H39" s="62"/>
      <c r="I39" s="62"/>
      <c r="J39" s="62"/>
      <c r="K39" s="62"/>
      <c r="L39" s="62" t="s">
        <v>1051</v>
      </c>
    </row>
    <row r="40" customFormat="false" ht="33" hidden="false" customHeight="false" outlineLevel="0" collapsed="false">
      <c r="A40" s="62"/>
      <c r="B40" s="62"/>
      <c r="C40" s="62"/>
      <c r="D40" s="62"/>
      <c r="E40" s="62"/>
      <c r="F40" s="62"/>
      <c r="G40" s="62" t="n">
        <v>11</v>
      </c>
      <c r="H40" s="62" t="s">
        <v>786</v>
      </c>
      <c r="I40" s="62"/>
      <c r="J40" s="62"/>
      <c r="K40" s="62"/>
      <c r="L40" s="63" t="s">
        <v>1052</v>
      </c>
    </row>
    <row r="41" customFormat="false" ht="33" hidden="false" customHeight="false" outlineLevel="0" collapsed="false">
      <c r="A41" s="62"/>
      <c r="B41" s="62"/>
      <c r="C41" s="62"/>
      <c r="D41" s="62"/>
      <c r="E41" s="62"/>
      <c r="F41" s="62"/>
      <c r="G41" s="64" t="n">
        <v>40878</v>
      </c>
      <c r="H41" s="62" t="s">
        <v>1053</v>
      </c>
      <c r="I41" s="62"/>
      <c r="J41" s="62"/>
      <c r="K41" s="62"/>
      <c r="L41" s="63" t="s">
        <v>1054</v>
      </c>
    </row>
    <row r="42" customFormat="false" ht="33" hidden="false" customHeight="false" outlineLevel="0" collapsed="false">
      <c r="A42" s="62"/>
      <c r="B42" s="62"/>
      <c r="C42" s="62"/>
      <c r="D42" s="62"/>
      <c r="E42" s="62"/>
      <c r="F42" s="62"/>
      <c r="G42" s="62" t="s">
        <v>631</v>
      </c>
      <c r="H42" s="62" t="s">
        <v>265</v>
      </c>
      <c r="I42" s="62"/>
      <c r="J42" s="62"/>
      <c r="K42" s="62"/>
      <c r="L42" s="63" t="s">
        <v>1055</v>
      </c>
    </row>
    <row r="43" customFormat="false" ht="33" hidden="false" customHeight="false" outlineLevel="0" collapsed="false">
      <c r="A43" s="62"/>
      <c r="B43" s="62"/>
      <c r="C43" s="62"/>
      <c r="D43" s="62"/>
      <c r="E43" s="62"/>
      <c r="F43" s="62"/>
      <c r="G43" s="62" t="n">
        <v>20</v>
      </c>
      <c r="H43" s="62" t="s">
        <v>301</v>
      </c>
      <c r="I43" s="62"/>
      <c r="J43" s="62"/>
      <c r="K43" s="62"/>
      <c r="L43" s="63" t="s">
        <v>1056</v>
      </c>
    </row>
    <row r="44" customFormat="false" ht="33" hidden="false" customHeight="false" outlineLevel="0" collapsed="false">
      <c r="A44" s="62"/>
      <c r="B44" s="62"/>
      <c r="C44" s="62"/>
      <c r="D44" s="62"/>
      <c r="E44" s="62"/>
      <c r="F44" s="62"/>
      <c r="G44" s="62" t="n">
        <v>21</v>
      </c>
      <c r="H44" s="62" t="s">
        <v>771</v>
      </c>
      <c r="I44" s="62"/>
      <c r="J44" s="62"/>
      <c r="K44" s="62"/>
      <c r="L44" s="63" t="s">
        <v>1023</v>
      </c>
    </row>
    <row r="45" customFormat="false" ht="33" hidden="false" customHeight="false" outlineLevel="0" collapsed="false">
      <c r="A45" s="62"/>
      <c r="B45" s="62"/>
      <c r="C45" s="62"/>
      <c r="D45" s="62"/>
      <c r="E45" s="62"/>
      <c r="F45" s="62"/>
      <c r="G45" s="62" t="s">
        <v>632</v>
      </c>
      <c r="H45" s="62" t="s">
        <v>265</v>
      </c>
      <c r="I45" s="62"/>
      <c r="J45" s="62"/>
      <c r="K45" s="62"/>
      <c r="L45" s="63" t="s">
        <v>1057</v>
      </c>
    </row>
    <row r="46" customFormat="false" ht="33" hidden="false" customHeight="false" outlineLevel="0" collapsed="false">
      <c r="A46" s="62"/>
      <c r="B46" s="62"/>
      <c r="C46" s="62"/>
      <c r="D46" s="62"/>
      <c r="E46" s="62"/>
      <c r="F46" s="62"/>
      <c r="G46" s="62" t="s">
        <v>869</v>
      </c>
      <c r="H46" s="62"/>
      <c r="I46" s="62"/>
      <c r="J46" s="62"/>
      <c r="K46" s="62"/>
      <c r="L46" s="62" t="s">
        <v>1058</v>
      </c>
    </row>
    <row r="47" customFormat="false" ht="33" hidden="false" customHeight="false" outlineLevel="0" collapsed="false">
      <c r="A47" s="62"/>
      <c r="B47" s="62"/>
      <c r="C47" s="62"/>
      <c r="D47" s="62"/>
      <c r="E47" s="62"/>
      <c r="F47" s="62"/>
      <c r="G47" s="62" t="s">
        <v>633</v>
      </c>
      <c r="H47" s="62" t="s">
        <v>1059</v>
      </c>
      <c r="I47" s="62"/>
      <c r="J47" s="62"/>
      <c r="K47" s="62"/>
      <c r="L47" s="63" t="s">
        <v>1060</v>
      </c>
    </row>
    <row r="48" customFormat="false" ht="33" hidden="false" customHeight="false" outlineLevel="0" collapsed="false">
      <c r="A48" s="62"/>
      <c r="B48" s="62"/>
      <c r="C48" s="62"/>
      <c r="D48" s="62"/>
      <c r="E48" s="62"/>
      <c r="F48" s="62"/>
      <c r="G48" s="62" t="s">
        <v>1061</v>
      </c>
      <c r="H48" s="62"/>
      <c r="I48" s="62"/>
      <c r="J48" s="62"/>
      <c r="K48" s="62"/>
      <c r="L48" s="63" t="s">
        <v>1062</v>
      </c>
    </row>
    <row r="49" customFormat="false" ht="33" hidden="false" customHeight="false" outlineLevel="0" collapsed="false">
      <c r="A49" s="62"/>
      <c r="B49" s="62"/>
      <c r="C49" s="62"/>
      <c r="D49" s="62"/>
      <c r="E49" s="62"/>
      <c r="F49" s="62"/>
      <c r="G49" s="62" t="n">
        <v>1</v>
      </c>
      <c r="H49" s="62" t="s">
        <v>1063</v>
      </c>
      <c r="I49" s="62"/>
      <c r="J49" s="62"/>
      <c r="K49" s="62"/>
      <c r="L49" s="63" t="s">
        <v>838</v>
      </c>
    </row>
    <row r="50" customFormat="false" ht="33" hidden="false" customHeight="false" outlineLevel="0" collapsed="false">
      <c r="A50" s="62"/>
      <c r="B50" s="62"/>
      <c r="C50" s="62"/>
      <c r="D50" s="62"/>
      <c r="E50" s="62"/>
      <c r="F50" s="62"/>
      <c r="G50" s="64" t="n">
        <v>40575</v>
      </c>
      <c r="H50" s="62" t="s">
        <v>1064</v>
      </c>
      <c r="I50" s="62"/>
      <c r="J50" s="62"/>
      <c r="K50" s="62"/>
      <c r="L50" s="63" t="s">
        <v>838</v>
      </c>
    </row>
    <row r="51" customFormat="false" ht="33" hidden="false" customHeight="false" outlineLevel="0" collapsed="false">
      <c r="A51" s="62"/>
      <c r="B51" s="62"/>
      <c r="C51" s="62"/>
      <c r="D51" s="62"/>
      <c r="E51" s="62"/>
      <c r="F51" s="62"/>
      <c r="G51" s="64" t="n">
        <v>40787</v>
      </c>
      <c r="H51" s="62" t="s">
        <v>265</v>
      </c>
      <c r="I51" s="62"/>
      <c r="J51" s="62"/>
      <c r="K51" s="62"/>
      <c r="L51" s="62" t="s">
        <v>1065</v>
      </c>
    </row>
    <row r="52" customFormat="false" ht="33" hidden="false" customHeight="false" outlineLevel="0" collapsed="false">
      <c r="A52" s="62"/>
      <c r="B52" s="62"/>
      <c r="C52" s="62"/>
      <c r="D52" s="62"/>
      <c r="E52" s="62"/>
      <c r="F52" s="62"/>
      <c r="G52" s="62" t="n">
        <v>10</v>
      </c>
      <c r="H52" s="62" t="s">
        <v>301</v>
      </c>
      <c r="I52" s="62"/>
      <c r="J52" s="62"/>
      <c r="K52" s="62"/>
      <c r="L52" s="63" t="s">
        <v>1052</v>
      </c>
    </row>
    <row r="53" customFormat="false" ht="33" hidden="false" customHeight="false" outlineLevel="0" collapsed="false">
      <c r="A53" s="62"/>
      <c r="B53" s="62"/>
      <c r="C53" s="62"/>
      <c r="D53" s="62"/>
      <c r="E53" s="62"/>
      <c r="F53" s="62"/>
      <c r="G53" s="62" t="n">
        <v>11</v>
      </c>
      <c r="H53" s="62" t="s">
        <v>301</v>
      </c>
      <c r="I53" s="62"/>
      <c r="J53" s="62"/>
      <c r="K53" s="62"/>
      <c r="L53" s="63" t="s">
        <v>1054</v>
      </c>
    </row>
    <row r="54" customFormat="false" ht="33" hidden="false" customHeight="false" outlineLevel="0" collapsed="false">
      <c r="A54" s="62"/>
      <c r="B54" s="62"/>
      <c r="C54" s="62"/>
      <c r="D54" s="62"/>
      <c r="E54" s="62"/>
      <c r="F54" s="62"/>
      <c r="G54" s="64" t="n">
        <v>40878</v>
      </c>
      <c r="H54" s="62" t="s">
        <v>265</v>
      </c>
      <c r="I54" s="62"/>
      <c r="J54" s="62"/>
      <c r="K54" s="62"/>
      <c r="L54" s="63" t="s">
        <v>1055</v>
      </c>
    </row>
    <row r="55" customFormat="false" ht="33" hidden="false" customHeight="false" outlineLevel="0" collapsed="false">
      <c r="A55" s="62"/>
      <c r="B55" s="62"/>
      <c r="C55" s="62"/>
      <c r="D55" s="62"/>
      <c r="E55" s="62"/>
      <c r="F55" s="62"/>
      <c r="G55" s="62" t="n">
        <v>20</v>
      </c>
      <c r="H55" s="62" t="s">
        <v>301</v>
      </c>
      <c r="I55" s="62"/>
      <c r="J55" s="62"/>
      <c r="K55" s="62"/>
      <c r="L55" s="63" t="s">
        <v>1066</v>
      </c>
    </row>
    <row r="56" customFormat="false" ht="33" hidden="false" customHeight="false" outlineLevel="0" collapsed="false">
      <c r="A56" s="62"/>
      <c r="B56" s="62"/>
      <c r="C56" s="62"/>
      <c r="D56" s="62"/>
      <c r="E56" s="62"/>
      <c r="F56" s="62"/>
      <c r="G56" s="62" t="s">
        <v>267</v>
      </c>
      <c r="H56" s="62" t="s">
        <v>268</v>
      </c>
      <c r="I56" s="62"/>
      <c r="J56" s="62"/>
      <c r="K56" s="62"/>
      <c r="L56" s="63" t="s">
        <v>1067</v>
      </c>
    </row>
    <row r="57" customFormat="false" ht="33" hidden="false" customHeight="false" outlineLevel="0" collapsed="false">
      <c r="A57" s="62"/>
      <c r="B57" s="62"/>
      <c r="C57" s="62"/>
      <c r="D57" s="62"/>
      <c r="E57" s="62"/>
      <c r="F57" s="62"/>
      <c r="G57" s="63" t="s">
        <v>1068</v>
      </c>
      <c r="H57" s="62" t="s">
        <v>1069</v>
      </c>
      <c r="I57" s="62"/>
      <c r="J57" s="62"/>
      <c r="K57" s="62"/>
      <c r="L57" s="63" t="s">
        <v>1070</v>
      </c>
    </row>
    <row r="58" customFormat="false" ht="48.75" hidden="false" customHeight="false" outlineLevel="0" collapsed="false">
      <c r="A58" s="62"/>
      <c r="B58" s="62"/>
      <c r="C58" s="62"/>
      <c r="D58" s="62"/>
      <c r="E58" s="62"/>
      <c r="F58" s="62"/>
      <c r="G58" s="63" t="s">
        <v>270</v>
      </c>
      <c r="H58" s="63" t="s">
        <v>821</v>
      </c>
      <c r="I58" s="62"/>
      <c r="J58" s="62"/>
      <c r="K58" s="62"/>
      <c r="L58" s="62" t="s">
        <v>1071</v>
      </c>
    </row>
    <row r="59" customFormat="false" ht="33" hidden="false" customHeight="false" outlineLevel="0" collapsed="false">
      <c r="A59" s="62"/>
      <c r="B59" s="62"/>
      <c r="C59" s="62"/>
      <c r="D59" s="62"/>
      <c r="E59" s="62"/>
      <c r="F59" s="62"/>
      <c r="G59" s="62" t="s">
        <v>267</v>
      </c>
      <c r="H59" s="62" t="s">
        <v>267</v>
      </c>
      <c r="I59" s="62"/>
      <c r="J59" s="62"/>
      <c r="K59" s="62"/>
      <c r="L59" s="63" t="s">
        <v>1072</v>
      </c>
    </row>
    <row r="60" customFormat="false" ht="17.25" hidden="false" customHeight="false" outlineLevel="0" collapsed="false">
      <c r="A60" s="62"/>
      <c r="B60" s="62"/>
      <c r="C60" s="62"/>
      <c r="D60" s="62"/>
      <c r="E60" s="62"/>
      <c r="F60" s="62"/>
      <c r="G60" s="62" t="s">
        <v>1073</v>
      </c>
      <c r="H60" s="62" t="s">
        <v>528</v>
      </c>
      <c r="I60" s="62"/>
      <c r="J60" s="62"/>
      <c r="K60" s="62"/>
      <c r="L60" s="63" t="s">
        <v>1074</v>
      </c>
    </row>
    <row r="61" customFormat="false" ht="33" hidden="false" customHeight="false" outlineLevel="0" collapsed="false">
      <c r="A61" s="62"/>
      <c r="B61" s="62"/>
      <c r="C61" s="62"/>
      <c r="D61" s="62"/>
      <c r="E61" s="62"/>
      <c r="F61" s="62"/>
      <c r="G61" s="62" t="s">
        <v>267</v>
      </c>
      <c r="H61" s="62" t="s">
        <v>267</v>
      </c>
      <c r="I61" s="62"/>
      <c r="J61" s="62"/>
      <c r="K61" s="62"/>
      <c r="L61" s="63" t="s">
        <v>838</v>
      </c>
    </row>
    <row r="62" customFormat="false" ht="33" hidden="false" customHeight="false" outlineLevel="0" collapsed="false">
      <c r="A62" s="62"/>
      <c r="B62" s="62"/>
      <c r="C62" s="62"/>
      <c r="D62" s="62"/>
      <c r="E62" s="62"/>
      <c r="F62" s="62"/>
      <c r="G62" s="62" t="s">
        <v>1075</v>
      </c>
      <c r="H62" s="62" t="s">
        <v>1076</v>
      </c>
      <c r="I62" s="62"/>
      <c r="J62" s="62"/>
      <c r="K62" s="62"/>
      <c r="L62" s="63" t="s">
        <v>838</v>
      </c>
    </row>
    <row r="63" customFormat="false" ht="33" hidden="false" customHeight="false" outlineLevel="0" collapsed="false">
      <c r="A63" s="62"/>
      <c r="B63" s="62"/>
      <c r="C63" s="62"/>
      <c r="D63" s="62"/>
      <c r="E63" s="62"/>
      <c r="F63" s="62"/>
      <c r="G63" s="62" t="s">
        <v>1077</v>
      </c>
      <c r="H63" s="62"/>
      <c r="I63" s="62"/>
      <c r="J63" s="62"/>
      <c r="K63" s="62"/>
      <c r="L63" s="62" t="s">
        <v>1078</v>
      </c>
    </row>
    <row r="64" customFormat="false" ht="17.25" hidden="false" customHeight="false" outlineLevel="0" collapsed="false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3" t="s">
        <v>1079</v>
      </c>
    </row>
    <row r="65" customFormat="false" ht="48.75" hidden="false" customHeight="false" outlineLevel="0" collapsed="false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3" t="s">
        <v>1080</v>
      </c>
    </row>
    <row r="66" customFormat="false" ht="17.25" hidden="false" customHeight="false" outlineLevel="0" collapsed="false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3" t="s">
        <v>1081</v>
      </c>
    </row>
    <row r="67" customFormat="false" ht="33" hidden="false" customHeight="false" outlineLevel="0" collapsed="false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 t="s">
        <v>1082</v>
      </c>
    </row>
    <row r="68" customFormat="false" ht="17.25" hidden="false" customHeight="false" outlineLevel="0" collapsed="false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3" t="s">
        <v>1083</v>
      </c>
    </row>
    <row r="69" customFormat="false" ht="48.75" hidden="false" customHeight="false" outlineLevel="0" collapsed="false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 t="s">
        <v>1084</v>
      </c>
    </row>
    <row r="70" customFormat="false" ht="33" hidden="false" customHeight="false" outlineLevel="0" collapsed="false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3" t="s">
        <v>1085</v>
      </c>
    </row>
    <row r="71" customFormat="false" ht="33" hidden="false" customHeight="false" outlineLevel="0" collapsed="false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3" t="s">
        <v>1086</v>
      </c>
    </row>
    <row r="72" customFormat="false" ht="17.25" hidden="false" customHeight="false" outlineLevel="0" collapsed="false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3" t="s">
        <v>895</v>
      </c>
    </row>
    <row r="73" customFormat="false" ht="33" hidden="false" customHeight="false" outlineLevel="0" collapsed="false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3" t="s">
        <v>1087</v>
      </c>
    </row>
    <row r="74" customFormat="false" ht="48.75" hidden="false" customHeight="false" outlineLevel="0" collapsed="false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3" t="s">
        <v>1088</v>
      </c>
    </row>
    <row r="75" customFormat="false" ht="17.25" hidden="false" customHeight="false" outlineLevel="0" collapsed="false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3" t="s">
        <v>1089</v>
      </c>
    </row>
    <row r="76" customFormat="false" ht="33" hidden="false" customHeight="false" outlineLevel="0" collapsed="false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3" t="s">
        <v>1090</v>
      </c>
    </row>
    <row r="77" customFormat="false" ht="33" hidden="false" customHeight="false" outlineLevel="0" collapsed="false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3" t="s">
        <v>1091</v>
      </c>
    </row>
    <row r="78" customFormat="false" ht="17.25" hidden="false" customHeight="false" outlineLevel="0" collapsed="false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 t="s">
        <v>1092</v>
      </c>
    </row>
    <row r="79" customFormat="false" ht="33" hidden="false" customHeight="false" outlineLevel="0" collapsed="false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3" t="s">
        <v>1093</v>
      </c>
    </row>
    <row r="80" customFormat="false" ht="33" hidden="false" customHeight="false" outlineLevel="0" collapsed="false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3" t="s">
        <v>1094</v>
      </c>
    </row>
    <row r="81" customFormat="false" ht="33" hidden="false" customHeight="false" outlineLevel="0" collapsed="false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3" t="s">
        <v>1095</v>
      </c>
    </row>
    <row r="82" customFormat="false" ht="33" hidden="false" customHeight="false" outlineLevel="0" collapsed="false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3" t="s">
        <v>1096</v>
      </c>
    </row>
    <row r="83" customFormat="false" ht="48.75" hidden="false" customHeight="false" outlineLevel="0" collapsed="false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3" t="s">
        <v>1097</v>
      </c>
    </row>
    <row r="84" customFormat="false" ht="33" hidden="false" customHeight="false" outlineLevel="0" collapsed="false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3" t="s">
        <v>1098</v>
      </c>
    </row>
    <row r="85" customFormat="false" ht="17.25" hidden="false" customHeight="false" outlineLevel="0" collapsed="false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3" t="s">
        <v>1099</v>
      </c>
    </row>
    <row r="86" customFormat="false" ht="33" hidden="false" customHeight="false" outlineLevel="0" collapsed="false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3" t="s">
        <v>1100</v>
      </c>
    </row>
    <row r="87" customFormat="false" ht="17.25" hidden="false" customHeight="false" outlineLevel="0" collapsed="false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3" t="s">
        <v>1101</v>
      </c>
    </row>
    <row r="88" customFormat="false" ht="33" hidden="false" customHeight="false" outlineLevel="0" collapsed="false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3" t="s">
        <v>1102</v>
      </c>
    </row>
    <row r="89" customFormat="false" ht="33" hidden="false" customHeight="false" outlineLevel="0" collapsed="false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3" t="s">
        <v>1103</v>
      </c>
    </row>
    <row r="90" customFormat="false" ht="17.25" hidden="false" customHeight="false" outlineLevel="0" collapsed="false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3" t="s">
        <v>838</v>
      </c>
    </row>
    <row r="91" customFormat="false" ht="17.25" hidden="false" customHeight="false" outlineLevel="0" collapsed="false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3" t="s">
        <v>838</v>
      </c>
    </row>
    <row r="92" customFormat="false" ht="33" hidden="false" customHeight="false" outlineLevel="0" collapsed="false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 t="s">
        <v>1104</v>
      </c>
    </row>
    <row r="93" customFormat="false" ht="17.25" hidden="false" customHeight="false" outlineLevel="0" collapsed="false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3" t="s">
        <v>1105</v>
      </c>
    </row>
    <row r="94" customFormat="false" ht="33" hidden="false" customHeight="false" outlineLevel="0" collapsed="false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3" t="s">
        <v>1106</v>
      </c>
    </row>
    <row r="95" customFormat="false" ht="33" hidden="false" customHeight="false" outlineLevel="0" collapsed="false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3" t="s">
        <v>1107</v>
      </c>
    </row>
    <row r="96" customFormat="false" ht="17.25" hidden="false" customHeight="false" outlineLevel="0" collapsed="false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 t="s">
        <v>1108</v>
      </c>
    </row>
    <row r="97" customFormat="false" ht="48.75" hidden="false" customHeight="false" outlineLevel="0" collapsed="false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3" t="s">
        <v>1109</v>
      </c>
    </row>
    <row r="98" customFormat="false" ht="33" hidden="false" customHeight="false" outlineLevel="0" collapsed="false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3" t="s">
        <v>1110</v>
      </c>
    </row>
    <row r="99" customFormat="false" ht="33" hidden="false" customHeight="false" outlineLevel="0" collapsed="false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3" t="s">
        <v>1111</v>
      </c>
    </row>
    <row r="100" customFormat="false" ht="17.25" hidden="false" customHeight="false" outlineLevel="0" collapsed="false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3" t="s">
        <v>1112</v>
      </c>
    </row>
    <row r="101" customFormat="false" ht="33" hidden="false" customHeight="false" outlineLevel="0" collapsed="false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3" t="s">
        <v>1113</v>
      </c>
    </row>
    <row r="102" customFormat="false" ht="33" hidden="false" customHeight="false" outlineLevel="0" collapsed="false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3" t="s">
        <v>1114</v>
      </c>
    </row>
    <row r="103" customFormat="false" ht="17.25" hidden="false" customHeight="false" outlineLevel="0" collapsed="false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3" t="s">
        <v>838</v>
      </c>
    </row>
    <row r="104" customFormat="false" ht="17.25" hidden="false" customHeight="false" outlineLevel="0" collapsed="false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3" t="s">
        <v>838</v>
      </c>
    </row>
    <row r="105" customFormat="false" ht="17.25" hidden="false" customHeight="false" outlineLevel="0" collapsed="false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 t="s">
        <v>1115</v>
      </c>
    </row>
    <row r="106" customFormat="false" ht="33" hidden="false" customHeight="false" outlineLevel="0" collapsed="false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3" t="s">
        <v>1116</v>
      </c>
    </row>
    <row r="107" customFormat="false" ht="33" hidden="false" customHeight="false" outlineLevel="0" collapsed="false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3" t="s">
        <v>1117</v>
      </c>
    </row>
    <row r="108" customFormat="false" ht="33" hidden="false" customHeight="false" outlineLevel="0" collapsed="false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3" t="s">
        <v>1118</v>
      </c>
    </row>
    <row r="109" customFormat="false" ht="48.75" hidden="false" customHeight="false" outlineLevel="0" collapsed="false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3" t="s">
        <v>1119</v>
      </c>
    </row>
    <row r="110" customFormat="false" ht="17.25" hidden="false" customHeight="false" outlineLevel="0" collapsed="false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3" t="s">
        <v>838</v>
      </c>
    </row>
    <row r="111" customFormat="false" ht="17.25" hidden="false" customHeight="false" outlineLevel="0" collapsed="false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3" t="s">
        <v>838</v>
      </c>
    </row>
    <row r="112" customFormat="false" ht="33" hidden="false" customHeight="false" outlineLevel="0" collapsed="false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3" t="s">
        <v>1120</v>
      </c>
    </row>
    <row r="113" customFormat="false" ht="33" hidden="false" customHeight="false" outlineLevel="0" collapsed="false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3" t="s">
        <v>1121</v>
      </c>
    </row>
    <row r="114" customFormat="false" ht="33" hidden="false" customHeight="false" outlineLevel="0" collapsed="false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3" t="s">
        <v>1122</v>
      </c>
    </row>
    <row r="115" customFormat="false" ht="33" hidden="false" customHeight="false" outlineLevel="0" collapsed="false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3" t="s">
        <v>1123</v>
      </c>
    </row>
    <row r="116" customFormat="false" ht="33" hidden="false" customHeight="false" outlineLevel="0" collapsed="false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3" t="s">
        <v>1124</v>
      </c>
    </row>
    <row r="117" customFormat="false" ht="33" hidden="false" customHeight="false" outlineLevel="0" collapsed="false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3" t="s">
        <v>1125</v>
      </c>
    </row>
    <row r="118" customFormat="false" ht="33" hidden="false" customHeight="false" outlineLevel="0" collapsed="false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3" t="s">
        <v>1126</v>
      </c>
    </row>
    <row r="119" customFormat="false" ht="33" hidden="false" customHeight="false" outlineLevel="0" collapsed="false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3" t="s">
        <v>1127</v>
      </c>
    </row>
    <row r="120" customFormat="false" ht="33" hidden="false" customHeight="false" outlineLevel="0" collapsed="false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3" t="s">
        <v>1128</v>
      </c>
    </row>
    <row r="121" customFormat="false" ht="33" hidden="false" customHeight="false" outlineLevel="0" collapsed="false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3" t="s">
        <v>1129</v>
      </c>
    </row>
    <row r="122" customFormat="false" ht="33" hidden="false" customHeight="false" outlineLevel="0" collapsed="false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 t="s">
        <v>1130</v>
      </c>
    </row>
    <row r="123" customFormat="false" ht="17.25" hidden="false" customHeight="false" outlineLevel="0" collapsed="false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3" t="s">
        <v>1131</v>
      </c>
    </row>
    <row r="124" customFormat="false" ht="33" hidden="false" customHeight="false" outlineLevel="0" collapsed="false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 t="s">
        <v>1132</v>
      </c>
    </row>
    <row r="125" customFormat="false" ht="33" hidden="false" customHeight="false" outlineLevel="0" collapsed="false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3" t="s">
        <v>1133</v>
      </c>
    </row>
    <row r="126" customFormat="false" ht="33" hidden="false" customHeight="false" outlineLevel="0" collapsed="false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3" t="s">
        <v>1134</v>
      </c>
    </row>
    <row r="127" customFormat="false" ht="17.25" hidden="false" customHeight="false" outlineLevel="0" collapsed="false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 t="s">
        <v>1135</v>
      </c>
    </row>
    <row r="128" customFormat="false" ht="17.25" hidden="false" customHeight="false" outlineLevel="0" collapsed="false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 t="s">
        <v>1136</v>
      </c>
    </row>
    <row r="129" customFormat="false" ht="17.25" hidden="false" customHeight="false" outlineLevel="0" collapsed="false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3" t="s">
        <v>1137</v>
      </c>
    </row>
    <row r="130" customFormat="false" ht="33" hidden="false" customHeight="false" outlineLevel="0" collapsed="false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3" t="s">
        <v>1138</v>
      </c>
    </row>
    <row r="131" customFormat="false" ht="33" hidden="false" customHeight="false" outlineLevel="0" collapsed="false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3" t="s">
        <v>1139</v>
      </c>
    </row>
    <row r="132" customFormat="false" ht="33" hidden="false" customHeight="false" outlineLevel="0" collapsed="false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3" t="s">
        <v>1140</v>
      </c>
    </row>
    <row r="133" customFormat="false" ht="17.25" hidden="false" customHeight="false" outlineLevel="0" collapsed="false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3" t="s">
        <v>1141</v>
      </c>
    </row>
    <row r="134" customFormat="false" ht="33" hidden="false" customHeight="false" outlineLevel="0" collapsed="false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3" t="s">
        <v>1142</v>
      </c>
    </row>
    <row r="135" customFormat="false" ht="17.25" hidden="false" customHeight="false" outlineLevel="0" collapsed="false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3" t="s">
        <v>1143</v>
      </c>
    </row>
    <row r="136" customFormat="false" ht="17.25" hidden="false" customHeight="false" outlineLevel="0" collapsed="false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3" t="s">
        <v>838</v>
      </c>
    </row>
    <row r="137" customFormat="false" ht="17.25" hidden="false" customHeight="false" outlineLevel="0" collapsed="false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3" t="s">
        <v>838</v>
      </c>
    </row>
    <row r="138" customFormat="false" ht="33" hidden="false" customHeight="false" outlineLevel="0" collapsed="false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3" t="s">
        <v>1144</v>
      </c>
    </row>
    <row r="139" customFormat="false" ht="33" hidden="false" customHeight="false" outlineLevel="0" collapsed="false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3" t="s">
        <v>1145</v>
      </c>
    </row>
    <row r="140" customFormat="false" ht="17.25" hidden="false" customHeight="false" outlineLevel="0" collapsed="false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3" t="s">
        <v>1146</v>
      </c>
    </row>
    <row r="141" customFormat="false" ht="33" hidden="false" customHeight="false" outlineLevel="0" collapsed="false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 t="s">
        <v>1147</v>
      </c>
    </row>
    <row r="142" customFormat="false" ht="33" hidden="false" customHeight="false" outlineLevel="0" collapsed="false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3" t="s">
        <v>1148</v>
      </c>
    </row>
    <row r="143" customFormat="false" ht="33" hidden="false" customHeight="false" outlineLevel="0" collapsed="false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3" t="s">
        <v>1149</v>
      </c>
    </row>
    <row r="144" customFormat="false" ht="33" hidden="false" customHeight="false" outlineLevel="0" collapsed="false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3" t="s">
        <v>1150</v>
      </c>
    </row>
    <row r="145" customFormat="false" ht="33" hidden="false" customHeight="false" outlineLevel="0" collapsed="false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3" t="s">
        <v>1151</v>
      </c>
    </row>
    <row r="146" customFormat="false" ht="33" hidden="false" customHeight="false" outlineLevel="0" collapsed="false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 t="s">
        <v>1152</v>
      </c>
    </row>
    <row r="147" customFormat="false" ht="33" hidden="false" customHeight="false" outlineLevel="0" collapsed="false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 t="s">
        <v>1153</v>
      </c>
    </row>
    <row r="148" customFormat="false" ht="33" hidden="false" customHeight="false" outlineLevel="0" collapsed="false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 t="s">
        <v>1154</v>
      </c>
    </row>
    <row r="149" customFormat="false" ht="33" hidden="false" customHeight="false" outlineLevel="0" collapsed="false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 t="s">
        <v>1155</v>
      </c>
    </row>
    <row r="150" customFormat="false" ht="17.25" hidden="false" customHeight="false" outlineLevel="0" collapsed="false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 t="n">
        <f aca="false">-19/1-20-21-22/1</f>
        <v>-82</v>
      </c>
    </row>
    <row r="151" customFormat="false" ht="33" hidden="false" customHeight="false" outlineLevel="0" collapsed="false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 t="s">
        <v>1156</v>
      </c>
    </row>
    <row r="152" customFormat="false" ht="33" hidden="false" customHeight="false" outlineLevel="0" collapsed="false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 t="s">
        <v>1157</v>
      </c>
    </row>
    <row r="153" customFormat="false" ht="33" hidden="false" customHeight="false" outlineLevel="0" collapsed="false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3" t="s">
        <v>1158</v>
      </c>
    </row>
    <row r="154" customFormat="false" ht="33" hidden="false" customHeight="false" outlineLevel="0" collapsed="false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3" t="s">
        <v>1159</v>
      </c>
    </row>
    <row r="155" customFormat="false" ht="33" hidden="false" customHeight="false" outlineLevel="0" collapsed="false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 t="s">
        <v>1160</v>
      </c>
    </row>
    <row r="156" customFormat="false" ht="33" hidden="false" customHeight="false" outlineLevel="0" collapsed="false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3" t="s">
        <v>1161</v>
      </c>
    </row>
    <row r="157" customFormat="false" ht="17.25" hidden="false" customHeight="false" outlineLevel="0" collapsed="false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3" t="s">
        <v>838</v>
      </c>
    </row>
    <row r="158" customFormat="false" ht="17.25" hidden="false" customHeight="false" outlineLevel="0" collapsed="false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3" t="s">
        <v>838</v>
      </c>
    </row>
    <row r="159" customFormat="false" ht="33" hidden="false" customHeight="false" outlineLevel="0" collapsed="false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3" t="s">
        <v>1162</v>
      </c>
    </row>
    <row r="160" customFormat="false" ht="33" hidden="false" customHeight="false" outlineLevel="0" collapsed="false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3" t="s">
        <v>1163</v>
      </c>
    </row>
    <row r="161" customFormat="false" ht="17.25" hidden="false" customHeight="false" outlineLevel="0" collapsed="false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3" t="s">
        <v>1164</v>
      </c>
    </row>
    <row r="162" customFormat="false" ht="33" hidden="false" customHeight="false" outlineLevel="0" collapsed="false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 t="s">
        <v>1147</v>
      </c>
    </row>
    <row r="163" customFormat="false" ht="33" hidden="false" customHeight="false" outlineLevel="0" collapsed="false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3" t="s">
        <v>1165</v>
      </c>
    </row>
    <row r="164" customFormat="false" ht="33" hidden="false" customHeight="false" outlineLevel="0" collapsed="false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3" t="s">
        <v>1166</v>
      </c>
    </row>
    <row r="165" customFormat="false" ht="33" hidden="false" customHeight="false" outlineLevel="0" collapsed="false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3" t="s">
        <v>1167</v>
      </c>
    </row>
    <row r="166" customFormat="false" ht="33" hidden="false" customHeight="false" outlineLevel="0" collapsed="false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3" t="s">
        <v>1151</v>
      </c>
    </row>
    <row r="167" customFormat="false" ht="33" hidden="false" customHeight="false" outlineLevel="0" collapsed="false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 t="s">
        <v>1168</v>
      </c>
    </row>
    <row r="168" customFormat="false" ht="33" hidden="false" customHeight="false" outlineLevel="0" collapsed="false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 t="s">
        <v>1153</v>
      </c>
    </row>
    <row r="169" customFormat="false" ht="33" hidden="false" customHeight="false" outlineLevel="0" collapsed="false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 t="s">
        <v>1154</v>
      </c>
    </row>
    <row r="170" customFormat="false" ht="33" hidden="false" customHeight="false" outlineLevel="0" collapsed="false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 t="s">
        <v>1169</v>
      </c>
    </row>
    <row r="171" customFormat="false" ht="17.25" hidden="false" customHeight="false" outlineLevel="0" collapsed="false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 t="n">
        <f aca="false">-19/1-20-21-22/1</f>
        <v>-82</v>
      </c>
    </row>
    <row r="172" customFormat="false" ht="33" hidden="false" customHeight="false" outlineLevel="0" collapsed="false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 t="s">
        <v>1156</v>
      </c>
    </row>
    <row r="173" customFormat="false" ht="33" hidden="false" customHeight="false" outlineLevel="0" collapsed="false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 t="s">
        <v>1170</v>
      </c>
    </row>
    <row r="174" customFormat="false" ht="48.75" hidden="false" customHeight="false" outlineLevel="0" collapsed="false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3" t="s">
        <v>1171</v>
      </c>
    </row>
    <row r="175" customFormat="false" ht="17.25" hidden="false" customHeight="false" outlineLevel="0" collapsed="false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 t="s">
        <v>1172</v>
      </c>
    </row>
    <row r="176" customFormat="false" ht="33" hidden="false" customHeight="false" outlineLevel="0" collapsed="false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3" t="s">
        <v>1159</v>
      </c>
    </row>
    <row r="177" customFormat="false" ht="48.75" hidden="false" customHeight="false" outlineLevel="0" collapsed="false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 t="s">
        <v>1173</v>
      </c>
    </row>
    <row r="178" customFormat="false" ht="33" hidden="false" customHeight="false" outlineLevel="0" collapsed="false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3" t="s">
        <v>1174</v>
      </c>
    </row>
    <row r="179" customFormat="false" ht="17.25" hidden="false" customHeight="false" outlineLevel="0" collapsed="false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3" t="s">
        <v>838</v>
      </c>
    </row>
    <row r="180" customFormat="false" ht="17.25" hidden="false" customHeight="false" outlineLevel="0" collapsed="false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3" t="s">
        <v>838</v>
      </c>
    </row>
    <row r="181" customFormat="false" ht="33" hidden="false" customHeight="false" outlineLevel="0" collapsed="false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 t="s">
        <v>1175</v>
      </c>
    </row>
    <row r="182" customFormat="false" ht="33" hidden="false" customHeight="false" outlineLevel="0" collapsed="false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3" t="s">
        <v>1176</v>
      </c>
    </row>
    <row r="183" customFormat="false" ht="17.25" hidden="false" customHeight="false" outlineLevel="0" collapsed="false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 t="s">
        <v>1177</v>
      </c>
    </row>
    <row r="184" customFormat="false" ht="17.25" hidden="false" customHeight="false" outlineLevel="0" collapsed="false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3" t="s">
        <v>1178</v>
      </c>
    </row>
    <row r="185" customFormat="false" ht="33" hidden="false" customHeight="false" outlineLevel="0" collapsed="false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3" t="s">
        <v>1179</v>
      </c>
    </row>
    <row r="186" customFormat="false" ht="33" hidden="false" customHeight="false" outlineLevel="0" collapsed="false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3" t="s">
        <v>1180</v>
      </c>
    </row>
    <row r="187" customFormat="false" ht="33" hidden="false" customHeight="false" outlineLevel="0" collapsed="false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3" t="s">
        <v>1181</v>
      </c>
    </row>
    <row r="188" customFormat="false" ht="33" hidden="false" customHeight="false" outlineLevel="0" collapsed="false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3" t="s">
        <v>1182</v>
      </c>
    </row>
    <row r="189" customFormat="false" ht="17.25" hidden="false" customHeight="false" outlineLevel="0" collapsed="false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3" t="s">
        <v>1183</v>
      </c>
    </row>
    <row r="190" customFormat="false" ht="33" hidden="false" customHeight="false" outlineLevel="0" collapsed="false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3" t="s">
        <v>1184</v>
      </c>
    </row>
    <row r="191" customFormat="false" ht="17.25" hidden="false" customHeight="false" outlineLevel="0" collapsed="false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3" t="s">
        <v>1185</v>
      </c>
    </row>
    <row r="192" customFormat="false" ht="48.75" hidden="false" customHeight="false" outlineLevel="0" collapsed="false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3" t="s">
        <v>1186</v>
      </c>
    </row>
    <row r="193" customFormat="false" ht="33" hidden="false" customHeight="false" outlineLevel="0" collapsed="false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3" t="s">
        <v>1187</v>
      </c>
    </row>
    <row r="194" customFormat="false" ht="33" hidden="false" customHeight="false" outlineLevel="0" collapsed="false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3" t="s">
        <v>1188</v>
      </c>
    </row>
    <row r="195" customFormat="false" ht="33" hidden="false" customHeight="false" outlineLevel="0" collapsed="false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3" t="s">
        <v>1189</v>
      </c>
    </row>
    <row r="196" customFormat="false" ht="33" hidden="false" customHeight="false" outlineLevel="0" collapsed="false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3" t="s">
        <v>1190</v>
      </c>
    </row>
    <row r="197" customFormat="false" ht="33" hidden="false" customHeight="false" outlineLevel="0" collapsed="false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 t="s">
        <v>1191</v>
      </c>
    </row>
    <row r="198" customFormat="false" ht="17.25" hidden="false" customHeight="false" outlineLevel="0" collapsed="false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3" t="s">
        <v>838</v>
      </c>
    </row>
    <row r="199" customFormat="false" ht="17.25" hidden="false" customHeight="false" outlineLevel="0" collapsed="false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3" t="s">
        <v>838</v>
      </c>
    </row>
    <row r="200" customFormat="false" ht="33" hidden="false" customHeight="false" outlineLevel="0" collapsed="false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3" t="s">
        <v>1192</v>
      </c>
    </row>
    <row r="201" customFormat="false" ht="33" hidden="false" customHeight="false" outlineLevel="0" collapsed="false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 t="s">
        <v>1193</v>
      </c>
    </row>
    <row r="202" customFormat="false" ht="33" hidden="false" customHeight="false" outlineLevel="0" collapsed="false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3" t="s">
        <v>1194</v>
      </c>
    </row>
    <row r="203" customFormat="false" ht="33" hidden="false" customHeight="false" outlineLevel="0" collapsed="false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3" t="s">
        <v>1195</v>
      </c>
    </row>
    <row r="204" customFormat="false" ht="33" hidden="false" customHeight="false" outlineLevel="0" collapsed="false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3" t="s">
        <v>1196</v>
      </c>
    </row>
    <row r="205" customFormat="false" ht="33" hidden="false" customHeight="false" outlineLevel="0" collapsed="false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 t="s">
        <v>1197</v>
      </c>
    </row>
    <row r="206" customFormat="false" ht="33" hidden="false" customHeight="false" outlineLevel="0" collapsed="false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3" t="s">
        <v>1198</v>
      </c>
    </row>
    <row r="207" customFormat="false" ht="33" hidden="false" customHeight="false" outlineLevel="0" collapsed="false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3" t="s">
        <v>1199</v>
      </c>
    </row>
    <row r="208" customFormat="false" ht="33" hidden="false" customHeight="false" outlineLevel="0" collapsed="false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3" t="s">
        <v>1200</v>
      </c>
    </row>
    <row r="209" customFormat="false" ht="33" hidden="false" customHeight="false" outlineLevel="0" collapsed="false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3" t="s">
        <v>1201</v>
      </c>
    </row>
    <row r="210" customFormat="false" ht="33" hidden="false" customHeight="false" outlineLevel="0" collapsed="false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3" t="s">
        <v>1202</v>
      </c>
    </row>
    <row r="211" customFormat="false" ht="17.25" hidden="false" customHeight="false" outlineLevel="0" collapsed="false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3" t="s">
        <v>1203</v>
      </c>
    </row>
    <row r="212" customFormat="false" ht="33" hidden="false" customHeight="false" outlineLevel="0" collapsed="false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3" t="s">
        <v>1204</v>
      </c>
    </row>
    <row r="213" customFormat="false" ht="33" hidden="false" customHeight="false" outlineLevel="0" collapsed="false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3" t="s">
        <v>1205</v>
      </c>
    </row>
    <row r="214" customFormat="false" ht="33" hidden="false" customHeight="false" outlineLevel="0" collapsed="false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3" t="s">
        <v>1206</v>
      </c>
    </row>
    <row r="215" customFormat="false" ht="33" hidden="false" customHeight="false" outlineLevel="0" collapsed="false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3" t="s">
        <v>1207</v>
      </c>
    </row>
    <row r="216" customFormat="false" ht="33" hidden="false" customHeight="false" outlineLevel="0" collapsed="false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3" t="s">
        <v>1208</v>
      </c>
    </row>
    <row r="217" customFormat="false" ht="33" hidden="false" customHeight="false" outlineLevel="0" collapsed="false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3" t="s">
        <v>1209</v>
      </c>
    </row>
    <row r="218" customFormat="false" ht="17.25" hidden="false" customHeight="false" outlineLevel="0" collapsed="false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3" t="s">
        <v>1049</v>
      </c>
    </row>
    <row r="219" customFormat="false" ht="17.25" hidden="false" customHeight="false" outlineLevel="0" collapsed="false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3" t="s">
        <v>838</v>
      </c>
    </row>
    <row r="220" customFormat="false" ht="33" hidden="false" customHeight="false" outlineLevel="0" collapsed="false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3" t="s">
        <v>1210</v>
      </c>
    </row>
    <row r="221" customFormat="false" ht="17.25" hidden="false" customHeight="false" outlineLevel="0" collapsed="false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 t="s">
        <v>1211</v>
      </c>
    </row>
    <row r="222" customFormat="false" ht="17.25" hidden="false" customHeight="false" outlineLevel="0" collapsed="false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 t="s">
        <v>1212</v>
      </c>
    </row>
    <row r="223" customFormat="false" ht="33" hidden="false" customHeight="false" outlineLevel="0" collapsed="false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 t="s">
        <v>1213</v>
      </c>
    </row>
    <row r="224" customFormat="false" ht="33" hidden="false" customHeight="false" outlineLevel="0" collapsed="false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3" t="s">
        <v>1214</v>
      </c>
    </row>
    <row r="225" customFormat="false" ht="33" hidden="false" customHeight="false" outlineLevel="0" collapsed="false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 t="s">
        <v>1215</v>
      </c>
    </row>
    <row r="226" customFormat="false" ht="17.25" hidden="false" customHeight="false" outlineLevel="0" collapsed="false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3" t="s">
        <v>1203</v>
      </c>
    </row>
    <row r="227" customFormat="false" ht="33" hidden="false" customHeight="false" outlineLevel="0" collapsed="false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3" t="s">
        <v>1216</v>
      </c>
    </row>
    <row r="228" customFormat="false" ht="33" hidden="false" customHeight="false" outlineLevel="0" collapsed="false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 t="s">
        <v>1217</v>
      </c>
    </row>
    <row r="229" customFormat="false" ht="17.25" hidden="false" customHeight="false" outlineLevel="0" collapsed="false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3" t="s">
        <v>956</v>
      </c>
    </row>
    <row r="230" customFormat="false" ht="33" hidden="false" customHeight="false" outlineLevel="0" collapsed="false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3" t="s">
        <v>1218</v>
      </c>
    </row>
    <row r="231" customFormat="false" ht="33" hidden="false" customHeight="false" outlineLevel="0" collapsed="false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 t="s">
        <v>1219</v>
      </c>
    </row>
    <row r="232" customFormat="false" ht="33" hidden="false" customHeight="false" outlineLevel="0" collapsed="false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3" t="s">
        <v>255</v>
      </c>
    </row>
    <row r="233" customFormat="false" ht="33" hidden="false" customHeight="false" outlineLevel="0" collapsed="false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3" t="s">
        <v>1220</v>
      </c>
    </row>
    <row r="234" customFormat="false" ht="33" hidden="false" customHeight="false" outlineLevel="0" collapsed="false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 t="s">
        <v>1221</v>
      </c>
    </row>
    <row r="235" customFormat="false" ht="33" hidden="false" customHeight="false" outlineLevel="0" collapsed="false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 t="s">
        <v>1222</v>
      </c>
    </row>
    <row r="236" customFormat="false" ht="33" hidden="false" customHeight="false" outlineLevel="0" collapsed="false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3" t="s">
        <v>1223</v>
      </c>
    </row>
    <row r="237" customFormat="false" ht="33" hidden="false" customHeight="false" outlineLevel="0" collapsed="false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3" t="s">
        <v>1224</v>
      </c>
    </row>
    <row r="238" customFormat="false" ht="33" hidden="false" customHeight="false" outlineLevel="0" collapsed="false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3" t="s">
        <v>1225</v>
      </c>
    </row>
    <row r="239" customFormat="false" ht="33" hidden="false" customHeight="false" outlineLevel="0" collapsed="false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 t="s">
        <v>1226</v>
      </c>
    </row>
    <row r="240" customFormat="false" ht="17.25" hidden="false" customHeight="false" outlineLevel="0" collapsed="false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3" t="s">
        <v>1227</v>
      </c>
    </row>
    <row r="241" customFormat="false" ht="33" hidden="false" customHeight="false" outlineLevel="0" collapsed="false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3" t="s">
        <v>1228</v>
      </c>
    </row>
    <row r="242" customFormat="false" ht="33" hidden="false" customHeight="false" outlineLevel="0" collapsed="false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 t="s">
        <v>1229</v>
      </c>
    </row>
    <row r="243" customFormat="false" ht="33" hidden="false" customHeight="false" outlineLevel="0" collapsed="false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3" t="s">
        <v>255</v>
      </c>
    </row>
    <row r="244" customFormat="false" ht="33" hidden="false" customHeight="false" outlineLevel="0" collapsed="false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3" t="s">
        <v>1220</v>
      </c>
    </row>
    <row r="245" customFormat="false" ht="17.25" hidden="false" customHeight="false" outlineLevel="0" collapsed="false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 t="s">
        <v>1230</v>
      </c>
    </row>
    <row r="246" customFormat="false" ht="33" hidden="false" customHeight="false" outlineLevel="0" collapsed="false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 t="s">
        <v>1231</v>
      </c>
    </row>
    <row r="247" customFormat="false" ht="33" hidden="false" customHeight="false" outlineLevel="0" collapsed="false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 t="s">
        <v>1232</v>
      </c>
    </row>
    <row r="248" customFormat="false" ht="33" hidden="false" customHeight="false" outlineLevel="0" collapsed="false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3" t="s">
        <v>1233</v>
      </c>
    </row>
    <row r="249" customFormat="false" ht="48.75" hidden="false" customHeight="false" outlineLevel="0" collapsed="false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3" t="s">
        <v>1234</v>
      </c>
    </row>
    <row r="250" customFormat="false" ht="17.25" hidden="false" customHeight="false" outlineLevel="0" collapsed="false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3" t="s">
        <v>1227</v>
      </c>
    </row>
    <row r="251" customFormat="false" ht="33" hidden="false" customHeight="false" outlineLevel="0" collapsed="false">
      <c r="A251" s="62"/>
      <c r="B251" s="62" t="n">
        <v>484</v>
      </c>
      <c r="C251" s="62"/>
      <c r="D251" s="62"/>
      <c r="E251" s="63" t="s">
        <v>1235</v>
      </c>
      <c r="F251" s="62"/>
      <c r="G251" s="62" t="s">
        <v>1236</v>
      </c>
      <c r="H251" s="62"/>
      <c r="I251" s="62"/>
      <c r="J251" s="62"/>
      <c r="K251" s="62"/>
      <c r="L251" s="62"/>
    </row>
    <row r="252" customFormat="false" ht="33" hidden="false" customHeight="false" outlineLevel="0" collapsed="false">
      <c r="A252" s="62"/>
      <c r="B252" s="62"/>
      <c r="C252" s="62"/>
      <c r="D252" s="62"/>
      <c r="E252" s="63" t="s">
        <v>233</v>
      </c>
      <c r="F252" s="62"/>
      <c r="G252" s="62" t="s">
        <v>603</v>
      </c>
      <c r="H252" s="62" t="s">
        <v>1237</v>
      </c>
      <c r="I252" s="62"/>
      <c r="J252" s="62"/>
      <c r="K252" s="62"/>
      <c r="L252" s="62"/>
    </row>
    <row r="253" customFormat="false" ht="17.25" hidden="false" customHeight="false" outlineLevel="0" collapsed="false">
      <c r="A253" s="62"/>
      <c r="B253" s="62"/>
      <c r="C253" s="62"/>
      <c r="D253" s="62"/>
      <c r="E253" s="63" t="s">
        <v>237</v>
      </c>
      <c r="F253" s="62"/>
      <c r="G253" s="62" t="s">
        <v>906</v>
      </c>
      <c r="H253" s="62" t="s">
        <v>1238</v>
      </c>
      <c r="I253" s="62"/>
      <c r="J253" s="62"/>
      <c r="K253" s="62"/>
      <c r="L253" s="62"/>
    </row>
    <row r="254" customFormat="false" ht="17.25" hidden="false" customHeight="false" outlineLevel="0" collapsed="false">
      <c r="A254" s="62"/>
      <c r="B254" s="62"/>
      <c r="C254" s="62"/>
      <c r="D254" s="62"/>
      <c r="E254" s="62"/>
      <c r="F254" s="62"/>
      <c r="G254" s="62" t="s">
        <v>1061</v>
      </c>
      <c r="H254" s="62"/>
      <c r="I254" s="62"/>
      <c r="J254" s="62"/>
      <c r="K254" s="62"/>
      <c r="L254" s="62"/>
    </row>
    <row r="255" customFormat="false" ht="17.25" hidden="false" customHeight="false" outlineLevel="0" collapsed="false">
      <c r="A255" s="62"/>
      <c r="B255" s="62"/>
      <c r="C255" s="62"/>
      <c r="D255" s="62"/>
      <c r="E255" s="62"/>
      <c r="F255" s="62"/>
      <c r="G255" s="62" t="n">
        <v>21</v>
      </c>
      <c r="H255" s="62" t="s">
        <v>301</v>
      </c>
      <c r="I255" s="62"/>
      <c r="J255" s="62"/>
      <c r="K255" s="62"/>
      <c r="L255" s="62"/>
    </row>
    <row r="256" customFormat="false" ht="33" hidden="false" customHeight="false" outlineLevel="0" collapsed="false">
      <c r="A256" s="62"/>
      <c r="B256" s="62"/>
      <c r="C256" s="62"/>
      <c r="D256" s="62"/>
      <c r="E256" s="62"/>
      <c r="F256" s="62"/>
      <c r="G256" s="62" t="s">
        <v>267</v>
      </c>
      <c r="H256" s="62" t="s">
        <v>268</v>
      </c>
      <c r="I256" s="62"/>
      <c r="J256" s="62"/>
      <c r="K256" s="62"/>
      <c r="L256" s="62"/>
    </row>
    <row r="257" customFormat="false" ht="17.25" hidden="false" customHeight="false" outlineLevel="0" collapsed="false">
      <c r="A257" s="62"/>
      <c r="B257" s="62"/>
      <c r="C257" s="62"/>
      <c r="D257" s="62"/>
      <c r="E257" s="62"/>
      <c r="F257" s="62"/>
      <c r="G257" s="63" t="s">
        <v>269</v>
      </c>
      <c r="H257" s="64" t="n">
        <v>40827</v>
      </c>
      <c r="I257" s="62"/>
      <c r="J257" s="62"/>
      <c r="K257" s="62"/>
      <c r="L257" s="62"/>
    </row>
    <row r="258" customFormat="false" ht="33" hidden="false" customHeight="false" outlineLevel="0" collapsed="false">
      <c r="A258" s="62"/>
      <c r="B258" s="62"/>
      <c r="C258" s="62"/>
      <c r="D258" s="62"/>
      <c r="E258" s="62"/>
      <c r="F258" s="62"/>
      <c r="G258" s="63" t="s">
        <v>270</v>
      </c>
      <c r="H258" s="62"/>
      <c r="I258" s="62"/>
      <c r="J258" s="62"/>
      <c r="K258" s="62"/>
      <c r="L258" s="62"/>
    </row>
    <row r="259" customFormat="false" ht="33" hidden="false" customHeight="false" outlineLevel="0" collapsed="false">
      <c r="A259" s="62"/>
      <c r="B259" s="62"/>
      <c r="C259" s="62"/>
      <c r="D259" s="62"/>
      <c r="E259" s="62"/>
      <c r="F259" s="62"/>
      <c r="G259" s="62" t="s">
        <v>267</v>
      </c>
      <c r="H259" s="62"/>
      <c r="I259" s="62"/>
      <c r="J259" s="62"/>
      <c r="K259" s="62"/>
      <c r="L259" s="62"/>
    </row>
    <row r="260" customFormat="false" ht="17.25" hidden="false" customHeight="false" outlineLevel="0" collapsed="false">
      <c r="A260" s="62"/>
      <c r="B260" s="62"/>
      <c r="C260" s="62"/>
      <c r="D260" s="62"/>
      <c r="E260" s="62"/>
      <c r="F260" s="62"/>
      <c r="G260" s="64" t="n">
        <v>40827</v>
      </c>
      <c r="H260" s="62"/>
      <c r="I260" s="62"/>
      <c r="J260" s="62"/>
      <c r="K260" s="62"/>
      <c r="L260" s="62"/>
    </row>
    <row r="261" customFormat="false" ht="33" hidden="false" customHeight="false" outlineLevel="0" collapsed="false">
      <c r="A261" s="62"/>
      <c r="B261" s="62"/>
      <c r="C261" s="62"/>
      <c r="D261" s="62"/>
      <c r="E261" s="62"/>
      <c r="F261" s="62"/>
      <c r="G261" s="62" t="s">
        <v>267</v>
      </c>
      <c r="H261" s="62"/>
      <c r="I261" s="62"/>
      <c r="J261" s="62"/>
      <c r="K261" s="62"/>
      <c r="L261" s="62"/>
    </row>
    <row r="262" customFormat="false" ht="33" hidden="false" customHeight="false" outlineLevel="0" collapsed="false">
      <c r="A262" s="62"/>
      <c r="B262" s="62"/>
      <c r="C262" s="62"/>
      <c r="D262" s="62"/>
      <c r="E262" s="62"/>
      <c r="F262" s="62"/>
      <c r="G262" s="62" t="s">
        <v>1239</v>
      </c>
      <c r="H262" s="62"/>
      <c r="I262" s="62"/>
      <c r="J262" s="62"/>
      <c r="K262" s="62"/>
      <c r="L262" s="62"/>
    </row>
    <row r="263" customFormat="false" ht="33" hidden="false" customHeight="false" outlineLevel="0" collapsed="false">
      <c r="A263" s="62"/>
      <c r="B263" s="62" t="n">
        <v>485</v>
      </c>
      <c r="C263" s="62"/>
      <c r="D263" s="62"/>
      <c r="E263" s="63" t="s">
        <v>1240</v>
      </c>
      <c r="F263" s="62"/>
      <c r="G263" s="62" t="s">
        <v>869</v>
      </c>
      <c r="H263" s="62"/>
      <c r="I263" s="62"/>
      <c r="J263" s="62"/>
      <c r="K263" s="62"/>
      <c r="L263" s="62"/>
    </row>
    <row r="264" customFormat="false" ht="33" hidden="false" customHeight="false" outlineLevel="0" collapsed="false">
      <c r="A264" s="62"/>
      <c r="B264" s="62"/>
      <c r="C264" s="62"/>
      <c r="D264" s="62"/>
      <c r="E264" s="63" t="s">
        <v>1241</v>
      </c>
      <c r="F264" s="62"/>
      <c r="G264" s="62" t="n">
        <v>11</v>
      </c>
      <c r="H264" s="62" t="s">
        <v>301</v>
      </c>
      <c r="I264" s="62"/>
      <c r="J264" s="62"/>
      <c r="K264" s="62"/>
      <c r="L264" s="62"/>
    </row>
    <row r="265" customFormat="false" ht="33" hidden="false" customHeight="false" outlineLevel="0" collapsed="false">
      <c r="A265" s="62"/>
      <c r="B265" s="62"/>
      <c r="C265" s="62"/>
      <c r="D265" s="62"/>
      <c r="E265" s="63" t="s">
        <v>1242</v>
      </c>
      <c r="F265" s="62"/>
      <c r="G265" s="62" t="n">
        <v>12</v>
      </c>
      <c r="H265" s="62" t="s">
        <v>301</v>
      </c>
      <c r="I265" s="62"/>
      <c r="J265" s="62"/>
      <c r="K265" s="62"/>
      <c r="L265" s="62"/>
    </row>
    <row r="266" customFormat="false" ht="48.75" hidden="false" customHeight="false" outlineLevel="0" collapsed="false">
      <c r="A266" s="62"/>
      <c r="B266" s="62"/>
      <c r="C266" s="62"/>
      <c r="D266" s="62"/>
      <c r="E266" s="63" t="s">
        <v>356</v>
      </c>
      <c r="F266" s="62"/>
      <c r="G266" s="62" t="s">
        <v>267</v>
      </c>
      <c r="H266" s="62" t="s">
        <v>268</v>
      </c>
      <c r="I266" s="62"/>
      <c r="J266" s="62"/>
      <c r="K266" s="62"/>
      <c r="L266" s="62"/>
    </row>
    <row r="267" customFormat="false" ht="33" hidden="false" customHeight="false" outlineLevel="0" collapsed="false">
      <c r="A267" s="62"/>
      <c r="B267" s="62"/>
      <c r="C267" s="62"/>
      <c r="D267" s="62"/>
      <c r="E267" s="63" t="s">
        <v>289</v>
      </c>
      <c r="F267" s="62"/>
      <c r="G267" s="63" t="s">
        <v>320</v>
      </c>
      <c r="H267" s="62" t="s">
        <v>961</v>
      </c>
      <c r="I267" s="62"/>
      <c r="J267" s="62"/>
      <c r="K267" s="62"/>
      <c r="L267" s="62"/>
    </row>
    <row r="268" customFormat="false" ht="33" hidden="false" customHeight="false" outlineLevel="0" collapsed="false">
      <c r="A268" s="62"/>
      <c r="B268" s="62"/>
      <c r="C268" s="62"/>
      <c r="D268" s="62"/>
      <c r="E268" s="63" t="s">
        <v>890</v>
      </c>
      <c r="F268" s="62"/>
      <c r="G268" s="63" t="s">
        <v>270</v>
      </c>
      <c r="H268" s="62"/>
      <c r="I268" s="62"/>
      <c r="J268" s="62"/>
      <c r="K268" s="62"/>
      <c r="L268" s="62"/>
    </row>
    <row r="269" customFormat="false" ht="48.75" hidden="false" customHeight="false" outlineLevel="0" collapsed="false">
      <c r="A269" s="62"/>
      <c r="B269" s="62"/>
      <c r="C269" s="62"/>
      <c r="D269" s="62"/>
      <c r="E269" s="63" t="s">
        <v>1243</v>
      </c>
      <c r="F269" s="62"/>
      <c r="G269" s="62" t="s">
        <v>267</v>
      </c>
      <c r="H269" s="62"/>
      <c r="I269" s="62"/>
      <c r="J269" s="62"/>
      <c r="K269" s="62"/>
      <c r="L269" s="62"/>
    </row>
    <row r="270" customFormat="false" ht="33" hidden="false" customHeight="false" outlineLevel="0" collapsed="false">
      <c r="A270" s="62"/>
      <c r="B270" s="62"/>
      <c r="C270" s="62"/>
      <c r="D270" s="62"/>
      <c r="E270" s="63" t="s">
        <v>1244</v>
      </c>
      <c r="F270" s="62"/>
      <c r="G270" s="62" t="s">
        <v>961</v>
      </c>
      <c r="H270" s="62"/>
      <c r="I270" s="62"/>
      <c r="J270" s="62"/>
      <c r="K270" s="62"/>
      <c r="L270" s="62"/>
    </row>
    <row r="271" customFormat="false" ht="33" hidden="false" customHeight="false" outlineLevel="0" collapsed="false">
      <c r="A271" s="62"/>
      <c r="B271" s="62"/>
      <c r="C271" s="62"/>
      <c r="D271" s="62"/>
      <c r="E271" s="63" t="s">
        <v>1245</v>
      </c>
      <c r="F271" s="62"/>
      <c r="G271" s="62" t="s">
        <v>267</v>
      </c>
      <c r="H271" s="62"/>
      <c r="I271" s="62"/>
      <c r="J271" s="62"/>
      <c r="K271" s="62"/>
      <c r="L271" s="62"/>
    </row>
    <row r="272" customFormat="false" ht="33" hidden="false" customHeight="false" outlineLevel="0" collapsed="false">
      <c r="A272" s="62"/>
      <c r="B272" s="62"/>
      <c r="C272" s="62"/>
      <c r="D272" s="62"/>
      <c r="E272" s="63" t="s">
        <v>300</v>
      </c>
      <c r="F272" s="62"/>
      <c r="G272" s="62" t="s">
        <v>1246</v>
      </c>
      <c r="H272" s="62"/>
      <c r="I272" s="62"/>
      <c r="J272" s="62"/>
      <c r="K272" s="62"/>
      <c r="L272" s="62"/>
    </row>
    <row r="273" customFormat="false" ht="17.25" hidden="false" customHeight="false" outlineLevel="0" collapsed="false">
      <c r="A273" s="62"/>
      <c r="B273" s="62"/>
      <c r="C273" s="62"/>
      <c r="D273" s="62"/>
      <c r="E273" s="63" t="s">
        <v>920</v>
      </c>
      <c r="F273" s="62"/>
      <c r="G273" s="62"/>
      <c r="H273" s="62"/>
      <c r="I273" s="62"/>
      <c r="J273" s="62"/>
      <c r="K273" s="62"/>
      <c r="L273" s="62"/>
    </row>
    <row r="274" customFormat="false" ht="17.25" hidden="false" customHeight="false" outlineLevel="0" collapsed="false">
      <c r="A274" s="62"/>
      <c r="B274" s="62"/>
      <c r="C274" s="62"/>
      <c r="D274" s="62"/>
      <c r="E274" s="63" t="s">
        <v>1247</v>
      </c>
      <c r="F274" s="62"/>
      <c r="G274" s="62"/>
      <c r="H274" s="62"/>
      <c r="I274" s="62"/>
      <c r="J274" s="62"/>
      <c r="K274" s="62"/>
      <c r="L274" s="62"/>
    </row>
    <row r="275" customFormat="false" ht="17.25" hidden="false" customHeight="false" outlineLevel="0" collapsed="false">
      <c r="A275" s="62"/>
      <c r="B275" s="62"/>
      <c r="C275" s="62"/>
      <c r="D275" s="62"/>
      <c r="E275" s="63" t="s">
        <v>233</v>
      </c>
      <c r="F275" s="62"/>
      <c r="G275" s="62"/>
      <c r="H275" s="62"/>
      <c r="I275" s="62"/>
      <c r="J275" s="62"/>
      <c r="K275" s="62"/>
      <c r="L275" s="62"/>
    </row>
    <row r="276" customFormat="false" ht="33" hidden="false" customHeight="false" outlineLevel="0" collapsed="false">
      <c r="A276" s="62"/>
      <c r="B276" s="62" t="n">
        <v>486</v>
      </c>
      <c r="C276" s="62"/>
      <c r="D276" s="62"/>
      <c r="E276" s="63" t="s">
        <v>1240</v>
      </c>
      <c r="F276" s="62"/>
      <c r="G276" s="62" t="s">
        <v>869</v>
      </c>
      <c r="H276" s="62"/>
      <c r="I276" s="62"/>
      <c r="J276" s="62"/>
      <c r="K276" s="62"/>
      <c r="L276" s="62" t="s">
        <v>1248</v>
      </c>
    </row>
    <row r="277" customFormat="false" ht="33" hidden="false" customHeight="false" outlineLevel="0" collapsed="false">
      <c r="A277" s="62"/>
      <c r="B277" s="62"/>
      <c r="C277" s="62"/>
      <c r="D277" s="62"/>
      <c r="E277" s="63" t="s">
        <v>1241</v>
      </c>
      <c r="F277" s="62"/>
      <c r="G277" s="62" t="n">
        <v>19</v>
      </c>
      <c r="H277" s="62" t="s">
        <v>301</v>
      </c>
      <c r="I277" s="62"/>
      <c r="J277" s="62"/>
      <c r="K277" s="62"/>
      <c r="L277" s="62"/>
    </row>
    <row r="278" customFormat="false" ht="33" hidden="false" customHeight="false" outlineLevel="0" collapsed="false">
      <c r="A278" s="62"/>
      <c r="B278" s="62"/>
      <c r="C278" s="62"/>
      <c r="D278" s="62"/>
      <c r="E278" s="63" t="s">
        <v>1242</v>
      </c>
      <c r="F278" s="62"/>
      <c r="G278" s="62" t="s">
        <v>732</v>
      </c>
      <c r="H278" s="62" t="s">
        <v>1249</v>
      </c>
      <c r="I278" s="62"/>
      <c r="J278" s="62"/>
      <c r="K278" s="62"/>
      <c r="L278" s="62"/>
    </row>
    <row r="279" customFormat="false" ht="48.75" hidden="false" customHeight="false" outlineLevel="0" collapsed="false">
      <c r="A279" s="62"/>
      <c r="B279" s="62"/>
      <c r="C279" s="62"/>
      <c r="D279" s="62"/>
      <c r="E279" s="63" t="s">
        <v>356</v>
      </c>
      <c r="F279" s="62"/>
      <c r="G279" s="62" t="s">
        <v>1250</v>
      </c>
      <c r="H279" s="62" t="s">
        <v>1059</v>
      </c>
      <c r="I279" s="62"/>
      <c r="J279" s="62"/>
      <c r="K279" s="62"/>
      <c r="L279" s="62"/>
    </row>
    <row r="280" customFormat="false" ht="33" hidden="false" customHeight="false" outlineLevel="0" collapsed="false">
      <c r="A280" s="62"/>
      <c r="B280" s="62"/>
      <c r="C280" s="62"/>
      <c r="D280" s="62"/>
      <c r="E280" s="63" t="s">
        <v>289</v>
      </c>
      <c r="F280" s="62"/>
      <c r="G280" s="62" t="s">
        <v>632</v>
      </c>
      <c r="H280" s="62" t="s">
        <v>1059</v>
      </c>
      <c r="I280" s="62"/>
      <c r="J280" s="62"/>
      <c r="K280" s="62"/>
      <c r="L280" s="62"/>
    </row>
    <row r="281" customFormat="false" ht="33" hidden="false" customHeight="false" outlineLevel="0" collapsed="false">
      <c r="A281" s="62"/>
      <c r="B281" s="62"/>
      <c r="C281" s="62"/>
      <c r="D281" s="62"/>
      <c r="E281" s="63" t="s">
        <v>909</v>
      </c>
      <c r="F281" s="62"/>
      <c r="G281" s="62" t="s">
        <v>267</v>
      </c>
      <c r="H281" s="62" t="s">
        <v>268</v>
      </c>
      <c r="I281" s="62"/>
      <c r="J281" s="62"/>
      <c r="K281" s="62"/>
      <c r="L281" s="62"/>
    </row>
    <row r="282" customFormat="false" ht="48.75" hidden="false" customHeight="false" outlineLevel="0" collapsed="false">
      <c r="A282" s="62"/>
      <c r="B282" s="62"/>
      <c r="C282" s="62"/>
      <c r="D282" s="62"/>
      <c r="E282" s="63" t="s">
        <v>227</v>
      </c>
      <c r="F282" s="62"/>
      <c r="G282" s="63" t="s">
        <v>1251</v>
      </c>
      <c r="H282" s="62" t="s">
        <v>1252</v>
      </c>
      <c r="I282" s="62"/>
      <c r="J282" s="62"/>
      <c r="K282" s="62"/>
      <c r="L282" s="62"/>
    </row>
    <row r="283" customFormat="false" ht="33" hidden="false" customHeight="false" outlineLevel="0" collapsed="false">
      <c r="A283" s="62"/>
      <c r="B283" s="62"/>
      <c r="C283" s="62"/>
      <c r="D283" s="62"/>
      <c r="E283" s="63" t="s">
        <v>1253</v>
      </c>
      <c r="F283" s="62"/>
      <c r="G283" s="63" t="s">
        <v>270</v>
      </c>
      <c r="H283" s="62"/>
      <c r="I283" s="62"/>
      <c r="J283" s="62"/>
      <c r="K283" s="62"/>
      <c r="L283" s="62"/>
    </row>
    <row r="284" customFormat="false" ht="33" hidden="false" customHeight="false" outlineLevel="0" collapsed="false">
      <c r="A284" s="62"/>
      <c r="B284" s="62"/>
      <c r="C284" s="62"/>
      <c r="D284" s="62"/>
      <c r="E284" s="63" t="s">
        <v>236</v>
      </c>
      <c r="F284" s="62"/>
      <c r="G284" s="62" t="s">
        <v>267</v>
      </c>
      <c r="H284" s="62"/>
      <c r="I284" s="62"/>
      <c r="J284" s="62"/>
      <c r="K284" s="62"/>
      <c r="L284" s="62"/>
    </row>
    <row r="285" customFormat="false" ht="17.25" hidden="false" customHeight="false" outlineLevel="0" collapsed="false">
      <c r="A285" s="62"/>
      <c r="B285" s="62"/>
      <c r="C285" s="62"/>
      <c r="D285" s="62"/>
      <c r="E285" s="62" t="s">
        <v>1254</v>
      </c>
      <c r="F285" s="62"/>
      <c r="G285" s="62" t="s">
        <v>1252</v>
      </c>
      <c r="H285" s="62"/>
      <c r="I285" s="62"/>
      <c r="J285" s="62"/>
      <c r="K285" s="62"/>
      <c r="L285" s="62"/>
    </row>
    <row r="286" customFormat="false" ht="33" hidden="false" customHeight="false" outlineLevel="0" collapsed="false">
      <c r="A286" s="62"/>
      <c r="B286" s="62"/>
      <c r="C286" s="62"/>
      <c r="D286" s="62"/>
      <c r="E286" s="63" t="s">
        <v>951</v>
      </c>
      <c r="F286" s="62"/>
      <c r="G286" s="62" t="s">
        <v>267</v>
      </c>
      <c r="H286" s="62"/>
      <c r="I286" s="62"/>
      <c r="J286" s="62"/>
      <c r="K286" s="62"/>
      <c r="L286" s="62"/>
    </row>
    <row r="287" customFormat="false" ht="64.5" hidden="false" customHeight="false" outlineLevel="0" collapsed="false">
      <c r="A287" s="62"/>
      <c r="B287" s="62"/>
      <c r="C287" s="62"/>
      <c r="D287" s="62"/>
      <c r="E287" s="63" t="s">
        <v>1255</v>
      </c>
      <c r="F287" s="62"/>
      <c r="G287" s="62" t="s">
        <v>1256</v>
      </c>
      <c r="H287" s="62"/>
      <c r="I287" s="62"/>
      <c r="J287" s="62"/>
      <c r="K287" s="62"/>
      <c r="L287" s="62"/>
    </row>
    <row r="288" customFormat="false" ht="33" hidden="false" customHeight="false" outlineLevel="0" collapsed="false">
      <c r="A288" s="62"/>
      <c r="B288" s="62"/>
      <c r="C288" s="62"/>
      <c r="D288" s="62"/>
      <c r="E288" s="63" t="s">
        <v>1257</v>
      </c>
      <c r="F288" s="62"/>
      <c r="G288" s="62"/>
      <c r="H288" s="62"/>
      <c r="I288" s="62"/>
      <c r="J288" s="62"/>
      <c r="K288" s="62"/>
      <c r="L288" s="62"/>
    </row>
    <row r="289" customFormat="false" ht="48.75" hidden="false" customHeight="false" outlineLevel="0" collapsed="false">
      <c r="A289" s="62"/>
      <c r="B289" s="62"/>
      <c r="C289" s="62"/>
      <c r="D289" s="62"/>
      <c r="E289" s="63" t="s">
        <v>1258</v>
      </c>
      <c r="F289" s="62"/>
      <c r="G289" s="62"/>
      <c r="H289" s="62"/>
      <c r="I289" s="62"/>
      <c r="J289" s="62"/>
      <c r="K289" s="62"/>
      <c r="L289" s="62"/>
    </row>
    <row r="290" customFormat="false" ht="17.25" hidden="false" customHeight="false" outlineLevel="0" collapsed="false">
      <c r="A290" s="62"/>
      <c r="B290" s="62"/>
      <c r="C290" s="62"/>
      <c r="D290" s="62"/>
      <c r="E290" s="63" t="s">
        <v>1259</v>
      </c>
      <c r="F290" s="62"/>
      <c r="G290" s="62"/>
      <c r="H290" s="62"/>
      <c r="I290" s="62"/>
      <c r="J290" s="62"/>
      <c r="K290" s="62"/>
      <c r="L290" s="62"/>
    </row>
    <row r="291" customFormat="false" ht="48.75" hidden="false" customHeight="false" outlineLevel="0" collapsed="false">
      <c r="A291" s="62"/>
      <c r="B291" s="62"/>
      <c r="C291" s="62"/>
      <c r="D291" s="62"/>
      <c r="E291" s="63" t="s">
        <v>1260</v>
      </c>
      <c r="F291" s="62"/>
      <c r="G291" s="62"/>
      <c r="H291" s="62"/>
      <c r="I291" s="62"/>
      <c r="J291" s="62"/>
      <c r="K291" s="62"/>
      <c r="L291" s="62"/>
    </row>
    <row r="292" customFormat="false" ht="33" hidden="false" customHeight="false" outlineLevel="0" collapsed="false">
      <c r="A292" s="62"/>
      <c r="B292" s="62"/>
      <c r="C292" s="62"/>
      <c r="D292" s="62"/>
      <c r="E292" s="63" t="s">
        <v>1261</v>
      </c>
      <c r="F292" s="62"/>
      <c r="G292" s="62"/>
      <c r="H292" s="62"/>
      <c r="I292" s="62"/>
      <c r="J292" s="62"/>
      <c r="K292" s="62"/>
      <c r="L292" s="62"/>
    </row>
    <row r="293" customFormat="false" ht="33" hidden="false" customHeight="false" outlineLevel="0" collapsed="false">
      <c r="A293" s="62"/>
      <c r="B293" s="62"/>
      <c r="C293" s="62"/>
      <c r="D293" s="62"/>
      <c r="E293" s="63" t="s">
        <v>1262</v>
      </c>
      <c r="F293" s="62"/>
      <c r="G293" s="62"/>
      <c r="H293" s="62"/>
      <c r="I293" s="62"/>
      <c r="J293" s="62"/>
      <c r="K293" s="62"/>
      <c r="L293" s="62"/>
    </row>
    <row r="294" customFormat="false" ht="33" hidden="false" customHeight="false" outlineLevel="0" collapsed="false">
      <c r="A294" s="62"/>
      <c r="B294" s="62"/>
      <c r="C294" s="62"/>
      <c r="D294" s="62"/>
      <c r="E294" s="63" t="s">
        <v>917</v>
      </c>
      <c r="F294" s="62"/>
      <c r="G294" s="62"/>
      <c r="H294" s="62"/>
      <c r="I294" s="62"/>
      <c r="J294" s="62"/>
      <c r="K294" s="62"/>
      <c r="L294" s="62"/>
    </row>
    <row r="295" customFormat="false" ht="17.25" hidden="false" customHeight="false" outlineLevel="0" collapsed="false">
      <c r="A295" s="62"/>
      <c r="B295" s="62"/>
      <c r="C295" s="62"/>
      <c r="D295" s="62"/>
      <c r="E295" s="62" t="s">
        <v>1263</v>
      </c>
      <c r="F295" s="62"/>
      <c r="G295" s="62"/>
      <c r="H295" s="62"/>
      <c r="I295" s="62"/>
      <c r="J295" s="62"/>
      <c r="K295" s="62"/>
      <c r="L295" s="62"/>
    </row>
    <row r="296" customFormat="false" ht="33" hidden="false" customHeight="false" outlineLevel="0" collapsed="false">
      <c r="A296" s="62"/>
      <c r="B296" s="62"/>
      <c r="C296" s="62"/>
      <c r="D296" s="62"/>
      <c r="E296" s="63" t="s">
        <v>919</v>
      </c>
      <c r="F296" s="62"/>
      <c r="G296" s="62"/>
      <c r="H296" s="62"/>
      <c r="I296" s="62"/>
      <c r="J296" s="62"/>
      <c r="K296" s="62"/>
      <c r="L296" s="62"/>
    </row>
    <row r="297" customFormat="false" ht="17.25" hidden="false" customHeight="false" outlineLevel="0" collapsed="false">
      <c r="A297" s="62"/>
      <c r="B297" s="62"/>
      <c r="C297" s="62"/>
      <c r="D297" s="62"/>
      <c r="E297" s="63" t="s">
        <v>920</v>
      </c>
      <c r="F297" s="62"/>
      <c r="G297" s="62"/>
      <c r="H297" s="62"/>
      <c r="I297" s="62"/>
      <c r="J297" s="62"/>
      <c r="K297" s="62"/>
      <c r="L297" s="62"/>
    </row>
    <row r="298" customFormat="false" ht="33" hidden="false" customHeight="false" outlineLevel="0" collapsed="false">
      <c r="A298" s="62"/>
      <c r="B298" s="62"/>
      <c r="C298" s="62"/>
      <c r="D298" s="62"/>
      <c r="E298" s="63" t="s">
        <v>919</v>
      </c>
      <c r="F298" s="62"/>
      <c r="G298" s="62"/>
      <c r="H298" s="62"/>
      <c r="I298" s="62"/>
      <c r="J298" s="62"/>
      <c r="K298" s="62"/>
      <c r="L298" s="62"/>
    </row>
    <row r="299" customFormat="false" ht="17.25" hidden="false" customHeight="false" outlineLevel="0" collapsed="false">
      <c r="A299" s="62"/>
      <c r="B299" s="62"/>
      <c r="C299" s="62"/>
      <c r="D299" s="62"/>
      <c r="E299" s="63" t="s">
        <v>233</v>
      </c>
      <c r="F299" s="62"/>
      <c r="G299" s="62"/>
      <c r="H299" s="62"/>
      <c r="I299" s="62"/>
      <c r="J299" s="62"/>
      <c r="K299" s="62"/>
      <c r="L299" s="62"/>
    </row>
    <row r="300" customFormat="false" ht="33" hidden="false" customHeight="false" outlineLevel="0" collapsed="false">
      <c r="A300" s="62"/>
      <c r="B300" s="62" t="n">
        <v>487</v>
      </c>
      <c r="C300" s="62"/>
      <c r="D300" s="62"/>
      <c r="E300" s="63" t="s">
        <v>1242</v>
      </c>
      <c r="F300" s="62"/>
      <c r="G300" s="62" t="s">
        <v>984</v>
      </c>
      <c r="H300" s="62"/>
      <c r="I300" s="62"/>
      <c r="J300" s="62"/>
      <c r="K300" s="62"/>
      <c r="L300" s="62"/>
    </row>
    <row r="301" customFormat="false" ht="33" hidden="false" customHeight="false" outlineLevel="0" collapsed="false">
      <c r="A301" s="62"/>
      <c r="B301" s="62"/>
      <c r="C301" s="62"/>
      <c r="D301" s="62"/>
      <c r="E301" s="62" t="s">
        <v>1264</v>
      </c>
      <c r="F301" s="62"/>
      <c r="G301" s="64" t="n">
        <v>40757</v>
      </c>
      <c r="H301" s="62" t="s">
        <v>1265</v>
      </c>
      <c r="I301" s="62"/>
      <c r="J301" s="62"/>
      <c r="K301" s="62"/>
      <c r="L301" s="62"/>
    </row>
    <row r="302" customFormat="false" ht="33" hidden="false" customHeight="false" outlineLevel="0" collapsed="false">
      <c r="A302" s="62"/>
      <c r="B302" s="62"/>
      <c r="C302" s="62"/>
      <c r="D302" s="62"/>
      <c r="E302" s="63" t="s">
        <v>237</v>
      </c>
      <c r="F302" s="62"/>
      <c r="G302" s="62" t="n">
        <v>9</v>
      </c>
      <c r="H302" s="62" t="s">
        <v>771</v>
      </c>
      <c r="I302" s="62"/>
      <c r="J302" s="62"/>
      <c r="K302" s="62"/>
      <c r="L302" s="62"/>
    </row>
    <row r="303" customFormat="false" ht="33" hidden="false" customHeight="false" outlineLevel="0" collapsed="false">
      <c r="A303" s="62"/>
      <c r="B303" s="62"/>
      <c r="C303" s="62"/>
      <c r="D303" s="62"/>
      <c r="E303" s="63" t="s">
        <v>1266</v>
      </c>
      <c r="F303" s="62"/>
      <c r="G303" s="62" t="s">
        <v>1267</v>
      </c>
      <c r="H303" s="62" t="s">
        <v>1268</v>
      </c>
      <c r="I303" s="62"/>
      <c r="J303" s="62"/>
      <c r="K303" s="62"/>
      <c r="L303" s="62"/>
    </row>
    <row r="304" customFormat="false" ht="17.25" hidden="false" customHeight="false" outlineLevel="0" collapsed="false">
      <c r="A304" s="62"/>
      <c r="B304" s="62"/>
      <c r="C304" s="62"/>
      <c r="D304" s="62"/>
      <c r="E304" s="62" t="s">
        <v>1269</v>
      </c>
      <c r="F304" s="62"/>
      <c r="G304" s="62" t="s">
        <v>1019</v>
      </c>
      <c r="H304" s="62"/>
      <c r="I304" s="62"/>
      <c r="J304" s="62"/>
      <c r="K304" s="62"/>
      <c r="L304" s="62"/>
    </row>
    <row r="305" customFormat="false" ht="33" hidden="false" customHeight="false" outlineLevel="0" collapsed="false">
      <c r="A305" s="62"/>
      <c r="B305" s="62"/>
      <c r="C305" s="62"/>
      <c r="D305" s="62"/>
      <c r="E305" s="63" t="s">
        <v>237</v>
      </c>
      <c r="F305" s="62"/>
      <c r="G305" s="62" t="n">
        <v>1</v>
      </c>
      <c r="H305" s="62" t="s">
        <v>1024</v>
      </c>
      <c r="I305" s="62"/>
      <c r="J305" s="62"/>
      <c r="K305" s="62"/>
      <c r="L305" s="62"/>
    </row>
    <row r="306" customFormat="false" ht="33" hidden="false" customHeight="false" outlineLevel="0" collapsed="false">
      <c r="A306" s="62"/>
      <c r="B306" s="62"/>
      <c r="C306" s="62"/>
      <c r="D306" s="62"/>
      <c r="E306" s="63" t="s">
        <v>1270</v>
      </c>
      <c r="F306" s="62"/>
      <c r="G306" s="62" t="n">
        <v>2</v>
      </c>
      <c r="H306" s="62" t="s">
        <v>771</v>
      </c>
      <c r="I306" s="62"/>
      <c r="J306" s="62"/>
      <c r="K306" s="62"/>
      <c r="L306" s="62"/>
    </row>
    <row r="307" customFormat="false" ht="33" hidden="false" customHeight="false" outlineLevel="0" collapsed="false">
      <c r="A307" s="62"/>
      <c r="B307" s="62"/>
      <c r="C307" s="62"/>
      <c r="D307" s="62"/>
      <c r="E307" s="62" t="s">
        <v>1269</v>
      </c>
      <c r="F307" s="62"/>
      <c r="G307" s="62" t="n">
        <v>10</v>
      </c>
      <c r="H307" s="62" t="s">
        <v>1024</v>
      </c>
      <c r="I307" s="62"/>
      <c r="J307" s="62"/>
      <c r="K307" s="62"/>
      <c r="L307" s="62"/>
    </row>
    <row r="308" customFormat="false" ht="33" hidden="false" customHeight="false" outlineLevel="0" collapsed="false">
      <c r="A308" s="62"/>
      <c r="B308" s="62"/>
      <c r="C308" s="62"/>
      <c r="D308" s="62"/>
      <c r="E308" s="63" t="s">
        <v>237</v>
      </c>
      <c r="F308" s="62"/>
      <c r="G308" s="62" t="s">
        <v>267</v>
      </c>
      <c r="H308" s="62" t="s">
        <v>268</v>
      </c>
      <c r="I308" s="62"/>
      <c r="J308" s="62"/>
      <c r="K308" s="62"/>
      <c r="L308" s="62"/>
    </row>
    <row r="309" customFormat="false" ht="17.25" hidden="false" customHeight="false" outlineLevel="0" collapsed="false">
      <c r="A309" s="62"/>
      <c r="B309" s="62"/>
      <c r="C309" s="62"/>
      <c r="D309" s="62"/>
      <c r="E309" s="63" t="s">
        <v>1271</v>
      </c>
      <c r="F309" s="62"/>
      <c r="G309" s="63" t="s">
        <v>1272</v>
      </c>
      <c r="H309" s="62" t="s">
        <v>1273</v>
      </c>
      <c r="I309" s="62"/>
      <c r="J309" s="62"/>
      <c r="K309" s="62"/>
      <c r="L309" s="62"/>
    </row>
    <row r="310" customFormat="false" ht="33" hidden="false" customHeight="false" outlineLevel="0" collapsed="false">
      <c r="A310" s="62"/>
      <c r="B310" s="62"/>
      <c r="C310" s="62"/>
      <c r="D310" s="62"/>
      <c r="E310" s="62" t="s">
        <v>1274</v>
      </c>
      <c r="F310" s="62"/>
      <c r="G310" s="63" t="s">
        <v>270</v>
      </c>
      <c r="H310" s="62"/>
      <c r="I310" s="62"/>
      <c r="J310" s="62"/>
      <c r="K310" s="62"/>
      <c r="L310" s="62"/>
    </row>
    <row r="311" customFormat="false" ht="33" hidden="false" customHeight="false" outlineLevel="0" collapsed="false">
      <c r="A311" s="62"/>
      <c r="B311" s="62"/>
      <c r="C311" s="62"/>
      <c r="D311" s="62"/>
      <c r="E311" s="63" t="s">
        <v>237</v>
      </c>
      <c r="F311" s="62"/>
      <c r="G311" s="62" t="s">
        <v>267</v>
      </c>
      <c r="H311" s="62"/>
      <c r="I311" s="62"/>
      <c r="J311" s="62"/>
      <c r="K311" s="62"/>
      <c r="L311" s="62"/>
    </row>
    <row r="312" customFormat="false" ht="33" hidden="false" customHeight="false" outlineLevel="0" collapsed="false">
      <c r="A312" s="62"/>
      <c r="B312" s="62"/>
      <c r="C312" s="62"/>
      <c r="D312" s="62"/>
      <c r="E312" s="63" t="s">
        <v>1030</v>
      </c>
      <c r="F312" s="62"/>
      <c r="G312" s="62" t="s">
        <v>1273</v>
      </c>
      <c r="H312" s="62"/>
      <c r="I312" s="62"/>
      <c r="J312" s="62"/>
      <c r="K312" s="62"/>
      <c r="L312" s="62"/>
    </row>
    <row r="313" customFormat="false" ht="33" hidden="false" customHeight="false" outlineLevel="0" collapsed="false">
      <c r="A313" s="62"/>
      <c r="B313" s="62"/>
      <c r="C313" s="62"/>
      <c r="D313" s="62"/>
      <c r="E313" s="63" t="s">
        <v>1031</v>
      </c>
      <c r="F313" s="62"/>
      <c r="G313" s="62" t="s">
        <v>267</v>
      </c>
      <c r="H313" s="62"/>
      <c r="I313" s="62"/>
      <c r="J313" s="62"/>
      <c r="K313" s="62"/>
      <c r="L313" s="62"/>
    </row>
    <row r="314" customFormat="false" ht="33" hidden="false" customHeight="false" outlineLevel="0" collapsed="false">
      <c r="A314" s="62"/>
      <c r="B314" s="62"/>
      <c r="C314" s="62"/>
      <c r="D314" s="62"/>
      <c r="E314" s="63" t="s">
        <v>1275</v>
      </c>
      <c r="F314" s="62"/>
      <c r="G314" s="62" t="s">
        <v>1276</v>
      </c>
      <c r="H314" s="62"/>
      <c r="I314" s="62"/>
      <c r="J314" s="62"/>
      <c r="K314" s="62"/>
      <c r="L314" s="62"/>
    </row>
    <row r="315" customFormat="false" ht="48.75" hidden="false" customHeight="false" outlineLevel="0" collapsed="false">
      <c r="A315" s="62"/>
      <c r="B315" s="62"/>
      <c r="C315" s="62"/>
      <c r="D315" s="62"/>
      <c r="E315" s="63" t="s">
        <v>356</v>
      </c>
      <c r="F315" s="62"/>
      <c r="G315" s="62"/>
      <c r="H315" s="62"/>
      <c r="I315" s="62"/>
      <c r="J315" s="62"/>
      <c r="K315" s="62"/>
      <c r="L315" s="62"/>
    </row>
    <row r="316" customFormat="false" ht="33" hidden="false" customHeight="false" outlineLevel="0" collapsed="false">
      <c r="A316" s="62"/>
      <c r="B316" s="62"/>
      <c r="C316" s="62"/>
      <c r="D316" s="62"/>
      <c r="E316" s="62" t="s">
        <v>1277</v>
      </c>
      <c r="F316" s="62"/>
      <c r="G316" s="62"/>
      <c r="H316" s="62"/>
      <c r="I316" s="62"/>
      <c r="J316" s="62"/>
      <c r="K316" s="62"/>
      <c r="L316" s="62"/>
    </row>
    <row r="317" customFormat="false" ht="33" hidden="false" customHeight="false" outlineLevel="0" collapsed="false">
      <c r="A317" s="62"/>
      <c r="B317" s="62"/>
      <c r="C317" s="62"/>
      <c r="D317" s="62"/>
      <c r="E317" s="63" t="s">
        <v>289</v>
      </c>
      <c r="F317" s="62"/>
      <c r="G317" s="62"/>
      <c r="H317" s="62"/>
      <c r="I317" s="62"/>
      <c r="J317" s="62"/>
      <c r="K317" s="62"/>
      <c r="L317" s="62"/>
    </row>
    <row r="318" customFormat="false" ht="48.75" hidden="false" customHeight="false" outlineLevel="0" collapsed="false">
      <c r="A318" s="62"/>
      <c r="B318" s="62"/>
      <c r="C318" s="62"/>
      <c r="D318" s="62"/>
      <c r="E318" s="63" t="s">
        <v>1278</v>
      </c>
      <c r="F318" s="62"/>
      <c r="G318" s="62"/>
      <c r="H318" s="62"/>
      <c r="I318" s="62"/>
      <c r="J318" s="62"/>
      <c r="K318" s="62"/>
      <c r="L318" s="62"/>
    </row>
    <row r="319" customFormat="false" ht="48.75" hidden="false" customHeight="false" outlineLevel="0" collapsed="false">
      <c r="A319" s="62"/>
      <c r="B319" s="62"/>
      <c r="C319" s="62"/>
      <c r="D319" s="62"/>
      <c r="E319" s="63" t="s">
        <v>1279</v>
      </c>
      <c r="F319" s="62"/>
      <c r="G319" s="62"/>
      <c r="H319" s="62"/>
      <c r="I319" s="62"/>
      <c r="J319" s="62"/>
      <c r="K319" s="62"/>
      <c r="L319" s="62"/>
    </row>
    <row r="320" customFormat="false" ht="33" hidden="false" customHeight="false" outlineLevel="0" collapsed="false">
      <c r="A320" s="62"/>
      <c r="B320" s="62"/>
      <c r="C320" s="62"/>
      <c r="D320" s="62"/>
      <c r="E320" s="63" t="s">
        <v>1280</v>
      </c>
      <c r="F320" s="62"/>
      <c r="G320" s="62"/>
      <c r="H320" s="62"/>
      <c r="I320" s="62"/>
      <c r="J320" s="62"/>
      <c r="K320" s="62"/>
      <c r="L320" s="62"/>
    </row>
    <row r="321" customFormat="false" ht="17.25" hidden="false" customHeight="false" outlineLevel="0" collapsed="false">
      <c r="A321" s="62"/>
      <c r="B321" s="62"/>
      <c r="C321" s="62"/>
      <c r="D321" s="62"/>
      <c r="E321" s="63" t="s">
        <v>1281</v>
      </c>
      <c r="F321" s="62"/>
      <c r="G321" s="62"/>
      <c r="H321" s="62"/>
      <c r="I321" s="62"/>
      <c r="J321" s="62"/>
      <c r="K321" s="62"/>
      <c r="L321" s="62"/>
    </row>
    <row r="322" customFormat="false" ht="33" hidden="false" customHeight="false" outlineLevel="0" collapsed="false">
      <c r="A322" s="62"/>
      <c r="B322" s="62"/>
      <c r="C322" s="62"/>
      <c r="D322" s="62"/>
      <c r="E322" s="63" t="s">
        <v>1282</v>
      </c>
      <c r="F322" s="62"/>
      <c r="G322" s="62"/>
      <c r="H322" s="62"/>
      <c r="I322" s="62"/>
      <c r="J322" s="62"/>
      <c r="K322" s="62"/>
      <c r="L322" s="62"/>
    </row>
    <row r="323" customFormat="false" ht="17.25" hidden="false" customHeight="false" outlineLevel="0" collapsed="false">
      <c r="A323" s="62"/>
      <c r="B323" s="62"/>
      <c r="C323" s="62"/>
      <c r="D323" s="62"/>
      <c r="E323" s="63" t="s">
        <v>920</v>
      </c>
      <c r="F323" s="62"/>
      <c r="G323" s="62"/>
      <c r="H323" s="62"/>
      <c r="I323" s="62"/>
      <c r="J323" s="62"/>
      <c r="K323" s="62"/>
      <c r="L323" s="62"/>
    </row>
    <row r="324" customFormat="false" ht="33" hidden="false" customHeight="false" outlineLevel="0" collapsed="false">
      <c r="A324" s="62"/>
      <c r="B324" s="62"/>
      <c r="C324" s="62"/>
      <c r="D324" s="62"/>
      <c r="E324" s="63" t="s">
        <v>1283</v>
      </c>
      <c r="F324" s="62"/>
      <c r="G324" s="62"/>
      <c r="H324" s="62"/>
      <c r="I324" s="62"/>
      <c r="J324" s="62"/>
      <c r="K324" s="62"/>
      <c r="L324" s="62"/>
    </row>
    <row r="325" customFormat="false" ht="48.75" hidden="false" customHeight="false" outlineLevel="0" collapsed="false">
      <c r="A325" s="62"/>
      <c r="B325" s="62"/>
      <c r="C325" s="62"/>
      <c r="D325" s="62" t="s">
        <v>274</v>
      </c>
      <c r="E325" s="62" t="s">
        <v>275</v>
      </c>
      <c r="F325" s="62" t="s">
        <v>268</v>
      </c>
      <c r="G325" s="62" t="s">
        <v>267</v>
      </c>
      <c r="H325" s="62" t="s">
        <v>268</v>
      </c>
      <c r="I325" s="62" t="s">
        <v>276</v>
      </c>
      <c r="J325" s="62" t="s">
        <v>276</v>
      </c>
      <c r="K325" s="62"/>
      <c r="L325" s="62"/>
    </row>
    <row r="326" customFormat="false" ht="17.25" hidden="false" customHeight="false" outlineLevel="0" collapsed="false">
      <c r="A326" s="62"/>
      <c r="B326" s="62"/>
      <c r="C326" s="62"/>
      <c r="D326" s="63" t="s">
        <v>277</v>
      </c>
      <c r="E326" s="62"/>
      <c r="F326" s="62"/>
      <c r="G326" s="63" t="s">
        <v>1284</v>
      </c>
      <c r="H326" s="62" t="s">
        <v>1285</v>
      </c>
      <c r="I326" s="62"/>
      <c r="J326" s="62"/>
      <c r="K326" s="62"/>
      <c r="L326" s="62"/>
    </row>
    <row r="327" customFormat="false" ht="48.75" hidden="false" customHeight="false" outlineLevel="0" collapsed="false">
      <c r="A327" s="62"/>
      <c r="B327" s="62"/>
      <c r="C327" s="62"/>
      <c r="D327" s="62"/>
      <c r="E327" s="62"/>
      <c r="F327" s="62"/>
      <c r="G327" s="63" t="s">
        <v>270</v>
      </c>
      <c r="H327" s="63" t="s">
        <v>821</v>
      </c>
      <c r="I327" s="62"/>
      <c r="J327" s="62"/>
      <c r="K327" s="62"/>
      <c r="L327" s="62"/>
    </row>
    <row r="328" customFormat="false" ht="33" hidden="false" customHeight="false" outlineLevel="0" collapsed="false">
      <c r="A328" s="62"/>
      <c r="B328" s="62"/>
      <c r="C328" s="62"/>
      <c r="D328" s="62"/>
      <c r="E328" s="62"/>
      <c r="F328" s="62"/>
      <c r="G328" s="62" t="s">
        <v>267</v>
      </c>
      <c r="H328" s="62" t="s">
        <v>267</v>
      </c>
      <c r="I328" s="62"/>
      <c r="J328" s="62"/>
      <c r="K328" s="62"/>
      <c r="L328" s="62"/>
    </row>
    <row r="329" customFormat="false" ht="17.25" hidden="false" customHeight="false" outlineLevel="0" collapsed="false">
      <c r="A329" s="62"/>
      <c r="B329" s="62"/>
      <c r="C329" s="62"/>
      <c r="D329" s="62"/>
      <c r="E329" s="62"/>
      <c r="F329" s="62"/>
      <c r="G329" s="62" t="s">
        <v>1286</v>
      </c>
      <c r="H329" s="62" t="s">
        <v>528</v>
      </c>
      <c r="I329" s="62"/>
      <c r="J329" s="62"/>
      <c r="K329" s="62"/>
      <c r="L329" s="62"/>
    </row>
    <row r="330" customFormat="false" ht="33" hidden="false" customHeight="false" outlineLevel="0" collapsed="false">
      <c r="A330" s="62"/>
      <c r="B330" s="62"/>
      <c r="C330" s="62"/>
      <c r="D330" s="62"/>
      <c r="E330" s="62"/>
      <c r="F330" s="62"/>
      <c r="G330" s="62" t="s">
        <v>267</v>
      </c>
      <c r="H330" s="62" t="s">
        <v>267</v>
      </c>
      <c r="I330" s="62"/>
      <c r="J330" s="62"/>
      <c r="K330" s="62"/>
      <c r="L330" s="62"/>
    </row>
    <row r="331" customFormat="false" ht="33" hidden="false" customHeight="false" outlineLevel="0" collapsed="false">
      <c r="A331" s="62"/>
      <c r="B331" s="62"/>
      <c r="C331" s="62"/>
      <c r="D331" s="62"/>
      <c r="E331" s="62"/>
      <c r="F331" s="62"/>
      <c r="G331" s="62" t="s">
        <v>1287</v>
      </c>
      <c r="H331" s="62" t="s">
        <v>1076</v>
      </c>
      <c r="I331" s="62"/>
      <c r="J331" s="62"/>
      <c r="K331" s="62"/>
      <c r="L331" s="62"/>
    </row>
    <row r="332" customFormat="false" ht="33" hidden="false" customHeight="false" outlineLevel="0" collapsed="false">
      <c r="A332" s="62"/>
      <c r="B332" s="62"/>
      <c r="C332" s="62"/>
      <c r="D332" s="62"/>
      <c r="E332" s="62"/>
      <c r="F332" s="62"/>
      <c r="G332" s="62" t="s">
        <v>1288</v>
      </c>
      <c r="H332" s="62"/>
      <c r="I332" s="62"/>
      <c r="J332" s="62"/>
      <c r="K332" s="62"/>
      <c r="L332" s="62"/>
    </row>
    <row r="333" customFormat="false" ht="15.75" hidden="false" customHeight="false" outlineLevel="0" collapsed="false">
      <c r="A333" s="3" t="s">
        <v>211</v>
      </c>
    </row>
    <row r="340" customFormat="false" ht="15.75" hidden="false" customHeight="false" outlineLevel="0" collapsed="false">
      <c r="A340" s="65" t="s">
        <v>281</v>
      </c>
    </row>
  </sheetData>
  <hyperlinks>
    <hyperlink ref="M1" location="Index!A1" display="Index"/>
    <hyperlink ref="A333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.57"/>
    <col collapsed="false" customWidth="true" hidden="false" outlineLevel="0" max="8" min="8" style="0" width="12.29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216</v>
      </c>
      <c r="B4" s="62" t="n">
        <v>496</v>
      </c>
      <c r="C4" s="63" t="s">
        <v>983</v>
      </c>
      <c r="D4" s="63" t="s">
        <v>837</v>
      </c>
      <c r="E4" s="63" t="s">
        <v>770</v>
      </c>
      <c r="F4" s="62"/>
      <c r="G4" s="62"/>
      <c r="H4" s="62"/>
      <c r="I4" s="62"/>
      <c r="J4" s="62"/>
      <c r="K4" s="62"/>
      <c r="L4" s="62"/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1289</v>
      </c>
      <c r="E5" s="63" t="s">
        <v>774</v>
      </c>
      <c r="F5" s="62"/>
      <c r="G5" s="62" t="n">
        <v>380</v>
      </c>
      <c r="H5" s="62" t="s">
        <v>1290</v>
      </c>
      <c r="I5" s="62"/>
      <c r="J5" s="62"/>
      <c r="K5" s="62"/>
      <c r="L5" s="62"/>
    </row>
    <row r="6" customFormat="false" ht="17.25" hidden="false" customHeight="false" outlineLevel="0" collapsed="false">
      <c r="A6" s="62" t="n">
        <v>200</v>
      </c>
      <c r="B6" s="62"/>
      <c r="C6" s="62"/>
      <c r="D6" s="63" t="s">
        <v>240</v>
      </c>
      <c r="E6" s="62"/>
      <c r="F6" s="62"/>
      <c r="G6" s="62"/>
      <c r="H6" s="63" t="s">
        <v>1291</v>
      </c>
      <c r="I6" s="62"/>
      <c r="J6" s="62"/>
      <c r="K6" s="62"/>
      <c r="L6" s="62"/>
    </row>
    <row r="7" customFormat="false" ht="17.25" hidden="false" customHeight="false" outlineLevel="0" collapsed="false">
      <c r="A7" s="62"/>
      <c r="B7" s="62"/>
      <c r="C7" s="62"/>
      <c r="D7" s="62" t="s">
        <v>1292</v>
      </c>
      <c r="E7" s="62"/>
      <c r="F7" s="62"/>
      <c r="G7" s="62" t="n">
        <v>470</v>
      </c>
      <c r="H7" s="62" t="s">
        <v>789</v>
      </c>
      <c r="I7" s="62"/>
      <c r="J7" s="62"/>
      <c r="K7" s="62"/>
      <c r="L7" s="62"/>
    </row>
    <row r="8" customFormat="false" ht="33" hidden="false" customHeight="false" outlineLevel="0" collapsed="false">
      <c r="A8" s="62"/>
      <c r="B8" s="62"/>
      <c r="C8" s="62"/>
      <c r="D8" s="63" t="s">
        <v>1293</v>
      </c>
      <c r="E8" s="62"/>
      <c r="F8" s="62"/>
      <c r="G8" s="62"/>
      <c r="H8" s="63" t="s">
        <v>815</v>
      </c>
      <c r="I8" s="62"/>
      <c r="J8" s="62"/>
      <c r="K8" s="62"/>
      <c r="L8" s="62"/>
    </row>
    <row r="9" customFormat="false" ht="33" hidden="false" customHeight="false" outlineLevel="0" collapsed="false">
      <c r="A9" s="62"/>
      <c r="B9" s="62"/>
      <c r="C9" s="62"/>
      <c r="D9" s="63" t="s">
        <v>782</v>
      </c>
      <c r="E9" s="62"/>
      <c r="F9" s="62"/>
      <c r="G9" s="62" t="s">
        <v>267</v>
      </c>
      <c r="H9" s="62" t="s">
        <v>268</v>
      </c>
      <c r="I9" s="62"/>
      <c r="J9" s="62"/>
      <c r="K9" s="62"/>
      <c r="L9" s="62"/>
    </row>
    <row r="10" customFormat="false" ht="17.25" hidden="false" customHeight="false" outlineLevel="0" collapsed="false">
      <c r="A10" s="62"/>
      <c r="B10" s="62"/>
      <c r="C10" s="62"/>
      <c r="D10" s="63" t="s">
        <v>1294</v>
      </c>
      <c r="E10" s="62"/>
      <c r="F10" s="62"/>
      <c r="G10" s="63" t="s">
        <v>320</v>
      </c>
      <c r="H10" s="62" t="s">
        <v>789</v>
      </c>
      <c r="I10" s="62"/>
      <c r="J10" s="62"/>
      <c r="K10" s="62"/>
      <c r="L10" s="62"/>
    </row>
    <row r="11" customFormat="false" ht="33" hidden="false" customHeight="false" outlineLevel="0" collapsed="false">
      <c r="A11" s="62"/>
      <c r="B11" s="62"/>
      <c r="C11" s="62"/>
      <c r="D11" s="62" t="s">
        <v>1295</v>
      </c>
      <c r="E11" s="62"/>
      <c r="F11" s="62"/>
      <c r="G11" s="62"/>
      <c r="H11" s="63" t="s">
        <v>821</v>
      </c>
      <c r="I11" s="62"/>
      <c r="J11" s="62"/>
      <c r="K11" s="62"/>
      <c r="L11" s="62"/>
    </row>
    <row r="12" customFormat="false" ht="33" hidden="false" customHeight="false" outlineLevel="0" collapsed="false">
      <c r="A12" s="62"/>
      <c r="B12" s="62"/>
      <c r="C12" s="62"/>
      <c r="D12" s="63" t="s">
        <v>1296</v>
      </c>
      <c r="E12" s="62"/>
      <c r="F12" s="62"/>
      <c r="G12" s="62"/>
      <c r="H12" s="62" t="s">
        <v>267</v>
      </c>
      <c r="I12" s="62"/>
      <c r="J12" s="62"/>
      <c r="K12" s="62"/>
      <c r="L12" s="62"/>
    </row>
    <row r="13" customFormat="false" ht="17.25" hidden="false" customHeight="false" outlineLevel="0" collapsed="false">
      <c r="A13" s="62"/>
      <c r="B13" s="62"/>
      <c r="C13" s="62"/>
      <c r="D13" s="63" t="s">
        <v>1297</v>
      </c>
      <c r="E13" s="62"/>
      <c r="F13" s="62"/>
      <c r="G13" s="62"/>
      <c r="H13" s="62" t="s">
        <v>789</v>
      </c>
      <c r="I13" s="62"/>
      <c r="J13" s="62"/>
      <c r="K13" s="62"/>
      <c r="L13" s="62"/>
    </row>
    <row r="14" customFormat="false" ht="33" hidden="false" customHeight="false" outlineLevel="0" collapsed="false">
      <c r="A14" s="62"/>
      <c r="B14" s="62"/>
      <c r="C14" s="62"/>
      <c r="D14" s="63" t="s">
        <v>1298</v>
      </c>
      <c r="E14" s="62"/>
      <c r="F14" s="62"/>
      <c r="G14" s="62"/>
      <c r="H14" s="62" t="s">
        <v>267</v>
      </c>
      <c r="I14" s="62"/>
      <c r="J14" s="62"/>
      <c r="K14" s="62"/>
      <c r="L14" s="62"/>
    </row>
    <row r="15" customFormat="false" ht="17.25" hidden="false" customHeight="false" outlineLevel="0" collapsed="false">
      <c r="A15" s="62"/>
      <c r="B15" s="62"/>
      <c r="C15" s="62"/>
      <c r="D15" s="63" t="s">
        <v>1299</v>
      </c>
      <c r="E15" s="62"/>
      <c r="F15" s="62"/>
      <c r="G15" s="62"/>
      <c r="H15" s="62" t="s">
        <v>1300</v>
      </c>
      <c r="I15" s="62"/>
      <c r="J15" s="62"/>
      <c r="K15" s="62"/>
      <c r="L15" s="62"/>
    </row>
    <row r="16" customFormat="false" ht="17.25" hidden="false" customHeight="false" outlineLevel="0" collapsed="false">
      <c r="A16" s="62"/>
      <c r="B16" s="62"/>
      <c r="C16" s="62"/>
      <c r="D16" s="63" t="s">
        <v>1301</v>
      </c>
      <c r="E16" s="62"/>
      <c r="F16" s="62"/>
      <c r="G16" s="62"/>
      <c r="H16" s="62"/>
      <c r="I16" s="62"/>
      <c r="J16" s="62"/>
      <c r="K16" s="62"/>
      <c r="L16" s="62"/>
    </row>
    <row r="17" customFormat="false" ht="17.25" hidden="false" customHeight="false" outlineLevel="0" collapsed="false">
      <c r="A17" s="62"/>
      <c r="B17" s="62"/>
      <c r="C17" s="62"/>
      <c r="D17" s="62" t="s">
        <v>1302</v>
      </c>
      <c r="E17" s="62"/>
      <c r="F17" s="62"/>
      <c r="G17" s="62"/>
      <c r="H17" s="62"/>
      <c r="I17" s="62"/>
      <c r="J17" s="62"/>
      <c r="K17" s="62"/>
      <c r="L17" s="62"/>
    </row>
    <row r="18" customFormat="false" ht="33" hidden="false" customHeight="false" outlineLevel="0" collapsed="false">
      <c r="A18" s="62"/>
      <c r="B18" s="62"/>
      <c r="C18" s="62"/>
      <c r="D18" s="63" t="s">
        <v>1303</v>
      </c>
      <c r="E18" s="62"/>
      <c r="F18" s="62"/>
      <c r="G18" s="62"/>
      <c r="H18" s="62"/>
      <c r="I18" s="62"/>
      <c r="J18" s="62"/>
      <c r="K18" s="62"/>
      <c r="L18" s="62"/>
    </row>
    <row r="19" customFormat="false" ht="33" hidden="false" customHeight="false" outlineLevel="0" collapsed="false">
      <c r="A19" s="62"/>
      <c r="B19" s="62"/>
      <c r="C19" s="62"/>
      <c r="D19" s="63" t="s">
        <v>1304</v>
      </c>
      <c r="E19" s="62"/>
      <c r="F19" s="62"/>
      <c r="G19" s="62"/>
      <c r="H19" s="62"/>
      <c r="I19" s="62"/>
      <c r="J19" s="62"/>
      <c r="K19" s="62"/>
      <c r="L19" s="62"/>
    </row>
    <row r="20" customFormat="false" ht="33" hidden="false" customHeight="false" outlineLevel="0" collapsed="false">
      <c r="A20" s="62"/>
      <c r="B20" s="62"/>
      <c r="C20" s="62"/>
      <c r="D20" s="63" t="s">
        <v>1305</v>
      </c>
      <c r="E20" s="62"/>
      <c r="F20" s="62"/>
      <c r="G20" s="62"/>
      <c r="H20" s="62"/>
      <c r="I20" s="62"/>
      <c r="J20" s="62"/>
      <c r="K20" s="62"/>
      <c r="L20" s="62"/>
    </row>
    <row r="21" customFormat="false" ht="17.25" hidden="false" customHeight="false" outlineLevel="0" collapsed="false">
      <c r="A21" s="62"/>
      <c r="B21" s="62"/>
      <c r="C21" s="62"/>
      <c r="D21" s="63" t="s">
        <v>1306</v>
      </c>
      <c r="E21" s="62"/>
      <c r="F21" s="62"/>
      <c r="G21" s="62"/>
      <c r="H21" s="62"/>
      <c r="I21" s="62"/>
      <c r="J21" s="62"/>
      <c r="K21" s="62"/>
      <c r="L21" s="62"/>
    </row>
    <row r="22" customFormat="false" ht="17.25" hidden="false" customHeight="false" outlineLevel="0" collapsed="false">
      <c r="A22" s="62"/>
      <c r="B22" s="62"/>
      <c r="C22" s="62"/>
      <c r="D22" s="62" t="s">
        <v>1307</v>
      </c>
      <c r="E22" s="62"/>
      <c r="F22" s="62"/>
      <c r="G22" s="62"/>
      <c r="H22" s="62"/>
      <c r="I22" s="62"/>
      <c r="J22" s="62"/>
      <c r="K22" s="62"/>
      <c r="L22" s="62"/>
    </row>
    <row r="23" customFormat="false" ht="17.25" hidden="false" customHeight="false" outlineLevel="0" collapsed="false">
      <c r="A23" s="62"/>
      <c r="B23" s="62"/>
      <c r="C23" s="62"/>
      <c r="D23" s="63" t="s">
        <v>233</v>
      </c>
      <c r="E23" s="62"/>
      <c r="F23" s="62"/>
      <c r="G23" s="62"/>
      <c r="H23" s="62"/>
      <c r="I23" s="62"/>
      <c r="J23" s="62"/>
      <c r="K23" s="62"/>
      <c r="L23" s="62"/>
    </row>
    <row r="24" customFormat="false" ht="15.75" hidden="false" customHeight="false" outlineLevel="0" collapsed="false">
      <c r="A24" s="3" t="s">
        <v>211</v>
      </c>
    </row>
    <row r="31" customFormat="false" ht="15.75" hidden="false" customHeight="false" outlineLevel="0" collapsed="false">
      <c r="A31" s="65" t="s">
        <v>281</v>
      </c>
    </row>
  </sheetData>
  <hyperlinks>
    <hyperlink ref="M1" location="Index!A1" display="Index"/>
    <hyperlink ref="A24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.29"/>
    <col collapsed="false" customWidth="true" hidden="false" outlineLevel="0" max="5" min="5" style="0" width="12.42"/>
    <col collapsed="false" customWidth="true" hidden="false" outlineLevel="0" max="12" min="12" style="0" width="14.57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217</v>
      </c>
      <c r="B4" s="62" t="n">
        <v>497</v>
      </c>
      <c r="C4" s="63" t="s">
        <v>983</v>
      </c>
      <c r="D4" s="63" t="s">
        <v>1308</v>
      </c>
      <c r="E4" s="63" t="s">
        <v>766</v>
      </c>
      <c r="F4" s="62"/>
      <c r="G4" s="62" t="s">
        <v>1309</v>
      </c>
      <c r="H4" s="62"/>
      <c r="I4" s="62"/>
      <c r="J4" s="62"/>
      <c r="K4" s="62"/>
      <c r="L4" s="63" t="s">
        <v>1310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1311</v>
      </c>
      <c r="E5" s="63" t="s">
        <v>770</v>
      </c>
      <c r="F5" s="62"/>
      <c r="G5" s="62" t="n">
        <v>19</v>
      </c>
      <c r="H5" s="62" t="s">
        <v>771</v>
      </c>
      <c r="I5" s="62"/>
      <c r="J5" s="62"/>
      <c r="K5" s="62"/>
      <c r="L5" s="63" t="s">
        <v>1312</v>
      </c>
    </row>
    <row r="6" customFormat="false" ht="33" hidden="false" customHeight="false" outlineLevel="0" collapsed="false">
      <c r="A6" s="62" t="n">
        <v>201</v>
      </c>
      <c r="B6" s="62"/>
      <c r="C6" s="62"/>
      <c r="D6" s="63" t="s">
        <v>1313</v>
      </c>
      <c r="E6" s="63" t="s">
        <v>774</v>
      </c>
      <c r="F6" s="62"/>
      <c r="G6" s="62" t="n">
        <v>22</v>
      </c>
      <c r="H6" s="62" t="s">
        <v>771</v>
      </c>
      <c r="I6" s="62"/>
      <c r="J6" s="62"/>
      <c r="K6" s="62"/>
      <c r="L6" s="62" t="s">
        <v>1314</v>
      </c>
    </row>
    <row r="7" customFormat="false" ht="33" hidden="false" customHeight="false" outlineLevel="0" collapsed="false">
      <c r="A7" s="62"/>
      <c r="B7" s="62"/>
      <c r="C7" s="62"/>
      <c r="D7" s="62" t="s">
        <v>1315</v>
      </c>
      <c r="E7" s="62"/>
      <c r="F7" s="62"/>
      <c r="G7" s="62" t="s">
        <v>1316</v>
      </c>
      <c r="H7" s="62"/>
      <c r="I7" s="62"/>
      <c r="J7" s="62"/>
      <c r="K7" s="62"/>
      <c r="L7" s="63" t="s">
        <v>1317</v>
      </c>
    </row>
    <row r="8" customFormat="false" ht="33" hidden="false" customHeight="false" outlineLevel="0" collapsed="false">
      <c r="A8" s="62"/>
      <c r="B8" s="62"/>
      <c r="C8" s="62"/>
      <c r="D8" s="63" t="s">
        <v>1318</v>
      </c>
      <c r="E8" s="62"/>
      <c r="F8" s="62"/>
      <c r="G8" s="64" t="n">
        <v>40544</v>
      </c>
      <c r="H8" s="62" t="s">
        <v>1319</v>
      </c>
      <c r="I8" s="62"/>
      <c r="J8" s="62"/>
      <c r="K8" s="62"/>
      <c r="L8" s="62" t="s">
        <v>1320</v>
      </c>
    </row>
    <row r="9" customFormat="false" ht="48.75" hidden="false" customHeight="false" outlineLevel="0" collapsed="false">
      <c r="A9" s="62"/>
      <c r="B9" s="62"/>
      <c r="C9" s="62"/>
      <c r="D9" s="63" t="s">
        <v>1311</v>
      </c>
      <c r="E9" s="62"/>
      <c r="F9" s="62"/>
      <c r="G9" s="64" t="n">
        <v>40575</v>
      </c>
      <c r="H9" s="62" t="s">
        <v>1321</v>
      </c>
      <c r="I9" s="62"/>
      <c r="J9" s="62"/>
      <c r="K9" s="62"/>
      <c r="L9" s="62" t="s">
        <v>1322</v>
      </c>
    </row>
    <row r="10" customFormat="false" ht="33" hidden="false" customHeight="false" outlineLevel="0" collapsed="false">
      <c r="A10" s="62"/>
      <c r="B10" s="62"/>
      <c r="C10" s="62"/>
      <c r="D10" s="63" t="s">
        <v>1323</v>
      </c>
      <c r="E10" s="62"/>
      <c r="F10" s="62"/>
      <c r="G10" s="62" t="s">
        <v>1324</v>
      </c>
      <c r="H10" s="62"/>
      <c r="I10" s="62"/>
      <c r="J10" s="62"/>
      <c r="K10" s="62"/>
      <c r="L10" s="62" t="s">
        <v>1325</v>
      </c>
    </row>
    <row r="11" customFormat="false" ht="48.75" hidden="false" customHeight="false" outlineLevel="0" collapsed="false">
      <c r="A11" s="62"/>
      <c r="B11" s="62"/>
      <c r="C11" s="62"/>
      <c r="D11" s="62" t="s">
        <v>1326</v>
      </c>
      <c r="E11" s="62"/>
      <c r="F11" s="62"/>
      <c r="G11" s="62" t="n">
        <v>4</v>
      </c>
      <c r="H11" s="62" t="s">
        <v>301</v>
      </c>
      <c r="I11" s="62"/>
      <c r="J11" s="62"/>
      <c r="K11" s="62"/>
      <c r="L11" s="62" t="s">
        <v>1327</v>
      </c>
    </row>
    <row r="12" customFormat="false" ht="48.75" hidden="false" customHeight="false" outlineLevel="0" collapsed="false">
      <c r="A12" s="62"/>
      <c r="B12" s="62"/>
      <c r="C12" s="62"/>
      <c r="D12" s="63" t="s">
        <v>1328</v>
      </c>
      <c r="E12" s="62"/>
      <c r="F12" s="62"/>
      <c r="G12" s="62" t="n">
        <v>5</v>
      </c>
      <c r="H12" s="62" t="s">
        <v>301</v>
      </c>
      <c r="I12" s="62"/>
      <c r="J12" s="62"/>
      <c r="K12" s="62"/>
      <c r="L12" s="63" t="s">
        <v>1329</v>
      </c>
    </row>
    <row r="13" customFormat="false" ht="48.75" hidden="false" customHeight="false" outlineLevel="0" collapsed="false">
      <c r="A13" s="62"/>
      <c r="B13" s="62"/>
      <c r="C13" s="62"/>
      <c r="D13" s="63" t="s">
        <v>1330</v>
      </c>
      <c r="E13" s="62"/>
      <c r="F13" s="62"/>
      <c r="G13" s="62" t="n">
        <v>7</v>
      </c>
      <c r="H13" s="62" t="s">
        <v>301</v>
      </c>
      <c r="I13" s="62"/>
      <c r="J13" s="62"/>
      <c r="K13" s="62"/>
      <c r="L13" s="62" t="s">
        <v>1331</v>
      </c>
    </row>
    <row r="14" customFormat="false" ht="33" hidden="false" customHeight="false" outlineLevel="0" collapsed="false">
      <c r="A14" s="62"/>
      <c r="B14" s="62"/>
      <c r="C14" s="62"/>
      <c r="D14" s="63" t="s">
        <v>1332</v>
      </c>
      <c r="E14" s="62"/>
      <c r="F14" s="62"/>
      <c r="G14" s="62" t="n">
        <v>13</v>
      </c>
      <c r="H14" s="62" t="s">
        <v>301</v>
      </c>
      <c r="I14" s="62"/>
      <c r="J14" s="62"/>
      <c r="K14" s="62"/>
      <c r="L14" s="62" t="s">
        <v>1333</v>
      </c>
    </row>
    <row r="15" customFormat="false" ht="33" hidden="false" customHeight="false" outlineLevel="0" collapsed="false">
      <c r="A15" s="62"/>
      <c r="B15" s="62"/>
      <c r="C15" s="62"/>
      <c r="D15" s="62" t="s">
        <v>1334</v>
      </c>
      <c r="E15" s="62"/>
      <c r="F15" s="62"/>
      <c r="G15" s="62" t="n">
        <v>14</v>
      </c>
      <c r="H15" s="62" t="s">
        <v>301</v>
      </c>
      <c r="I15" s="62"/>
      <c r="J15" s="62"/>
      <c r="K15" s="62"/>
      <c r="L15" s="62" t="s">
        <v>781</v>
      </c>
    </row>
    <row r="16" customFormat="false" ht="33" hidden="false" customHeight="false" outlineLevel="0" collapsed="false">
      <c r="A16" s="62"/>
      <c r="B16" s="62"/>
      <c r="C16" s="62"/>
      <c r="D16" s="63" t="s">
        <v>1335</v>
      </c>
      <c r="E16" s="62"/>
      <c r="F16" s="62"/>
      <c r="G16" s="62" t="n">
        <v>17</v>
      </c>
      <c r="H16" s="62" t="s">
        <v>301</v>
      </c>
      <c r="I16" s="62"/>
      <c r="J16" s="62"/>
      <c r="K16" s="62"/>
      <c r="L16" s="62" t="s">
        <v>1336</v>
      </c>
    </row>
    <row r="17" customFormat="false" ht="48.75" hidden="false" customHeight="false" outlineLevel="0" collapsed="false">
      <c r="A17" s="62"/>
      <c r="B17" s="62"/>
      <c r="C17" s="62"/>
      <c r="D17" s="63" t="s">
        <v>1311</v>
      </c>
      <c r="E17" s="62"/>
      <c r="F17" s="62"/>
      <c r="G17" s="62" t="n">
        <v>18</v>
      </c>
      <c r="H17" s="62" t="s">
        <v>299</v>
      </c>
      <c r="I17" s="62"/>
      <c r="J17" s="62"/>
      <c r="K17" s="62"/>
      <c r="L17" s="63" t="s">
        <v>1337</v>
      </c>
    </row>
    <row r="18" customFormat="false" ht="17.25" hidden="false" customHeight="false" outlineLevel="0" collapsed="false">
      <c r="A18" s="62"/>
      <c r="B18" s="62"/>
      <c r="C18" s="62"/>
      <c r="D18" s="63" t="s">
        <v>1338</v>
      </c>
      <c r="E18" s="62"/>
      <c r="F18" s="62"/>
      <c r="G18" s="62" t="s">
        <v>1339</v>
      </c>
      <c r="H18" s="62"/>
      <c r="I18" s="62"/>
      <c r="J18" s="62"/>
      <c r="K18" s="62"/>
      <c r="L18" s="62" t="s">
        <v>1340</v>
      </c>
    </row>
    <row r="19" customFormat="false" ht="33" hidden="false" customHeight="false" outlineLevel="0" collapsed="false">
      <c r="A19" s="62"/>
      <c r="B19" s="62"/>
      <c r="C19" s="62"/>
      <c r="D19" s="62" t="s">
        <v>1341</v>
      </c>
      <c r="E19" s="62"/>
      <c r="F19" s="62"/>
      <c r="G19" s="62" t="s">
        <v>730</v>
      </c>
      <c r="H19" s="62" t="s">
        <v>265</v>
      </c>
      <c r="I19" s="62"/>
      <c r="J19" s="62"/>
      <c r="K19" s="62"/>
      <c r="L19" s="63" t="s">
        <v>1342</v>
      </c>
    </row>
    <row r="20" customFormat="false" ht="48.75" hidden="false" customHeight="false" outlineLevel="0" collapsed="false">
      <c r="A20" s="62"/>
      <c r="B20" s="62"/>
      <c r="C20" s="62"/>
      <c r="D20" s="63" t="s">
        <v>1343</v>
      </c>
      <c r="E20" s="62"/>
      <c r="F20" s="62"/>
      <c r="G20" s="62" t="n">
        <v>22</v>
      </c>
      <c r="H20" s="62" t="s">
        <v>301</v>
      </c>
      <c r="I20" s="62"/>
      <c r="J20" s="62"/>
      <c r="K20" s="62"/>
      <c r="L20" s="63" t="s">
        <v>1344</v>
      </c>
    </row>
    <row r="21" customFormat="false" ht="33" hidden="false" customHeight="false" outlineLevel="0" collapsed="false">
      <c r="A21" s="62"/>
      <c r="B21" s="62"/>
      <c r="C21" s="62"/>
      <c r="D21" s="63" t="s">
        <v>969</v>
      </c>
      <c r="E21" s="62"/>
      <c r="F21" s="62"/>
      <c r="G21" s="62" t="n">
        <v>23</v>
      </c>
      <c r="H21" s="62" t="s">
        <v>301</v>
      </c>
      <c r="I21" s="62"/>
      <c r="J21" s="62"/>
      <c r="K21" s="62"/>
      <c r="L21" s="63" t="s">
        <v>1345</v>
      </c>
    </row>
    <row r="22" customFormat="false" ht="17.25" hidden="false" customHeight="false" outlineLevel="0" collapsed="false">
      <c r="A22" s="62"/>
      <c r="B22" s="62"/>
      <c r="C22" s="62"/>
      <c r="D22" s="63" t="s">
        <v>1346</v>
      </c>
      <c r="E22" s="62"/>
      <c r="F22" s="62"/>
      <c r="G22" s="62" t="n">
        <v>24</v>
      </c>
      <c r="H22" s="62" t="s">
        <v>301</v>
      </c>
      <c r="I22" s="62"/>
      <c r="J22" s="62"/>
      <c r="K22" s="62"/>
      <c r="L22" s="63" t="s">
        <v>1347</v>
      </c>
    </row>
    <row r="23" customFormat="false" ht="33" hidden="false" customHeight="false" outlineLevel="0" collapsed="false">
      <c r="A23" s="62"/>
      <c r="B23" s="62"/>
      <c r="C23" s="62"/>
      <c r="D23" s="62" t="s">
        <v>1348</v>
      </c>
      <c r="E23" s="62"/>
      <c r="F23" s="62"/>
      <c r="G23" s="62" t="s">
        <v>803</v>
      </c>
      <c r="H23" s="62" t="s">
        <v>342</v>
      </c>
      <c r="I23" s="62"/>
      <c r="J23" s="62"/>
      <c r="K23" s="62"/>
      <c r="L23" s="63" t="s">
        <v>1349</v>
      </c>
    </row>
    <row r="24" customFormat="false" ht="33" hidden="false" customHeight="false" outlineLevel="0" collapsed="false">
      <c r="A24" s="62"/>
      <c r="B24" s="62"/>
      <c r="C24" s="62"/>
      <c r="D24" s="63" t="s">
        <v>1350</v>
      </c>
      <c r="E24" s="62"/>
      <c r="F24" s="62"/>
      <c r="G24" s="62" t="s">
        <v>267</v>
      </c>
      <c r="H24" s="62" t="s">
        <v>268</v>
      </c>
      <c r="I24" s="62"/>
      <c r="J24" s="62"/>
      <c r="K24" s="62"/>
      <c r="L24" s="63" t="s">
        <v>1351</v>
      </c>
    </row>
    <row r="25" customFormat="false" ht="33" hidden="false" customHeight="false" outlineLevel="0" collapsed="false">
      <c r="A25" s="62"/>
      <c r="B25" s="62"/>
      <c r="C25" s="62"/>
      <c r="D25" s="63" t="s">
        <v>1352</v>
      </c>
      <c r="E25" s="62"/>
      <c r="F25" s="62"/>
      <c r="G25" s="63" t="s">
        <v>1353</v>
      </c>
      <c r="H25" s="62" t="s">
        <v>1354</v>
      </c>
      <c r="I25" s="62"/>
      <c r="J25" s="62"/>
      <c r="K25" s="62"/>
      <c r="L25" s="63" t="s">
        <v>1355</v>
      </c>
    </row>
    <row r="26" customFormat="false" ht="33" hidden="false" customHeight="false" outlineLevel="0" collapsed="false">
      <c r="A26" s="62"/>
      <c r="B26" s="62"/>
      <c r="C26" s="62"/>
      <c r="D26" s="63" t="s">
        <v>1311</v>
      </c>
      <c r="E26" s="62"/>
      <c r="F26" s="62"/>
      <c r="G26" s="63" t="s">
        <v>270</v>
      </c>
      <c r="H26" s="62"/>
      <c r="I26" s="62"/>
      <c r="J26" s="62"/>
      <c r="K26" s="62"/>
      <c r="L26" s="63" t="s">
        <v>838</v>
      </c>
    </row>
    <row r="27" customFormat="false" ht="33" hidden="false" customHeight="false" outlineLevel="0" collapsed="false">
      <c r="A27" s="62"/>
      <c r="B27" s="62"/>
      <c r="C27" s="62"/>
      <c r="D27" s="63" t="s">
        <v>1356</v>
      </c>
      <c r="E27" s="62"/>
      <c r="F27" s="62"/>
      <c r="G27" s="62" t="s">
        <v>267</v>
      </c>
      <c r="H27" s="62"/>
      <c r="I27" s="62"/>
      <c r="J27" s="62"/>
      <c r="K27" s="62"/>
      <c r="L27" s="62" t="s">
        <v>1357</v>
      </c>
    </row>
    <row r="28" customFormat="false" ht="33" hidden="false" customHeight="false" outlineLevel="0" collapsed="false">
      <c r="A28" s="62"/>
      <c r="B28" s="62"/>
      <c r="C28" s="62"/>
      <c r="D28" s="62" t="s">
        <v>1358</v>
      </c>
      <c r="E28" s="62"/>
      <c r="F28" s="62"/>
      <c r="G28" s="62" t="s">
        <v>1354</v>
      </c>
      <c r="H28" s="62"/>
      <c r="I28" s="62"/>
      <c r="J28" s="62"/>
      <c r="K28" s="62"/>
      <c r="L28" s="63" t="s">
        <v>1359</v>
      </c>
    </row>
    <row r="29" customFormat="false" ht="33" hidden="false" customHeight="false" outlineLevel="0" collapsed="false">
      <c r="A29" s="62"/>
      <c r="B29" s="62"/>
      <c r="C29" s="62"/>
      <c r="D29" s="63" t="s">
        <v>1303</v>
      </c>
      <c r="E29" s="62"/>
      <c r="F29" s="62"/>
      <c r="G29" s="62" t="s">
        <v>267</v>
      </c>
      <c r="H29" s="62"/>
      <c r="I29" s="62"/>
      <c r="J29" s="62"/>
      <c r="K29" s="62"/>
      <c r="L29" s="63" t="s">
        <v>1360</v>
      </c>
    </row>
    <row r="30" customFormat="false" ht="33" hidden="false" customHeight="false" outlineLevel="0" collapsed="false">
      <c r="A30" s="62"/>
      <c r="B30" s="62"/>
      <c r="C30" s="62"/>
      <c r="D30" s="63" t="s">
        <v>1304</v>
      </c>
      <c r="E30" s="62"/>
      <c r="F30" s="62"/>
      <c r="G30" s="62" t="s">
        <v>1361</v>
      </c>
      <c r="H30" s="62"/>
      <c r="I30" s="62"/>
      <c r="J30" s="62"/>
      <c r="K30" s="62"/>
      <c r="L30" s="62" t="s">
        <v>1362</v>
      </c>
    </row>
    <row r="31" customFormat="false" ht="48.75" hidden="false" customHeight="false" outlineLevel="0" collapsed="false">
      <c r="A31" s="62"/>
      <c r="B31" s="62"/>
      <c r="C31" s="62"/>
      <c r="D31" s="63" t="s">
        <v>839</v>
      </c>
      <c r="E31" s="62"/>
      <c r="F31" s="62"/>
      <c r="G31" s="62" t="s">
        <v>1363</v>
      </c>
      <c r="H31" s="62"/>
      <c r="I31" s="62"/>
      <c r="J31" s="62"/>
      <c r="K31" s="62"/>
      <c r="L31" s="63" t="s">
        <v>1364</v>
      </c>
    </row>
    <row r="32" customFormat="false" ht="33" hidden="false" customHeight="false" outlineLevel="0" collapsed="false">
      <c r="A32" s="62"/>
      <c r="B32" s="62"/>
      <c r="C32" s="62"/>
      <c r="D32" s="62" t="s">
        <v>1365</v>
      </c>
      <c r="E32" s="62"/>
      <c r="F32" s="62"/>
      <c r="G32" s="62"/>
      <c r="H32" s="62"/>
      <c r="I32" s="62"/>
      <c r="J32" s="62"/>
      <c r="K32" s="62"/>
      <c r="L32" s="63" t="s">
        <v>1180</v>
      </c>
    </row>
    <row r="33" customFormat="false" ht="33" hidden="false" customHeight="false" outlineLevel="0" collapsed="false">
      <c r="A33" s="62"/>
      <c r="B33" s="62"/>
      <c r="C33" s="62"/>
      <c r="D33" s="63" t="s">
        <v>233</v>
      </c>
      <c r="E33" s="62"/>
      <c r="F33" s="62"/>
      <c r="G33" s="62"/>
      <c r="H33" s="62"/>
      <c r="I33" s="62"/>
      <c r="J33" s="62"/>
      <c r="K33" s="62"/>
      <c r="L33" s="63" t="s">
        <v>837</v>
      </c>
    </row>
    <row r="34" customFormat="false" ht="17.25" hidden="false" customHeight="fals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1366</v>
      </c>
    </row>
    <row r="35" customFormat="false" ht="33" hidden="false" customHeight="false" outlineLevel="0" collapsed="false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 t="s">
        <v>1367</v>
      </c>
    </row>
    <row r="36" customFormat="false" ht="33" hidden="false" customHeight="false" outlineLevel="0" collapsed="false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 t="s">
        <v>1368</v>
      </c>
    </row>
    <row r="37" customFormat="false" ht="33" hidden="false" customHeight="false" outlineLevel="0" collapsed="false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 t="s">
        <v>1369</v>
      </c>
    </row>
    <row r="38" customFormat="false" ht="33" hidden="false" customHeight="false" outlineLevel="0" collapsed="false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 t="s">
        <v>1370</v>
      </c>
    </row>
    <row r="39" customFormat="false" ht="17.25" hidden="false" customHeight="false" outlineLevel="0" collapsed="false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 t="s">
        <v>838</v>
      </c>
    </row>
    <row r="40" customFormat="false" ht="17.25" hidden="false" customHeight="fals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 t="s">
        <v>838</v>
      </c>
    </row>
    <row r="41" customFormat="false" ht="33" hidden="false" customHeight="fals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 t="s">
        <v>1371</v>
      </c>
    </row>
    <row r="42" customFormat="false" ht="33" hidden="false" customHeight="fals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 t="s">
        <v>1372</v>
      </c>
    </row>
    <row r="43" customFormat="false" ht="33" hidden="false" customHeight="fals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 t="s">
        <v>1373</v>
      </c>
    </row>
    <row r="44" customFormat="false" ht="33" hidden="false" customHeight="false" outlineLevel="0" collapsed="false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 t="s">
        <v>1374</v>
      </c>
    </row>
    <row r="45" customFormat="false" ht="33" hidden="false" customHeight="false" outlineLevel="0" collapsed="false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3" t="s">
        <v>837</v>
      </c>
    </row>
    <row r="46" customFormat="false" ht="33" hidden="false" customHeight="false" outlineLevel="0" collapsed="false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3" t="s">
        <v>1375</v>
      </c>
    </row>
    <row r="47" customFormat="false" ht="33" hidden="false" customHeight="false" outlineLevel="0" collapsed="false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3" t="s">
        <v>1376</v>
      </c>
    </row>
    <row r="48" customFormat="false" ht="33" hidden="false" customHeight="false" outlineLevel="0" collapsed="false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3" t="s">
        <v>1377</v>
      </c>
    </row>
    <row r="49" customFormat="false" ht="33" hidden="false" customHeight="false" outlineLevel="0" collapsed="false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3" t="s">
        <v>1378</v>
      </c>
    </row>
    <row r="50" customFormat="false" ht="33" hidden="false" customHeight="false" outlineLevel="0" collapsed="false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3" t="s">
        <v>1379</v>
      </c>
    </row>
    <row r="51" customFormat="false" ht="17.25" hidden="false" customHeight="false" outlineLevel="0" collapsed="false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3" t="s">
        <v>838</v>
      </c>
    </row>
    <row r="52" customFormat="false" ht="17.25" hidden="false" customHeight="false" outlineLevel="0" collapsed="false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3" t="s">
        <v>838</v>
      </c>
    </row>
    <row r="53" customFormat="false" ht="33" hidden="false" customHeight="fals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 t="s">
        <v>1380</v>
      </c>
    </row>
    <row r="54" customFormat="false" ht="33" hidden="false" customHeight="fals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3" t="s">
        <v>1381</v>
      </c>
    </row>
    <row r="55" customFormat="false" ht="17.25" hidden="false" customHeight="fals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3" t="s">
        <v>1382</v>
      </c>
    </row>
    <row r="56" customFormat="false" ht="33" hidden="false" customHeight="fals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 t="s">
        <v>1383</v>
      </c>
    </row>
    <row r="57" customFormat="false" ht="33" hidden="false" customHeight="false" outlineLevel="0" collapsed="false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3" t="s">
        <v>1384</v>
      </c>
    </row>
    <row r="58" customFormat="false" ht="17.25" hidden="false" customHeight="false" outlineLevel="0" collapsed="false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 t="s">
        <v>1385</v>
      </c>
    </row>
    <row r="59" customFormat="false" ht="33" hidden="false" customHeight="fals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 t="s">
        <v>1386</v>
      </c>
    </row>
    <row r="60" customFormat="false" ht="33" hidden="false" customHeight="false" outlineLevel="0" collapsed="false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3" t="s">
        <v>1387</v>
      </c>
    </row>
    <row r="61" customFormat="false" ht="33" hidden="false" customHeight="false" outlineLevel="0" collapsed="false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3" t="s">
        <v>1388</v>
      </c>
    </row>
    <row r="62" customFormat="false" ht="33" hidden="false" customHeight="false" outlineLevel="0" collapsed="false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 t="s">
        <v>1389</v>
      </c>
    </row>
    <row r="63" customFormat="false" ht="48.75" hidden="false" customHeight="false" outlineLevel="0" collapsed="false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3" t="s">
        <v>1390</v>
      </c>
    </row>
    <row r="64" customFormat="false" ht="33" hidden="false" customHeight="false" outlineLevel="0" collapsed="false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3" t="s">
        <v>1391</v>
      </c>
    </row>
    <row r="65" customFormat="false" ht="33" hidden="false" customHeight="false" outlineLevel="0" collapsed="false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 t="s">
        <v>1392</v>
      </c>
    </row>
    <row r="66" customFormat="false" ht="48.75" hidden="false" customHeight="false" outlineLevel="0" collapsed="false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 t="s">
        <v>1393</v>
      </c>
    </row>
    <row r="67" customFormat="false" ht="17.25" hidden="false" customHeight="false" outlineLevel="0" collapsed="false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 t="s">
        <v>1394</v>
      </c>
    </row>
    <row r="68" customFormat="false" ht="17.25" hidden="false" customHeight="false" outlineLevel="0" collapsed="false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3" t="s">
        <v>838</v>
      </c>
    </row>
    <row r="69" customFormat="false" ht="17.25" hidden="false" customHeight="false" outlineLevel="0" collapsed="false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3" t="s">
        <v>838</v>
      </c>
    </row>
    <row r="70" customFormat="false" ht="33" hidden="false" customHeight="false" outlineLevel="0" collapsed="false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3" t="s">
        <v>1395</v>
      </c>
    </row>
    <row r="71" customFormat="false" ht="33" hidden="false" customHeight="false" outlineLevel="0" collapsed="false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 t="s">
        <v>1396</v>
      </c>
    </row>
    <row r="72" customFormat="false" ht="33" hidden="false" customHeight="false" outlineLevel="0" collapsed="false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3" t="s">
        <v>1194</v>
      </c>
    </row>
    <row r="73" customFormat="false" ht="33" hidden="false" customHeight="false" outlineLevel="0" collapsed="false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3" t="s">
        <v>1397</v>
      </c>
    </row>
    <row r="74" customFormat="false" ht="33" hidden="false" customHeight="false" outlineLevel="0" collapsed="false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3" t="s">
        <v>1398</v>
      </c>
    </row>
    <row r="75" customFormat="false" ht="33" hidden="false" customHeight="false" outlineLevel="0" collapsed="false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 t="s">
        <v>1399</v>
      </c>
    </row>
    <row r="76" customFormat="false" ht="33" hidden="false" customHeight="false" outlineLevel="0" collapsed="false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 t="s">
        <v>1400</v>
      </c>
    </row>
    <row r="77" customFormat="false" ht="33" hidden="false" customHeight="false" outlineLevel="0" collapsed="false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 t="s">
        <v>1401</v>
      </c>
    </row>
    <row r="78" customFormat="false" ht="17.25" hidden="false" customHeight="false" outlineLevel="0" collapsed="false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 t="s">
        <v>1402</v>
      </c>
    </row>
    <row r="79" customFormat="false" ht="33" hidden="false" customHeight="false" outlineLevel="0" collapsed="false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 t="s">
        <v>1403</v>
      </c>
    </row>
    <row r="80" customFormat="false" ht="33" hidden="false" customHeight="false" outlineLevel="0" collapsed="false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 t="s">
        <v>1404</v>
      </c>
    </row>
    <row r="81" customFormat="false" ht="33" hidden="false" customHeight="false" outlineLevel="0" collapsed="false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 t="s">
        <v>1405</v>
      </c>
    </row>
    <row r="82" customFormat="false" ht="17.25" hidden="false" customHeight="false" outlineLevel="0" collapsed="false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101" t="n">
        <v>35709</v>
      </c>
    </row>
    <row r="83" customFormat="false" ht="33" hidden="false" customHeight="false" outlineLevel="0" collapsed="false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3" t="s">
        <v>1406</v>
      </c>
    </row>
    <row r="84" customFormat="false" ht="33" hidden="false" customHeight="false" outlineLevel="0" collapsed="false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3" t="s">
        <v>1407</v>
      </c>
    </row>
    <row r="85" customFormat="false" ht="48.75" hidden="false" customHeight="false" outlineLevel="0" collapsed="false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3" t="s">
        <v>1408</v>
      </c>
    </row>
    <row r="86" customFormat="false" ht="33" hidden="false" customHeight="false" outlineLevel="0" collapsed="false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3" t="s">
        <v>1409</v>
      </c>
    </row>
    <row r="87" customFormat="false" ht="33" hidden="false" customHeight="false" outlineLevel="0" collapsed="false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 t="s">
        <v>1410</v>
      </c>
    </row>
    <row r="88" customFormat="false" ht="17.25" hidden="false" customHeight="false" outlineLevel="0" collapsed="false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 t="s">
        <v>1411</v>
      </c>
    </row>
    <row r="89" customFormat="false" ht="33" hidden="false" customHeight="false" outlineLevel="0" collapsed="false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 t="s">
        <v>1412</v>
      </c>
    </row>
    <row r="90" customFormat="false" ht="48.75" hidden="false" customHeight="false" outlineLevel="0" collapsed="false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 t="s">
        <v>1413</v>
      </c>
    </row>
    <row r="91" customFormat="false" ht="33" hidden="false" customHeight="false" outlineLevel="0" collapsed="false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 t="s">
        <v>1414</v>
      </c>
    </row>
    <row r="92" customFormat="false" ht="33" hidden="false" customHeight="false" outlineLevel="0" collapsed="false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 t="s">
        <v>1415</v>
      </c>
    </row>
    <row r="93" customFormat="false" ht="33" hidden="false" customHeight="false" outlineLevel="0" collapsed="false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 t="s">
        <v>1416</v>
      </c>
    </row>
    <row r="94" customFormat="false" ht="33" hidden="false" customHeight="false" outlineLevel="0" collapsed="false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 t="s">
        <v>1417</v>
      </c>
    </row>
    <row r="95" customFormat="false" ht="33" hidden="false" customHeight="false" outlineLevel="0" collapsed="false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 t="s">
        <v>1418</v>
      </c>
    </row>
    <row r="96" customFormat="false" ht="33" hidden="false" customHeight="false" outlineLevel="0" collapsed="false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 t="s">
        <v>1419</v>
      </c>
    </row>
    <row r="97" customFormat="false" ht="17.25" hidden="false" customHeight="false" outlineLevel="0" collapsed="false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 t="s">
        <v>1420</v>
      </c>
    </row>
    <row r="98" customFormat="false" ht="33" hidden="false" customHeight="false" outlineLevel="0" collapsed="false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 t="s">
        <v>1421</v>
      </c>
    </row>
    <row r="99" customFormat="false" ht="33" hidden="false" customHeight="false" outlineLevel="0" collapsed="false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 t="s">
        <v>1422</v>
      </c>
    </row>
    <row r="100" customFormat="false" ht="33" hidden="false" customHeight="false" outlineLevel="0" collapsed="false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 t="s">
        <v>1423</v>
      </c>
    </row>
    <row r="101" customFormat="false" ht="33" hidden="false" customHeight="false" outlineLevel="0" collapsed="false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 t="s">
        <v>1424</v>
      </c>
    </row>
    <row r="102" customFormat="false" ht="33" hidden="false" customHeight="false" outlineLevel="0" collapsed="false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 t="s">
        <v>1425</v>
      </c>
    </row>
    <row r="103" customFormat="false" ht="33" hidden="false" customHeight="false" outlineLevel="0" collapsed="false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 t="s">
        <v>1426</v>
      </c>
    </row>
    <row r="104" customFormat="false" ht="33" hidden="false" customHeight="false" outlineLevel="0" collapsed="false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3" t="s">
        <v>1427</v>
      </c>
    </row>
    <row r="105" customFormat="false" ht="33" hidden="false" customHeight="false" outlineLevel="0" collapsed="false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3" t="s">
        <v>1428</v>
      </c>
    </row>
    <row r="106" customFormat="false" ht="17.25" hidden="false" customHeight="false" outlineLevel="0" collapsed="false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3" t="s">
        <v>1429</v>
      </c>
    </row>
    <row r="107" customFormat="false" ht="17.25" hidden="false" customHeight="false" outlineLevel="0" collapsed="false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3" t="s">
        <v>838</v>
      </c>
    </row>
    <row r="108" customFormat="false" ht="33" hidden="false" customHeight="false" outlineLevel="0" collapsed="false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3" t="s">
        <v>1430</v>
      </c>
    </row>
    <row r="109" customFormat="false" ht="33" hidden="false" customHeight="false" outlineLevel="0" collapsed="false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 t="s">
        <v>1431</v>
      </c>
    </row>
    <row r="110" customFormat="false" ht="33" hidden="false" customHeight="false" outlineLevel="0" collapsed="false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 t="s">
        <v>1432</v>
      </c>
    </row>
    <row r="111" customFormat="false" ht="48.75" hidden="false" customHeight="false" outlineLevel="0" collapsed="false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 t="s">
        <v>1433</v>
      </c>
    </row>
    <row r="112" customFormat="false" ht="33" hidden="false" customHeight="false" outlineLevel="0" collapsed="false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3" t="s">
        <v>1434</v>
      </c>
    </row>
    <row r="113" customFormat="false" ht="33" hidden="false" customHeight="false" outlineLevel="0" collapsed="false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3" t="s">
        <v>1435</v>
      </c>
    </row>
    <row r="114" customFormat="false" ht="17.25" hidden="false" customHeight="false" outlineLevel="0" collapsed="false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3" t="s">
        <v>1089</v>
      </c>
    </row>
    <row r="115" customFormat="false" ht="48.75" hidden="false" customHeight="false" outlineLevel="0" collapsed="false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3" t="s">
        <v>1436</v>
      </c>
    </row>
    <row r="116" customFormat="false" ht="33" hidden="false" customHeight="false" outlineLevel="0" collapsed="false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3" t="s">
        <v>1437</v>
      </c>
    </row>
    <row r="117" customFormat="false" ht="17.25" hidden="false" customHeight="false" outlineLevel="0" collapsed="false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 t="s">
        <v>1438</v>
      </c>
    </row>
    <row r="118" customFormat="false" ht="33" hidden="false" customHeight="false" outlineLevel="0" collapsed="false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3" t="s">
        <v>1439</v>
      </c>
    </row>
    <row r="119" customFormat="false" ht="17.25" hidden="false" customHeight="false" outlineLevel="0" collapsed="false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3" t="s">
        <v>1440</v>
      </c>
    </row>
    <row r="120" customFormat="false" ht="33" hidden="false" customHeight="false" outlineLevel="0" collapsed="false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3" t="s">
        <v>1441</v>
      </c>
    </row>
    <row r="121" customFormat="false" ht="48.75" hidden="false" customHeight="false" outlineLevel="0" collapsed="false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 t="s">
        <v>1442</v>
      </c>
    </row>
    <row r="122" customFormat="false" ht="17.25" hidden="false" customHeight="false" outlineLevel="0" collapsed="false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3" t="s">
        <v>1443</v>
      </c>
    </row>
    <row r="123" customFormat="false" ht="17.25" hidden="false" customHeight="false" outlineLevel="0" collapsed="false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3" t="s">
        <v>1444</v>
      </c>
    </row>
    <row r="124" customFormat="false" ht="33" hidden="false" customHeight="false" outlineLevel="0" collapsed="false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3" t="s">
        <v>1445</v>
      </c>
    </row>
    <row r="125" customFormat="false" ht="48.75" hidden="false" customHeight="false" outlineLevel="0" collapsed="false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 t="s">
        <v>1446</v>
      </c>
    </row>
    <row r="126" customFormat="false" ht="17.25" hidden="false" customHeight="false" outlineLevel="0" collapsed="false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3" t="s">
        <v>1227</v>
      </c>
    </row>
    <row r="127" customFormat="false" ht="33" hidden="false" customHeight="false" outlineLevel="0" collapsed="false">
      <c r="A127" s="62"/>
      <c r="B127" s="62" t="n">
        <v>498</v>
      </c>
      <c r="C127" s="62"/>
      <c r="D127" s="62"/>
      <c r="E127" s="63" t="s">
        <v>283</v>
      </c>
      <c r="F127" s="62"/>
      <c r="G127" s="62" t="s">
        <v>1339</v>
      </c>
      <c r="H127" s="62"/>
      <c r="I127" s="62"/>
      <c r="J127" s="62"/>
      <c r="K127" s="62"/>
      <c r="L127" s="63" t="s">
        <v>1447</v>
      </c>
    </row>
    <row r="128" customFormat="false" ht="33" hidden="false" customHeight="false" outlineLevel="0" collapsed="false">
      <c r="A128" s="62"/>
      <c r="B128" s="62"/>
      <c r="C128" s="62"/>
      <c r="D128" s="62"/>
      <c r="E128" s="63" t="s">
        <v>237</v>
      </c>
      <c r="F128" s="62"/>
      <c r="G128" s="62" t="n">
        <v>14</v>
      </c>
      <c r="H128" s="62" t="s">
        <v>301</v>
      </c>
      <c r="I128" s="62"/>
      <c r="J128" s="62"/>
      <c r="K128" s="62"/>
      <c r="L128" s="62" t="s">
        <v>1448</v>
      </c>
    </row>
    <row r="129" customFormat="false" ht="33" hidden="false" customHeight="false" outlineLevel="0" collapsed="false">
      <c r="A129" s="62"/>
      <c r="B129" s="62"/>
      <c r="C129" s="62"/>
      <c r="D129" s="62"/>
      <c r="E129" s="62"/>
      <c r="F129" s="62"/>
      <c r="G129" s="62" t="n">
        <v>17</v>
      </c>
      <c r="H129" s="62" t="s">
        <v>1449</v>
      </c>
      <c r="I129" s="62"/>
      <c r="J129" s="62"/>
      <c r="K129" s="62"/>
      <c r="L129" s="62" t="s">
        <v>1450</v>
      </c>
    </row>
    <row r="130" customFormat="false" ht="48.75" hidden="false" customHeight="false" outlineLevel="0" collapsed="false">
      <c r="A130" s="62"/>
      <c r="B130" s="62"/>
      <c r="C130" s="62"/>
      <c r="D130" s="62"/>
      <c r="E130" s="62"/>
      <c r="F130" s="62"/>
      <c r="G130" s="62" t="n">
        <v>18</v>
      </c>
      <c r="H130" s="62" t="s">
        <v>301</v>
      </c>
      <c r="I130" s="62"/>
      <c r="J130" s="62"/>
      <c r="K130" s="62"/>
      <c r="L130" s="62" t="s">
        <v>1451</v>
      </c>
    </row>
    <row r="131" customFormat="false" ht="33" hidden="false" customHeight="false" outlineLevel="0" collapsed="false">
      <c r="A131" s="62"/>
      <c r="B131" s="62"/>
      <c r="C131" s="62"/>
      <c r="D131" s="62"/>
      <c r="E131" s="62"/>
      <c r="F131" s="62"/>
      <c r="G131" s="62" t="s">
        <v>1452</v>
      </c>
      <c r="H131" s="62"/>
      <c r="I131" s="62"/>
      <c r="J131" s="62"/>
      <c r="K131" s="62"/>
      <c r="L131" s="63" t="s">
        <v>1453</v>
      </c>
    </row>
    <row r="132" customFormat="false" ht="33" hidden="false" customHeight="false" outlineLevel="0" collapsed="false">
      <c r="A132" s="62"/>
      <c r="B132" s="62"/>
      <c r="C132" s="62"/>
      <c r="D132" s="62"/>
      <c r="E132" s="62"/>
      <c r="F132" s="62"/>
      <c r="G132" s="62" t="n">
        <v>2</v>
      </c>
      <c r="H132" s="62" t="s">
        <v>1454</v>
      </c>
      <c r="I132" s="62"/>
      <c r="J132" s="62"/>
      <c r="K132" s="62"/>
      <c r="L132" s="63" t="s">
        <v>1455</v>
      </c>
    </row>
    <row r="133" customFormat="false" ht="17.25" hidden="false" customHeight="false" outlineLevel="0" collapsed="false">
      <c r="A133" s="62"/>
      <c r="B133" s="62"/>
      <c r="C133" s="62"/>
      <c r="D133" s="62"/>
      <c r="E133" s="62"/>
      <c r="F133" s="62"/>
      <c r="G133" s="62" t="n">
        <v>3</v>
      </c>
      <c r="H133" s="62" t="s">
        <v>301</v>
      </c>
      <c r="I133" s="62"/>
      <c r="J133" s="62"/>
      <c r="K133" s="62"/>
      <c r="L133" s="63" t="s">
        <v>1456</v>
      </c>
    </row>
    <row r="134" customFormat="false" ht="17.25" hidden="false" customHeight="false" outlineLevel="0" collapsed="false">
      <c r="A134" s="62"/>
      <c r="B134" s="62"/>
      <c r="C134" s="62"/>
      <c r="D134" s="62"/>
      <c r="E134" s="62"/>
      <c r="F134" s="62"/>
      <c r="G134" s="62" t="n">
        <v>4</v>
      </c>
      <c r="H134" s="62" t="s">
        <v>301</v>
      </c>
      <c r="I134" s="62"/>
      <c r="J134" s="62"/>
      <c r="K134" s="62"/>
      <c r="L134" s="62"/>
    </row>
    <row r="135" customFormat="false" ht="17.25" hidden="false" customHeight="false" outlineLevel="0" collapsed="false">
      <c r="A135" s="62"/>
      <c r="B135" s="62"/>
      <c r="C135" s="62"/>
      <c r="D135" s="62"/>
      <c r="E135" s="62"/>
      <c r="F135" s="62"/>
      <c r="G135" s="64" t="n">
        <v>40664</v>
      </c>
      <c r="H135" s="62" t="s">
        <v>342</v>
      </c>
      <c r="I135" s="62"/>
      <c r="J135" s="62"/>
      <c r="K135" s="62"/>
      <c r="L135" s="62"/>
    </row>
    <row r="136" customFormat="false" ht="33" hidden="false" customHeight="false" outlineLevel="0" collapsed="false">
      <c r="A136" s="62"/>
      <c r="B136" s="62"/>
      <c r="C136" s="62"/>
      <c r="D136" s="62"/>
      <c r="E136" s="62"/>
      <c r="F136" s="62"/>
      <c r="G136" s="62" t="s">
        <v>267</v>
      </c>
      <c r="H136" s="62" t="s">
        <v>268</v>
      </c>
      <c r="I136" s="62"/>
      <c r="J136" s="62"/>
      <c r="K136" s="62"/>
      <c r="L136" s="62"/>
    </row>
    <row r="137" customFormat="false" ht="17.25" hidden="false" customHeight="false" outlineLevel="0" collapsed="false">
      <c r="A137" s="62"/>
      <c r="B137" s="62"/>
      <c r="C137" s="62"/>
      <c r="D137" s="62"/>
      <c r="E137" s="62"/>
      <c r="F137" s="62"/>
      <c r="G137" s="63" t="s">
        <v>1457</v>
      </c>
      <c r="H137" s="62" t="s">
        <v>1458</v>
      </c>
      <c r="I137" s="62"/>
      <c r="J137" s="62"/>
      <c r="K137" s="62"/>
      <c r="L137" s="62"/>
    </row>
    <row r="138" customFormat="false" ht="33" hidden="false" customHeight="false" outlineLevel="0" collapsed="false">
      <c r="A138" s="62"/>
      <c r="B138" s="62"/>
      <c r="C138" s="62"/>
      <c r="D138" s="62"/>
      <c r="E138" s="62"/>
      <c r="F138" s="62"/>
      <c r="G138" s="63" t="s">
        <v>270</v>
      </c>
      <c r="H138" s="62"/>
      <c r="I138" s="62"/>
      <c r="J138" s="62"/>
      <c r="K138" s="62"/>
      <c r="L138" s="62"/>
    </row>
    <row r="139" customFormat="false" ht="33" hidden="false" customHeight="false" outlineLevel="0" collapsed="false">
      <c r="A139" s="62"/>
      <c r="B139" s="62"/>
      <c r="C139" s="62"/>
      <c r="D139" s="62"/>
      <c r="E139" s="62"/>
      <c r="F139" s="62"/>
      <c r="G139" s="62" t="s">
        <v>267</v>
      </c>
      <c r="H139" s="62"/>
      <c r="I139" s="62"/>
      <c r="J139" s="62"/>
      <c r="K139" s="62"/>
      <c r="L139" s="62"/>
    </row>
    <row r="140" customFormat="false" ht="17.25" hidden="false" customHeight="false" outlineLevel="0" collapsed="false">
      <c r="A140" s="62"/>
      <c r="B140" s="62"/>
      <c r="C140" s="62"/>
      <c r="D140" s="62"/>
      <c r="E140" s="62"/>
      <c r="F140" s="62"/>
      <c r="G140" s="62" t="s">
        <v>1458</v>
      </c>
      <c r="H140" s="62"/>
      <c r="I140" s="62"/>
      <c r="J140" s="62"/>
      <c r="K140" s="62"/>
      <c r="L140" s="62"/>
    </row>
    <row r="141" customFormat="false" ht="33" hidden="false" customHeight="false" outlineLevel="0" collapsed="false">
      <c r="A141" s="62"/>
      <c r="B141" s="62"/>
      <c r="C141" s="62"/>
      <c r="D141" s="62"/>
      <c r="E141" s="62"/>
      <c r="F141" s="62"/>
      <c r="G141" s="62" t="s">
        <v>267</v>
      </c>
      <c r="H141" s="62"/>
      <c r="I141" s="62"/>
      <c r="J141" s="62"/>
      <c r="K141" s="62"/>
      <c r="L141" s="62"/>
    </row>
    <row r="142" customFormat="false" ht="17.25" hidden="false" customHeight="false" outlineLevel="0" collapsed="false">
      <c r="A142" s="62"/>
      <c r="B142" s="62"/>
      <c r="C142" s="62"/>
      <c r="D142" s="62"/>
      <c r="E142" s="62"/>
      <c r="F142" s="62"/>
      <c r="G142" s="62" t="s">
        <v>1449</v>
      </c>
      <c r="H142" s="62"/>
      <c r="I142" s="62"/>
      <c r="J142" s="62"/>
      <c r="K142" s="62"/>
      <c r="L142" s="62"/>
    </row>
    <row r="143" customFormat="false" ht="33" hidden="false" customHeight="false" outlineLevel="0" collapsed="false">
      <c r="A143" s="62"/>
      <c r="B143" s="62"/>
      <c r="C143" s="62"/>
      <c r="D143" s="62"/>
      <c r="E143" s="62"/>
      <c r="F143" s="62"/>
      <c r="G143" s="62" t="s">
        <v>1459</v>
      </c>
      <c r="H143" s="62"/>
      <c r="I143" s="62"/>
      <c r="J143" s="62"/>
      <c r="K143" s="62"/>
      <c r="L143" s="62"/>
    </row>
    <row r="144" customFormat="false" ht="17.25" hidden="false" customHeight="false" outlineLevel="0" collapsed="false">
      <c r="A144" s="62"/>
      <c r="B144" s="62" t="n">
        <v>499</v>
      </c>
      <c r="C144" s="62"/>
      <c r="D144" s="62"/>
      <c r="E144" s="63" t="s">
        <v>1460</v>
      </c>
      <c r="F144" s="62"/>
      <c r="G144" s="62" t="s">
        <v>1461</v>
      </c>
      <c r="H144" s="62"/>
      <c r="I144" s="62"/>
      <c r="J144" s="62"/>
      <c r="K144" s="62"/>
      <c r="L144" s="62"/>
    </row>
    <row r="145" customFormat="false" ht="17.25" hidden="false" customHeight="false" outlineLevel="0" collapsed="false">
      <c r="A145" s="62"/>
      <c r="B145" s="62"/>
      <c r="C145" s="62"/>
      <c r="D145" s="62"/>
      <c r="E145" s="62" t="s">
        <v>328</v>
      </c>
      <c r="F145" s="62"/>
      <c r="G145" s="62" t="s">
        <v>1250</v>
      </c>
      <c r="H145" s="62" t="s">
        <v>1462</v>
      </c>
      <c r="I145" s="62"/>
      <c r="J145" s="62"/>
      <c r="K145" s="62"/>
      <c r="L145" s="62"/>
    </row>
    <row r="146" customFormat="false" ht="33" hidden="false" customHeight="false" outlineLevel="0" collapsed="false">
      <c r="A146" s="62"/>
      <c r="B146" s="62"/>
      <c r="C146" s="62"/>
      <c r="D146" s="62"/>
      <c r="E146" s="63" t="s">
        <v>237</v>
      </c>
      <c r="F146" s="62"/>
      <c r="G146" s="62" t="s">
        <v>1463</v>
      </c>
      <c r="H146" s="62" t="s">
        <v>1464</v>
      </c>
      <c r="I146" s="62"/>
      <c r="J146" s="62"/>
      <c r="K146" s="62"/>
      <c r="L146" s="62"/>
    </row>
    <row r="147" customFormat="false" ht="33" hidden="false" customHeight="false" outlineLevel="0" collapsed="false">
      <c r="A147" s="62"/>
      <c r="B147" s="62"/>
      <c r="C147" s="62"/>
      <c r="D147" s="62"/>
      <c r="E147" s="63" t="s">
        <v>1465</v>
      </c>
      <c r="F147" s="62"/>
      <c r="G147" s="62" t="n">
        <v>22</v>
      </c>
      <c r="H147" s="62" t="s">
        <v>1466</v>
      </c>
      <c r="I147" s="62"/>
      <c r="J147" s="62"/>
      <c r="K147" s="62"/>
      <c r="L147" s="62"/>
    </row>
    <row r="148" customFormat="false" ht="17.25" hidden="false" customHeight="false" outlineLevel="0" collapsed="false">
      <c r="A148" s="62"/>
      <c r="B148" s="62"/>
      <c r="C148" s="62"/>
      <c r="D148" s="62"/>
      <c r="E148" s="62" t="s">
        <v>330</v>
      </c>
      <c r="F148" s="62"/>
      <c r="G148" s="62" t="s">
        <v>1467</v>
      </c>
      <c r="H148" s="62"/>
      <c r="I148" s="62"/>
      <c r="J148" s="62"/>
      <c r="K148" s="62"/>
      <c r="L148" s="62"/>
    </row>
    <row r="149" customFormat="false" ht="33" hidden="false" customHeight="false" outlineLevel="0" collapsed="false">
      <c r="A149" s="62"/>
      <c r="B149" s="62"/>
      <c r="C149" s="62"/>
      <c r="D149" s="62"/>
      <c r="E149" s="63" t="s">
        <v>237</v>
      </c>
      <c r="F149" s="62"/>
      <c r="G149" s="64" t="n">
        <v>40545</v>
      </c>
      <c r="H149" s="62" t="s">
        <v>921</v>
      </c>
      <c r="I149" s="62"/>
      <c r="J149" s="62"/>
      <c r="K149" s="62"/>
      <c r="L149" s="62"/>
    </row>
    <row r="150" customFormat="false" ht="33" hidden="false" customHeight="false" outlineLevel="0" collapsed="false">
      <c r="A150" s="62"/>
      <c r="B150" s="62"/>
      <c r="C150" s="62"/>
      <c r="D150" s="62"/>
      <c r="E150" s="63" t="s">
        <v>1278</v>
      </c>
      <c r="F150" s="62"/>
      <c r="G150" s="62" t="n">
        <v>2</v>
      </c>
      <c r="H150" s="62" t="s">
        <v>771</v>
      </c>
      <c r="I150" s="62"/>
      <c r="J150" s="62"/>
      <c r="K150" s="62"/>
      <c r="L150" s="62"/>
    </row>
    <row r="151" customFormat="false" ht="33" hidden="false" customHeight="false" outlineLevel="0" collapsed="false">
      <c r="A151" s="62"/>
      <c r="B151" s="62"/>
      <c r="C151" s="62"/>
      <c r="D151" s="62"/>
      <c r="E151" s="63" t="s">
        <v>1468</v>
      </c>
      <c r="F151" s="62"/>
      <c r="G151" s="62" t="s">
        <v>267</v>
      </c>
      <c r="H151" s="62" t="s">
        <v>268</v>
      </c>
      <c r="I151" s="62"/>
      <c r="J151" s="62"/>
      <c r="K151" s="62"/>
      <c r="L151" s="62"/>
    </row>
    <row r="152" customFormat="false" ht="33" hidden="false" customHeight="false" outlineLevel="0" collapsed="false">
      <c r="A152" s="62"/>
      <c r="B152" s="62"/>
      <c r="C152" s="62"/>
      <c r="D152" s="62"/>
      <c r="E152" s="63" t="s">
        <v>227</v>
      </c>
      <c r="F152" s="62"/>
      <c r="G152" s="63" t="s">
        <v>278</v>
      </c>
      <c r="H152" s="62" t="s">
        <v>1469</v>
      </c>
      <c r="I152" s="62"/>
      <c r="J152" s="62"/>
      <c r="K152" s="62"/>
      <c r="L152" s="62"/>
    </row>
    <row r="153" customFormat="false" ht="33" hidden="false" customHeight="false" outlineLevel="0" collapsed="false">
      <c r="A153" s="62"/>
      <c r="B153" s="62"/>
      <c r="C153" s="62"/>
      <c r="D153" s="62"/>
      <c r="E153" s="63" t="s">
        <v>240</v>
      </c>
      <c r="F153" s="62"/>
      <c r="G153" s="63" t="s">
        <v>270</v>
      </c>
      <c r="H153" s="62"/>
      <c r="I153" s="62"/>
      <c r="J153" s="62"/>
      <c r="K153" s="62"/>
      <c r="L153" s="62"/>
    </row>
    <row r="154" customFormat="false" ht="33" hidden="false" customHeight="false" outlineLevel="0" collapsed="false">
      <c r="A154" s="62"/>
      <c r="B154" s="62"/>
      <c r="C154" s="62"/>
      <c r="D154" s="62"/>
      <c r="E154" s="62" t="s">
        <v>330</v>
      </c>
      <c r="F154" s="62"/>
      <c r="G154" s="62" t="s">
        <v>267</v>
      </c>
      <c r="H154" s="62"/>
      <c r="I154" s="62"/>
      <c r="J154" s="62"/>
      <c r="K154" s="62"/>
      <c r="L154" s="62"/>
    </row>
    <row r="155" customFormat="false" ht="33" hidden="false" customHeight="false" outlineLevel="0" collapsed="false">
      <c r="A155" s="62"/>
      <c r="B155" s="62"/>
      <c r="C155" s="62"/>
      <c r="D155" s="62"/>
      <c r="E155" s="63" t="s">
        <v>1282</v>
      </c>
      <c r="F155" s="62"/>
      <c r="G155" s="62" t="s">
        <v>1469</v>
      </c>
      <c r="H155" s="62"/>
      <c r="I155" s="62"/>
      <c r="J155" s="62"/>
      <c r="K155" s="62"/>
      <c r="L155" s="62"/>
    </row>
    <row r="156" customFormat="false" ht="33" hidden="false" customHeight="false" outlineLevel="0" collapsed="false">
      <c r="A156" s="62"/>
      <c r="B156" s="62"/>
      <c r="C156" s="62"/>
      <c r="D156" s="62"/>
      <c r="E156" s="63" t="s">
        <v>1470</v>
      </c>
      <c r="F156" s="62"/>
      <c r="G156" s="62" t="s">
        <v>267</v>
      </c>
      <c r="H156" s="62"/>
      <c r="I156" s="62"/>
      <c r="J156" s="62"/>
      <c r="K156" s="62"/>
      <c r="L156" s="62"/>
    </row>
    <row r="157" customFormat="false" ht="33" hidden="false" customHeight="false" outlineLevel="0" collapsed="false">
      <c r="A157" s="62"/>
      <c r="B157" s="62"/>
      <c r="C157" s="62"/>
      <c r="D157" s="62"/>
      <c r="E157" s="63" t="s">
        <v>1471</v>
      </c>
      <c r="F157" s="62"/>
      <c r="G157" s="62" t="s">
        <v>1472</v>
      </c>
      <c r="H157" s="62"/>
      <c r="I157" s="62"/>
      <c r="J157" s="62"/>
      <c r="K157" s="62"/>
      <c r="L157" s="62"/>
    </row>
    <row r="158" customFormat="false" ht="33" hidden="false" customHeight="false" outlineLevel="0" collapsed="false">
      <c r="A158" s="62"/>
      <c r="B158" s="62"/>
      <c r="C158" s="62"/>
      <c r="D158" s="62"/>
      <c r="E158" s="63" t="s">
        <v>839</v>
      </c>
      <c r="F158" s="62"/>
      <c r="G158" s="62" t="s">
        <v>1473</v>
      </c>
      <c r="H158" s="62"/>
      <c r="I158" s="62"/>
      <c r="J158" s="62"/>
      <c r="K158" s="62"/>
      <c r="L158" s="62"/>
    </row>
    <row r="159" customFormat="false" ht="17.25" hidden="false" customHeight="false" outlineLevel="0" collapsed="false">
      <c r="A159" s="62"/>
      <c r="B159" s="62"/>
      <c r="C159" s="62"/>
      <c r="D159" s="62"/>
      <c r="E159" s="62" t="s">
        <v>328</v>
      </c>
      <c r="F159" s="62"/>
      <c r="G159" s="62"/>
      <c r="H159" s="62"/>
      <c r="I159" s="62"/>
      <c r="J159" s="62"/>
      <c r="K159" s="62"/>
      <c r="L159" s="62"/>
    </row>
    <row r="160" customFormat="false" ht="33" hidden="false" customHeight="false" outlineLevel="0" collapsed="false">
      <c r="A160" s="62"/>
      <c r="B160" s="62"/>
      <c r="C160" s="62"/>
      <c r="D160" s="62"/>
      <c r="E160" s="63" t="s">
        <v>1282</v>
      </c>
      <c r="F160" s="62"/>
      <c r="G160" s="62"/>
      <c r="H160" s="62"/>
      <c r="I160" s="62"/>
      <c r="J160" s="62"/>
      <c r="K160" s="62"/>
      <c r="L160" s="62"/>
    </row>
    <row r="161" customFormat="false" ht="17.25" hidden="false" customHeight="false" outlineLevel="0" collapsed="false">
      <c r="A161" s="62"/>
      <c r="B161" s="62"/>
      <c r="C161" s="62"/>
      <c r="D161" s="62"/>
      <c r="E161" s="63" t="s">
        <v>920</v>
      </c>
      <c r="F161" s="62"/>
      <c r="G161" s="62"/>
      <c r="H161" s="62"/>
      <c r="I161" s="62"/>
      <c r="J161" s="62"/>
      <c r="K161" s="62"/>
      <c r="L161" s="62"/>
    </row>
    <row r="162" customFormat="false" ht="33" hidden="false" customHeight="false" outlineLevel="0" collapsed="false">
      <c r="A162" s="62"/>
      <c r="B162" s="62"/>
      <c r="C162" s="62"/>
      <c r="D162" s="62"/>
      <c r="E162" s="63" t="s">
        <v>1474</v>
      </c>
      <c r="F162" s="62"/>
      <c r="G162" s="62"/>
      <c r="H162" s="62"/>
      <c r="I162" s="62"/>
      <c r="J162" s="62"/>
      <c r="K162" s="62"/>
      <c r="L162" s="62"/>
    </row>
    <row r="163" customFormat="false" ht="17.25" hidden="false" customHeight="false" outlineLevel="0" collapsed="false">
      <c r="A163" s="62"/>
      <c r="B163" s="62"/>
      <c r="C163" s="62"/>
      <c r="D163" s="62"/>
      <c r="E163" s="63" t="s">
        <v>233</v>
      </c>
      <c r="F163" s="62"/>
      <c r="G163" s="62"/>
      <c r="H163" s="62"/>
      <c r="I163" s="62"/>
      <c r="J163" s="62"/>
      <c r="K163" s="62"/>
      <c r="L163" s="62"/>
    </row>
    <row r="164" customFormat="false" ht="17.25" hidden="false" customHeight="false" outlineLevel="0" collapsed="false">
      <c r="A164" s="62"/>
      <c r="B164" s="62" t="n">
        <v>500</v>
      </c>
      <c r="C164" s="62"/>
      <c r="D164" s="62"/>
      <c r="E164" s="63" t="s">
        <v>1460</v>
      </c>
      <c r="F164" s="62"/>
      <c r="G164" s="62" t="s">
        <v>1475</v>
      </c>
      <c r="H164" s="62"/>
      <c r="I164" s="62"/>
      <c r="J164" s="62"/>
      <c r="K164" s="62"/>
      <c r="L164" s="62"/>
    </row>
    <row r="165" customFormat="false" ht="33" hidden="false" customHeight="false" outlineLevel="0" collapsed="false">
      <c r="A165" s="62"/>
      <c r="B165" s="62"/>
      <c r="C165" s="62"/>
      <c r="D165" s="62"/>
      <c r="E165" s="62" t="s">
        <v>328</v>
      </c>
      <c r="F165" s="62"/>
      <c r="G165" s="62" t="n">
        <v>21</v>
      </c>
      <c r="H165" s="62" t="s">
        <v>1476</v>
      </c>
      <c r="I165" s="62"/>
      <c r="J165" s="62"/>
      <c r="K165" s="62"/>
      <c r="L165" s="62"/>
    </row>
    <row r="166" customFormat="false" ht="17.25" hidden="false" customHeight="false" outlineLevel="0" collapsed="false">
      <c r="A166" s="62"/>
      <c r="B166" s="62"/>
      <c r="C166" s="62"/>
      <c r="D166" s="62"/>
      <c r="E166" s="63" t="s">
        <v>237</v>
      </c>
      <c r="F166" s="62"/>
      <c r="G166" s="62" t="n">
        <v>22</v>
      </c>
      <c r="H166" s="62" t="s">
        <v>1466</v>
      </c>
      <c r="I166" s="62"/>
      <c r="J166" s="62"/>
      <c r="K166" s="62"/>
      <c r="L166" s="62"/>
    </row>
    <row r="167" customFormat="false" ht="33" hidden="false" customHeight="false" outlineLevel="0" collapsed="false">
      <c r="A167" s="62"/>
      <c r="B167" s="62"/>
      <c r="C167" s="62"/>
      <c r="D167" s="62"/>
      <c r="E167" s="63" t="s">
        <v>1465</v>
      </c>
      <c r="F167" s="62"/>
      <c r="G167" s="62" t="s">
        <v>1461</v>
      </c>
      <c r="H167" s="62"/>
      <c r="I167" s="62"/>
      <c r="J167" s="62"/>
      <c r="K167" s="62"/>
      <c r="L167" s="62"/>
    </row>
    <row r="168" customFormat="false" ht="17.25" hidden="false" customHeight="false" outlineLevel="0" collapsed="false">
      <c r="A168" s="62"/>
      <c r="B168" s="62"/>
      <c r="C168" s="62"/>
      <c r="D168" s="62"/>
      <c r="E168" s="62" t="s">
        <v>330</v>
      </c>
      <c r="F168" s="62"/>
      <c r="G168" s="62" t="n">
        <v>23</v>
      </c>
      <c r="H168" s="62" t="s">
        <v>1466</v>
      </c>
      <c r="I168" s="62"/>
      <c r="J168" s="62"/>
      <c r="K168" s="62"/>
      <c r="L168" s="62"/>
    </row>
    <row r="169" customFormat="false" ht="33" hidden="false" customHeight="false" outlineLevel="0" collapsed="false">
      <c r="A169" s="62"/>
      <c r="B169" s="62"/>
      <c r="C169" s="62"/>
      <c r="D169" s="62"/>
      <c r="E169" s="63" t="s">
        <v>237</v>
      </c>
      <c r="F169" s="62"/>
      <c r="G169" s="62" t="n">
        <v>24</v>
      </c>
      <c r="H169" s="62" t="s">
        <v>1477</v>
      </c>
      <c r="I169" s="62"/>
      <c r="J169" s="62"/>
      <c r="K169" s="62"/>
      <c r="L169" s="62"/>
    </row>
    <row r="170" customFormat="false" ht="33" hidden="false" customHeight="false" outlineLevel="0" collapsed="false">
      <c r="A170" s="62"/>
      <c r="B170" s="62"/>
      <c r="C170" s="62"/>
      <c r="D170" s="62"/>
      <c r="E170" s="63" t="s">
        <v>242</v>
      </c>
      <c r="F170" s="62"/>
      <c r="G170" s="62" t="n">
        <v>25</v>
      </c>
      <c r="H170" s="62" t="s">
        <v>1466</v>
      </c>
      <c r="I170" s="62"/>
      <c r="J170" s="62"/>
      <c r="K170" s="62"/>
      <c r="L170" s="62"/>
    </row>
    <row r="171" customFormat="false" ht="33" hidden="false" customHeight="false" outlineLevel="0" collapsed="false">
      <c r="A171" s="62"/>
      <c r="B171" s="62"/>
      <c r="C171" s="62"/>
      <c r="D171" s="62"/>
      <c r="E171" s="63" t="s">
        <v>243</v>
      </c>
      <c r="F171" s="62"/>
      <c r="G171" s="62" t="s">
        <v>267</v>
      </c>
      <c r="H171" s="62" t="s">
        <v>268</v>
      </c>
      <c r="I171" s="62"/>
      <c r="J171" s="62"/>
      <c r="K171" s="62"/>
      <c r="L171" s="62"/>
    </row>
    <row r="172" customFormat="false" ht="33" hidden="false" customHeight="false" outlineLevel="0" collapsed="false">
      <c r="A172" s="62"/>
      <c r="B172" s="62"/>
      <c r="C172" s="62"/>
      <c r="D172" s="62"/>
      <c r="E172" s="63" t="s">
        <v>1123</v>
      </c>
      <c r="F172" s="62"/>
      <c r="G172" s="63" t="s">
        <v>278</v>
      </c>
      <c r="H172" s="62" t="s">
        <v>1478</v>
      </c>
      <c r="I172" s="62"/>
      <c r="J172" s="62"/>
      <c r="K172" s="62"/>
      <c r="L172" s="62"/>
    </row>
    <row r="173" customFormat="false" ht="33" hidden="false" customHeight="false" outlineLevel="0" collapsed="false">
      <c r="A173" s="62"/>
      <c r="B173" s="62"/>
      <c r="C173" s="62"/>
      <c r="D173" s="62"/>
      <c r="E173" s="63" t="s">
        <v>244</v>
      </c>
      <c r="F173" s="62"/>
      <c r="G173" s="63" t="s">
        <v>270</v>
      </c>
      <c r="H173" s="62"/>
      <c r="I173" s="62"/>
      <c r="J173" s="62"/>
      <c r="K173" s="62"/>
      <c r="L173" s="62"/>
    </row>
    <row r="174" customFormat="false" ht="33" hidden="false" customHeight="false" outlineLevel="0" collapsed="false">
      <c r="A174" s="62"/>
      <c r="B174" s="62"/>
      <c r="C174" s="62"/>
      <c r="D174" s="62"/>
      <c r="E174" s="63" t="s">
        <v>1479</v>
      </c>
      <c r="F174" s="62"/>
      <c r="G174" s="62" t="s">
        <v>267</v>
      </c>
      <c r="H174" s="62"/>
      <c r="I174" s="62"/>
      <c r="J174" s="62"/>
      <c r="K174" s="62"/>
      <c r="L174" s="62"/>
    </row>
    <row r="175" customFormat="false" ht="33" hidden="false" customHeight="false" outlineLevel="0" collapsed="false">
      <c r="A175" s="62"/>
      <c r="B175" s="62"/>
      <c r="C175" s="62"/>
      <c r="D175" s="62"/>
      <c r="E175" s="63" t="s">
        <v>1278</v>
      </c>
      <c r="F175" s="62"/>
      <c r="G175" s="62" t="s">
        <v>1478</v>
      </c>
      <c r="H175" s="62"/>
      <c r="I175" s="62"/>
      <c r="J175" s="62"/>
      <c r="K175" s="62"/>
      <c r="L175" s="62"/>
    </row>
    <row r="176" customFormat="false" ht="33" hidden="false" customHeight="false" outlineLevel="0" collapsed="false">
      <c r="A176" s="62"/>
      <c r="B176" s="62"/>
      <c r="C176" s="62"/>
      <c r="D176" s="62"/>
      <c r="E176" s="63" t="s">
        <v>1468</v>
      </c>
      <c r="F176" s="62"/>
      <c r="G176" s="62" t="s">
        <v>267</v>
      </c>
      <c r="H176" s="62"/>
      <c r="I176" s="62"/>
      <c r="J176" s="62"/>
      <c r="K176" s="62"/>
      <c r="L176" s="62"/>
    </row>
    <row r="177" customFormat="false" ht="33" hidden="false" customHeight="false" outlineLevel="0" collapsed="false">
      <c r="A177" s="62"/>
      <c r="B177" s="62"/>
      <c r="C177" s="62"/>
      <c r="D177" s="62"/>
      <c r="E177" s="63" t="s">
        <v>227</v>
      </c>
      <c r="F177" s="62"/>
      <c r="G177" s="62" t="s">
        <v>1480</v>
      </c>
      <c r="H177" s="62"/>
      <c r="I177" s="62"/>
      <c r="J177" s="62"/>
      <c r="K177" s="62"/>
      <c r="L177" s="62"/>
    </row>
    <row r="178" customFormat="false" ht="17.25" hidden="false" customHeight="false" outlineLevel="0" collapsed="false">
      <c r="A178" s="62"/>
      <c r="B178" s="62"/>
      <c r="C178" s="62"/>
      <c r="D178" s="62"/>
      <c r="E178" s="63" t="s">
        <v>240</v>
      </c>
      <c r="F178" s="62"/>
      <c r="G178" s="62"/>
      <c r="H178" s="62"/>
      <c r="I178" s="62"/>
      <c r="J178" s="62"/>
      <c r="K178" s="62"/>
      <c r="L178" s="62"/>
    </row>
    <row r="179" customFormat="false" ht="17.25" hidden="false" customHeight="false" outlineLevel="0" collapsed="false">
      <c r="A179" s="62"/>
      <c r="B179" s="62"/>
      <c r="C179" s="62"/>
      <c r="D179" s="62"/>
      <c r="E179" s="62" t="s">
        <v>330</v>
      </c>
      <c r="F179" s="62"/>
      <c r="G179" s="62"/>
      <c r="H179" s="62"/>
      <c r="I179" s="62"/>
      <c r="J179" s="62"/>
      <c r="K179" s="62"/>
      <c r="L179" s="62"/>
    </row>
    <row r="180" customFormat="false" ht="33" hidden="false" customHeight="false" outlineLevel="0" collapsed="false">
      <c r="A180" s="62"/>
      <c r="B180" s="62"/>
      <c r="C180" s="62"/>
      <c r="D180" s="62"/>
      <c r="E180" s="63" t="s">
        <v>1282</v>
      </c>
      <c r="F180" s="62"/>
      <c r="G180" s="62"/>
      <c r="H180" s="62"/>
      <c r="I180" s="62"/>
      <c r="J180" s="62"/>
      <c r="K180" s="62"/>
      <c r="L180" s="62"/>
    </row>
    <row r="181" customFormat="false" ht="33" hidden="false" customHeight="false" outlineLevel="0" collapsed="false">
      <c r="A181" s="62"/>
      <c r="B181" s="62"/>
      <c r="C181" s="62"/>
      <c r="D181" s="62"/>
      <c r="E181" s="63" t="s">
        <v>1470</v>
      </c>
      <c r="F181" s="62"/>
      <c r="G181" s="62"/>
      <c r="H181" s="62"/>
      <c r="I181" s="62"/>
      <c r="J181" s="62"/>
      <c r="K181" s="62"/>
      <c r="L181" s="62"/>
    </row>
    <row r="182" customFormat="false" ht="33" hidden="false" customHeight="false" outlineLevel="0" collapsed="false">
      <c r="A182" s="62"/>
      <c r="B182" s="62"/>
      <c r="C182" s="62"/>
      <c r="D182" s="62"/>
      <c r="E182" s="63" t="s">
        <v>1471</v>
      </c>
      <c r="F182" s="62"/>
      <c r="G182" s="62"/>
      <c r="H182" s="62"/>
      <c r="I182" s="62"/>
      <c r="J182" s="62"/>
      <c r="K182" s="62"/>
      <c r="L182" s="62"/>
    </row>
    <row r="183" customFormat="false" ht="33" hidden="false" customHeight="false" outlineLevel="0" collapsed="false">
      <c r="A183" s="62"/>
      <c r="B183" s="62"/>
      <c r="C183" s="62"/>
      <c r="D183" s="62"/>
      <c r="E183" s="63" t="s">
        <v>839</v>
      </c>
      <c r="F183" s="62"/>
      <c r="G183" s="62"/>
      <c r="H183" s="62"/>
      <c r="I183" s="62"/>
      <c r="J183" s="62"/>
      <c r="K183" s="62"/>
      <c r="L183" s="62"/>
    </row>
    <row r="184" customFormat="false" ht="17.25" hidden="false" customHeight="false" outlineLevel="0" collapsed="false">
      <c r="A184" s="62"/>
      <c r="B184" s="62"/>
      <c r="C184" s="62"/>
      <c r="D184" s="62"/>
      <c r="E184" s="62" t="s">
        <v>328</v>
      </c>
      <c r="F184" s="62"/>
      <c r="G184" s="62"/>
      <c r="H184" s="62"/>
      <c r="I184" s="62"/>
      <c r="J184" s="62"/>
      <c r="K184" s="62"/>
      <c r="L184" s="62"/>
    </row>
    <row r="185" customFormat="false" ht="33" hidden="false" customHeight="false" outlineLevel="0" collapsed="false">
      <c r="A185" s="62"/>
      <c r="B185" s="62"/>
      <c r="C185" s="62"/>
      <c r="D185" s="62"/>
      <c r="E185" s="63" t="s">
        <v>1282</v>
      </c>
      <c r="F185" s="62"/>
      <c r="G185" s="62"/>
      <c r="H185" s="62"/>
      <c r="I185" s="62"/>
      <c r="J185" s="62"/>
      <c r="K185" s="62"/>
      <c r="L185" s="62"/>
    </row>
    <row r="186" customFormat="false" ht="17.25" hidden="false" customHeight="false" outlineLevel="0" collapsed="false">
      <c r="A186" s="62"/>
      <c r="B186" s="62"/>
      <c r="C186" s="62"/>
      <c r="D186" s="62"/>
      <c r="E186" s="63" t="s">
        <v>920</v>
      </c>
      <c r="F186" s="62"/>
      <c r="G186" s="62"/>
      <c r="H186" s="62"/>
      <c r="I186" s="62"/>
      <c r="J186" s="62"/>
      <c r="K186" s="62"/>
      <c r="L186" s="62"/>
    </row>
    <row r="187" customFormat="false" ht="33" hidden="false" customHeight="false" outlineLevel="0" collapsed="false">
      <c r="A187" s="62"/>
      <c r="B187" s="62"/>
      <c r="C187" s="62"/>
      <c r="D187" s="62"/>
      <c r="E187" s="63" t="s">
        <v>1481</v>
      </c>
      <c r="F187" s="62"/>
      <c r="G187" s="62"/>
      <c r="H187" s="62"/>
      <c r="I187" s="62"/>
      <c r="J187" s="62"/>
      <c r="K187" s="62"/>
      <c r="L187" s="62"/>
    </row>
    <row r="188" customFormat="false" ht="17.25" hidden="false" customHeight="false" outlineLevel="0" collapsed="false">
      <c r="A188" s="62"/>
      <c r="B188" s="62"/>
      <c r="C188" s="62"/>
      <c r="D188" s="62"/>
      <c r="E188" s="63" t="s">
        <v>233</v>
      </c>
      <c r="F188" s="62"/>
      <c r="G188" s="62"/>
      <c r="H188" s="62"/>
      <c r="I188" s="62"/>
      <c r="J188" s="62"/>
      <c r="K188" s="62"/>
      <c r="L188" s="62"/>
    </row>
    <row r="189" customFormat="false" ht="17.25" hidden="false" customHeight="false" outlineLevel="0" collapsed="false">
      <c r="A189" s="62"/>
      <c r="B189" s="62" t="n">
        <v>501</v>
      </c>
      <c r="C189" s="62"/>
      <c r="D189" s="62"/>
      <c r="E189" s="63" t="s">
        <v>1460</v>
      </c>
      <c r="F189" s="62"/>
      <c r="G189" s="62" t="s">
        <v>1475</v>
      </c>
      <c r="H189" s="62"/>
      <c r="I189" s="62"/>
      <c r="J189" s="62"/>
      <c r="K189" s="62"/>
      <c r="L189" s="62"/>
    </row>
    <row r="190" customFormat="false" ht="33" hidden="false" customHeight="false" outlineLevel="0" collapsed="false">
      <c r="A190" s="62"/>
      <c r="B190" s="62"/>
      <c r="C190" s="62"/>
      <c r="D190" s="62"/>
      <c r="E190" s="62" t="s">
        <v>328</v>
      </c>
      <c r="F190" s="62"/>
      <c r="G190" s="62" t="n">
        <v>23</v>
      </c>
      <c r="H190" s="62" t="s">
        <v>1476</v>
      </c>
      <c r="I190" s="62"/>
      <c r="J190" s="62"/>
      <c r="K190" s="62"/>
      <c r="L190" s="62"/>
    </row>
    <row r="191" customFormat="false" ht="17.25" hidden="false" customHeight="false" outlineLevel="0" collapsed="false">
      <c r="A191" s="62"/>
      <c r="B191" s="62"/>
      <c r="C191" s="62"/>
      <c r="D191" s="62"/>
      <c r="E191" s="63" t="s">
        <v>237</v>
      </c>
      <c r="F191" s="62"/>
      <c r="G191" s="62" t="s">
        <v>1482</v>
      </c>
      <c r="H191" s="62" t="s">
        <v>1483</v>
      </c>
      <c r="I191" s="62"/>
      <c r="J191" s="62"/>
      <c r="K191" s="62"/>
      <c r="L191" s="62"/>
    </row>
    <row r="192" customFormat="false" ht="33" hidden="false" customHeight="false" outlineLevel="0" collapsed="false">
      <c r="A192" s="62"/>
      <c r="B192" s="62"/>
      <c r="C192" s="62"/>
      <c r="D192" s="62"/>
      <c r="E192" s="63" t="s">
        <v>1465</v>
      </c>
      <c r="F192" s="62"/>
      <c r="G192" s="62" t="s">
        <v>267</v>
      </c>
      <c r="H192" s="62" t="s">
        <v>268</v>
      </c>
      <c r="I192" s="62"/>
      <c r="J192" s="62"/>
      <c r="K192" s="62"/>
      <c r="L192" s="62"/>
    </row>
    <row r="193" customFormat="false" ht="17.25" hidden="false" customHeight="false" outlineLevel="0" collapsed="false">
      <c r="A193" s="62"/>
      <c r="B193" s="62"/>
      <c r="C193" s="62"/>
      <c r="D193" s="62"/>
      <c r="E193" s="62" t="s">
        <v>330</v>
      </c>
      <c r="F193" s="62"/>
      <c r="G193" s="63" t="s">
        <v>320</v>
      </c>
      <c r="H193" s="62" t="s">
        <v>1484</v>
      </c>
      <c r="I193" s="62"/>
      <c r="J193" s="62"/>
      <c r="K193" s="62"/>
      <c r="L193" s="62"/>
    </row>
    <row r="194" customFormat="false" ht="33" hidden="false" customHeight="false" outlineLevel="0" collapsed="false">
      <c r="A194" s="62"/>
      <c r="B194" s="62"/>
      <c r="C194" s="62"/>
      <c r="D194" s="62"/>
      <c r="E194" s="63" t="s">
        <v>237</v>
      </c>
      <c r="F194" s="62"/>
      <c r="G194" s="63" t="s">
        <v>270</v>
      </c>
      <c r="H194" s="62"/>
      <c r="I194" s="62"/>
      <c r="J194" s="62"/>
      <c r="K194" s="62"/>
      <c r="L194" s="62"/>
    </row>
    <row r="195" customFormat="false" ht="33" hidden="false" customHeight="false" outlineLevel="0" collapsed="false">
      <c r="A195" s="62"/>
      <c r="B195" s="62"/>
      <c r="C195" s="62"/>
      <c r="D195" s="62"/>
      <c r="E195" s="63" t="s">
        <v>1485</v>
      </c>
      <c r="F195" s="62"/>
      <c r="G195" s="62" t="s">
        <v>267</v>
      </c>
      <c r="H195" s="62"/>
      <c r="I195" s="62"/>
      <c r="J195" s="62"/>
      <c r="K195" s="62"/>
      <c r="L195" s="62"/>
    </row>
    <row r="196" customFormat="false" ht="33" hidden="false" customHeight="false" outlineLevel="0" collapsed="false">
      <c r="A196" s="62"/>
      <c r="B196" s="62"/>
      <c r="C196" s="62"/>
      <c r="D196" s="62"/>
      <c r="E196" s="63" t="s">
        <v>242</v>
      </c>
      <c r="F196" s="62"/>
      <c r="G196" s="62" t="s">
        <v>1484</v>
      </c>
      <c r="H196" s="62"/>
      <c r="I196" s="62"/>
      <c r="J196" s="62"/>
      <c r="K196" s="62"/>
      <c r="L196" s="62"/>
    </row>
    <row r="197" customFormat="false" ht="33" hidden="false" customHeight="false" outlineLevel="0" collapsed="false">
      <c r="A197" s="62"/>
      <c r="B197" s="62"/>
      <c r="C197" s="62"/>
      <c r="D197" s="62"/>
      <c r="E197" s="63" t="s">
        <v>243</v>
      </c>
      <c r="F197" s="62"/>
      <c r="G197" s="62" t="s">
        <v>267</v>
      </c>
      <c r="H197" s="62"/>
      <c r="I197" s="62"/>
      <c r="J197" s="62"/>
      <c r="K197" s="62"/>
      <c r="L197" s="62"/>
    </row>
    <row r="198" customFormat="false" ht="33" hidden="false" customHeight="false" outlineLevel="0" collapsed="false">
      <c r="A198" s="62"/>
      <c r="B198" s="62"/>
      <c r="C198" s="62"/>
      <c r="D198" s="62"/>
      <c r="E198" s="63" t="s">
        <v>227</v>
      </c>
      <c r="F198" s="62"/>
      <c r="G198" s="62" t="s">
        <v>1486</v>
      </c>
      <c r="H198" s="62"/>
      <c r="I198" s="62"/>
      <c r="J198" s="62"/>
      <c r="K198" s="62"/>
      <c r="L198" s="62"/>
    </row>
    <row r="199" customFormat="false" ht="17.25" hidden="false" customHeight="false" outlineLevel="0" collapsed="false">
      <c r="A199" s="62"/>
      <c r="B199" s="62"/>
      <c r="C199" s="62"/>
      <c r="D199" s="62"/>
      <c r="E199" s="63" t="s">
        <v>303</v>
      </c>
      <c r="F199" s="62"/>
      <c r="G199" s="62"/>
      <c r="H199" s="62"/>
      <c r="I199" s="62"/>
      <c r="J199" s="62"/>
      <c r="K199" s="62"/>
      <c r="L199" s="62"/>
    </row>
    <row r="200" customFormat="false" ht="33" hidden="false" customHeight="false" outlineLevel="0" collapsed="false">
      <c r="A200" s="62"/>
      <c r="B200" s="62"/>
      <c r="C200" s="62"/>
      <c r="D200" s="62"/>
      <c r="E200" s="63" t="s">
        <v>244</v>
      </c>
      <c r="F200" s="62"/>
      <c r="G200" s="62"/>
      <c r="H200" s="62"/>
      <c r="I200" s="62"/>
      <c r="J200" s="62"/>
      <c r="K200" s="62"/>
      <c r="L200" s="62"/>
    </row>
    <row r="201" customFormat="false" ht="33" hidden="false" customHeight="false" outlineLevel="0" collapsed="false">
      <c r="A201" s="62"/>
      <c r="B201" s="62"/>
      <c r="C201" s="62"/>
      <c r="D201" s="62"/>
      <c r="E201" s="63" t="s">
        <v>1487</v>
      </c>
      <c r="F201" s="62"/>
      <c r="G201" s="62"/>
      <c r="H201" s="62"/>
      <c r="I201" s="62"/>
      <c r="J201" s="62"/>
      <c r="K201" s="62"/>
      <c r="L201" s="62"/>
    </row>
    <row r="202" customFormat="false" ht="17.25" hidden="false" customHeight="false" outlineLevel="0" collapsed="false">
      <c r="A202" s="62"/>
      <c r="B202" s="62"/>
      <c r="C202" s="62"/>
      <c r="D202" s="62"/>
      <c r="E202" s="63" t="s">
        <v>920</v>
      </c>
      <c r="F202" s="62"/>
      <c r="G202" s="62"/>
      <c r="H202" s="62"/>
      <c r="I202" s="62"/>
      <c r="J202" s="62"/>
      <c r="K202" s="62"/>
      <c r="L202" s="62"/>
    </row>
    <row r="203" customFormat="false" ht="33" hidden="false" customHeight="false" outlineLevel="0" collapsed="false">
      <c r="A203" s="62"/>
      <c r="B203" s="62"/>
      <c r="C203" s="62"/>
      <c r="D203" s="62"/>
      <c r="E203" s="63" t="s">
        <v>1487</v>
      </c>
      <c r="F203" s="62"/>
      <c r="G203" s="62"/>
      <c r="H203" s="62"/>
      <c r="I203" s="62"/>
      <c r="J203" s="62"/>
      <c r="K203" s="62"/>
      <c r="L203" s="62"/>
    </row>
    <row r="204" customFormat="false" ht="17.25" hidden="false" customHeight="false" outlineLevel="0" collapsed="false">
      <c r="A204" s="62"/>
      <c r="B204" s="62"/>
      <c r="C204" s="62"/>
      <c r="D204" s="62"/>
      <c r="E204" s="63" t="s">
        <v>233</v>
      </c>
      <c r="F204" s="62"/>
      <c r="G204" s="62"/>
      <c r="H204" s="62"/>
      <c r="I204" s="62"/>
      <c r="J204" s="62"/>
      <c r="K204" s="62"/>
      <c r="L204" s="62"/>
    </row>
    <row r="205" customFormat="false" ht="17.25" hidden="false" customHeight="false" outlineLevel="0" collapsed="false">
      <c r="A205" s="62"/>
      <c r="B205" s="62" t="n">
        <v>502</v>
      </c>
      <c r="C205" s="62"/>
      <c r="D205" s="62"/>
      <c r="E205" s="63" t="s">
        <v>1488</v>
      </c>
      <c r="F205" s="62"/>
      <c r="G205" s="62" t="s">
        <v>1475</v>
      </c>
      <c r="H205" s="62"/>
      <c r="I205" s="62"/>
      <c r="J205" s="62"/>
      <c r="K205" s="62"/>
      <c r="L205" s="62"/>
    </row>
    <row r="206" customFormat="false" ht="33" hidden="false" customHeight="false" outlineLevel="0" collapsed="false">
      <c r="A206" s="62"/>
      <c r="B206" s="62"/>
      <c r="C206" s="62"/>
      <c r="D206" s="62"/>
      <c r="E206" s="63" t="s">
        <v>1489</v>
      </c>
      <c r="F206" s="62"/>
      <c r="G206" s="62" t="s">
        <v>882</v>
      </c>
      <c r="H206" s="62" t="s">
        <v>1490</v>
      </c>
      <c r="I206" s="62"/>
      <c r="J206" s="62"/>
      <c r="K206" s="62"/>
      <c r="L206" s="62"/>
    </row>
    <row r="207" customFormat="false" ht="33" hidden="false" customHeight="false" outlineLevel="0" collapsed="false">
      <c r="A207" s="62"/>
      <c r="B207" s="62"/>
      <c r="C207" s="62"/>
      <c r="D207" s="62"/>
      <c r="E207" s="63" t="s">
        <v>244</v>
      </c>
      <c r="F207" s="62"/>
      <c r="G207" s="62"/>
      <c r="H207" s="62"/>
      <c r="I207" s="62"/>
      <c r="J207" s="62"/>
      <c r="K207" s="62"/>
      <c r="L207" s="62"/>
    </row>
    <row r="208" customFormat="false" ht="17.25" hidden="false" customHeight="false" outlineLevel="0" collapsed="false">
      <c r="A208" s="62"/>
      <c r="B208" s="62"/>
      <c r="C208" s="62"/>
      <c r="D208" s="62"/>
      <c r="E208" s="63" t="s">
        <v>289</v>
      </c>
      <c r="F208" s="62"/>
      <c r="G208" s="62"/>
      <c r="H208" s="62"/>
      <c r="I208" s="62"/>
      <c r="J208" s="62"/>
      <c r="K208" s="62"/>
      <c r="L208" s="62"/>
    </row>
    <row r="209" customFormat="false" ht="33" hidden="false" customHeight="false" outlineLevel="0" collapsed="false">
      <c r="A209" s="62"/>
      <c r="B209" s="62"/>
      <c r="C209" s="62"/>
      <c r="D209" s="62"/>
      <c r="E209" s="63" t="s">
        <v>1485</v>
      </c>
      <c r="F209" s="62"/>
      <c r="G209" s="62"/>
      <c r="H209" s="62"/>
      <c r="I209" s="62"/>
      <c r="J209" s="62"/>
      <c r="K209" s="62"/>
      <c r="L209" s="62"/>
    </row>
    <row r="210" customFormat="false" ht="33" hidden="false" customHeight="false" outlineLevel="0" collapsed="false">
      <c r="A210" s="62"/>
      <c r="B210" s="62"/>
      <c r="C210" s="62"/>
      <c r="D210" s="62"/>
      <c r="E210" s="63" t="s">
        <v>242</v>
      </c>
      <c r="F210" s="62"/>
      <c r="G210" s="62"/>
      <c r="H210" s="62"/>
      <c r="I210" s="62"/>
      <c r="J210" s="62"/>
      <c r="K210" s="62"/>
      <c r="L210" s="62"/>
    </row>
    <row r="211" customFormat="false" ht="33" hidden="false" customHeight="false" outlineLevel="0" collapsed="false">
      <c r="A211" s="62"/>
      <c r="B211" s="62"/>
      <c r="C211" s="62"/>
      <c r="D211" s="62"/>
      <c r="E211" s="63" t="s">
        <v>243</v>
      </c>
      <c r="F211" s="62"/>
      <c r="G211" s="62"/>
      <c r="H211" s="62"/>
      <c r="I211" s="62"/>
      <c r="J211" s="62"/>
      <c r="K211" s="62"/>
      <c r="L211" s="62"/>
    </row>
    <row r="212" customFormat="false" ht="33" hidden="false" customHeight="false" outlineLevel="0" collapsed="false">
      <c r="A212" s="62"/>
      <c r="B212" s="62"/>
      <c r="C212" s="62"/>
      <c r="D212" s="62"/>
      <c r="E212" s="63" t="s">
        <v>227</v>
      </c>
      <c r="F212" s="62"/>
      <c r="G212" s="62"/>
      <c r="H212" s="62"/>
      <c r="I212" s="62"/>
      <c r="J212" s="62"/>
      <c r="K212" s="62"/>
      <c r="L212" s="62"/>
    </row>
    <row r="213" customFormat="false" ht="17.25" hidden="false" customHeight="false" outlineLevel="0" collapsed="false">
      <c r="A213" s="62"/>
      <c r="B213" s="62"/>
      <c r="C213" s="62"/>
      <c r="D213" s="62"/>
      <c r="E213" s="63" t="s">
        <v>303</v>
      </c>
      <c r="F213" s="62"/>
      <c r="G213" s="62"/>
      <c r="H213" s="62"/>
      <c r="I213" s="62"/>
      <c r="J213" s="62"/>
      <c r="K213" s="62"/>
      <c r="L213" s="62"/>
    </row>
    <row r="214" customFormat="false" ht="33" hidden="false" customHeight="false" outlineLevel="0" collapsed="false">
      <c r="A214" s="62"/>
      <c r="B214" s="62"/>
      <c r="C214" s="62"/>
      <c r="D214" s="62"/>
      <c r="E214" s="63" t="s">
        <v>244</v>
      </c>
      <c r="F214" s="62"/>
      <c r="G214" s="62"/>
      <c r="H214" s="62"/>
      <c r="I214" s="62"/>
      <c r="J214" s="62"/>
      <c r="K214" s="62"/>
      <c r="L214" s="62"/>
    </row>
    <row r="215" customFormat="false" ht="33" hidden="false" customHeight="false" outlineLevel="0" collapsed="false">
      <c r="A215" s="62"/>
      <c r="B215" s="62"/>
      <c r="C215" s="62"/>
      <c r="D215" s="62"/>
      <c r="E215" s="63" t="s">
        <v>1487</v>
      </c>
      <c r="F215" s="62"/>
      <c r="G215" s="62"/>
      <c r="H215" s="62"/>
      <c r="I215" s="62"/>
      <c r="J215" s="62"/>
      <c r="K215" s="62"/>
      <c r="L215" s="62"/>
    </row>
    <row r="216" customFormat="false" ht="17.25" hidden="false" customHeight="false" outlineLevel="0" collapsed="false">
      <c r="A216" s="62"/>
      <c r="B216" s="62"/>
      <c r="C216" s="62"/>
      <c r="D216" s="62"/>
      <c r="E216" s="63" t="s">
        <v>920</v>
      </c>
      <c r="F216" s="62"/>
      <c r="G216" s="62"/>
      <c r="H216" s="62"/>
      <c r="I216" s="62"/>
      <c r="J216" s="62"/>
      <c r="K216" s="62"/>
      <c r="L216" s="62"/>
    </row>
    <row r="217" customFormat="false" ht="33" hidden="false" customHeight="false" outlineLevel="0" collapsed="false">
      <c r="A217" s="62"/>
      <c r="B217" s="62"/>
      <c r="C217" s="62"/>
      <c r="D217" s="62"/>
      <c r="E217" s="63" t="s">
        <v>1487</v>
      </c>
      <c r="F217" s="62"/>
      <c r="G217" s="62"/>
      <c r="H217" s="62"/>
      <c r="I217" s="62"/>
      <c r="J217" s="62"/>
      <c r="K217" s="62"/>
      <c r="L217" s="62"/>
    </row>
    <row r="218" customFormat="false" ht="17.25" hidden="false" customHeight="false" outlineLevel="0" collapsed="false">
      <c r="A218" s="62"/>
      <c r="B218" s="62"/>
      <c r="C218" s="62"/>
      <c r="D218" s="62"/>
      <c r="E218" s="63" t="s">
        <v>233</v>
      </c>
      <c r="F218" s="62"/>
      <c r="G218" s="62"/>
      <c r="H218" s="62"/>
      <c r="I218" s="62"/>
      <c r="J218" s="62"/>
      <c r="K218" s="62"/>
      <c r="L218" s="62"/>
    </row>
    <row r="219" customFormat="false" ht="17.25" hidden="false" customHeight="false" outlineLevel="0" collapsed="false">
      <c r="A219" s="62"/>
      <c r="B219" s="62" t="n">
        <v>503</v>
      </c>
      <c r="C219" s="62"/>
      <c r="D219" s="62"/>
      <c r="E219" s="63" t="s">
        <v>1491</v>
      </c>
      <c r="F219" s="62"/>
      <c r="G219" s="62" t="s">
        <v>1467</v>
      </c>
      <c r="H219" s="62"/>
      <c r="I219" s="62"/>
      <c r="J219" s="62"/>
      <c r="K219" s="62"/>
      <c r="L219" s="62"/>
    </row>
    <row r="220" customFormat="false" ht="33" hidden="false" customHeight="false" outlineLevel="0" collapsed="false">
      <c r="A220" s="62"/>
      <c r="B220" s="62"/>
      <c r="C220" s="62"/>
      <c r="D220" s="62"/>
      <c r="E220" s="63" t="s">
        <v>237</v>
      </c>
      <c r="F220" s="62"/>
      <c r="G220" s="62" t="n">
        <v>3</v>
      </c>
      <c r="H220" s="62" t="s">
        <v>938</v>
      </c>
      <c r="I220" s="62"/>
      <c r="J220" s="62"/>
      <c r="K220" s="62"/>
      <c r="L220" s="62"/>
    </row>
    <row r="221" customFormat="false" ht="33" hidden="false" customHeight="false" outlineLevel="0" collapsed="false">
      <c r="A221" s="62"/>
      <c r="B221" s="62"/>
      <c r="C221" s="62"/>
      <c r="D221" s="62"/>
      <c r="E221" s="63" t="s">
        <v>1492</v>
      </c>
      <c r="F221" s="62"/>
      <c r="G221" s="62" t="n">
        <v>4</v>
      </c>
      <c r="H221" s="62" t="s">
        <v>1493</v>
      </c>
      <c r="I221" s="62"/>
      <c r="J221" s="62"/>
      <c r="K221" s="62"/>
      <c r="L221" s="62"/>
    </row>
    <row r="222" customFormat="false" ht="33" hidden="false" customHeight="false" outlineLevel="0" collapsed="false">
      <c r="A222" s="62"/>
      <c r="B222" s="62"/>
      <c r="C222" s="62"/>
      <c r="D222" s="62"/>
      <c r="E222" s="63" t="s">
        <v>1494</v>
      </c>
      <c r="F222" s="62"/>
      <c r="G222" s="62" t="s">
        <v>267</v>
      </c>
      <c r="H222" s="62" t="s">
        <v>268</v>
      </c>
      <c r="I222" s="62"/>
      <c r="J222" s="62"/>
      <c r="K222" s="62"/>
      <c r="L222" s="62"/>
    </row>
    <row r="223" customFormat="false" ht="33" hidden="false" customHeight="false" outlineLevel="0" collapsed="false">
      <c r="A223" s="62"/>
      <c r="B223" s="62"/>
      <c r="C223" s="62"/>
      <c r="D223" s="62"/>
      <c r="E223" s="63" t="s">
        <v>1007</v>
      </c>
      <c r="F223" s="62"/>
      <c r="G223" s="63" t="s">
        <v>320</v>
      </c>
      <c r="H223" s="62" t="s">
        <v>1495</v>
      </c>
      <c r="I223" s="62"/>
      <c r="J223" s="62"/>
      <c r="K223" s="62"/>
      <c r="L223" s="62"/>
    </row>
    <row r="224" customFormat="false" ht="33" hidden="false" customHeight="false" outlineLevel="0" collapsed="false">
      <c r="A224" s="62"/>
      <c r="B224" s="62"/>
      <c r="C224" s="62"/>
      <c r="D224" s="62"/>
      <c r="E224" s="63" t="s">
        <v>1496</v>
      </c>
      <c r="F224" s="62"/>
      <c r="G224" s="63" t="s">
        <v>270</v>
      </c>
      <c r="H224" s="62"/>
      <c r="I224" s="62"/>
      <c r="J224" s="62"/>
      <c r="K224" s="62"/>
      <c r="L224" s="62"/>
    </row>
    <row r="225" customFormat="false" ht="33" hidden="false" customHeight="false" outlineLevel="0" collapsed="false">
      <c r="A225" s="62"/>
      <c r="B225" s="62"/>
      <c r="C225" s="62"/>
      <c r="D225" s="62"/>
      <c r="E225" s="63" t="s">
        <v>1497</v>
      </c>
      <c r="F225" s="62"/>
      <c r="G225" s="62" t="s">
        <v>267</v>
      </c>
      <c r="H225" s="62"/>
      <c r="I225" s="62"/>
      <c r="J225" s="62"/>
      <c r="K225" s="62"/>
      <c r="L225" s="62"/>
    </row>
    <row r="226" customFormat="false" ht="17.25" hidden="false" customHeight="false" outlineLevel="0" collapsed="false">
      <c r="A226" s="62"/>
      <c r="B226" s="62"/>
      <c r="C226" s="62"/>
      <c r="D226" s="62"/>
      <c r="E226" s="63" t="s">
        <v>1498</v>
      </c>
      <c r="F226" s="62"/>
      <c r="G226" s="62" t="s">
        <v>1495</v>
      </c>
      <c r="H226" s="62"/>
      <c r="I226" s="62"/>
      <c r="J226" s="62"/>
      <c r="K226" s="62"/>
      <c r="L226" s="62"/>
    </row>
    <row r="227" customFormat="false" ht="33" hidden="false" customHeight="false" outlineLevel="0" collapsed="false">
      <c r="A227" s="62"/>
      <c r="B227" s="62"/>
      <c r="C227" s="62"/>
      <c r="D227" s="62"/>
      <c r="E227" s="63" t="s">
        <v>1499</v>
      </c>
      <c r="F227" s="62"/>
      <c r="G227" s="62" t="s">
        <v>267</v>
      </c>
      <c r="H227" s="62"/>
      <c r="I227" s="62"/>
      <c r="J227" s="62"/>
      <c r="K227" s="62"/>
      <c r="L227" s="62"/>
    </row>
    <row r="228" customFormat="false" ht="33" hidden="false" customHeight="false" outlineLevel="0" collapsed="false">
      <c r="A228" s="62"/>
      <c r="B228" s="62"/>
      <c r="C228" s="62"/>
      <c r="D228" s="62"/>
      <c r="E228" s="63" t="s">
        <v>1471</v>
      </c>
      <c r="F228" s="62"/>
      <c r="G228" s="62" t="s">
        <v>1500</v>
      </c>
      <c r="H228" s="62"/>
      <c r="I228" s="62"/>
      <c r="J228" s="62"/>
      <c r="K228" s="62"/>
      <c r="L228" s="62"/>
    </row>
    <row r="229" customFormat="false" ht="33" hidden="false" customHeight="false" outlineLevel="0" collapsed="false">
      <c r="A229" s="62"/>
      <c r="B229" s="62"/>
      <c r="C229" s="62"/>
      <c r="D229" s="62"/>
      <c r="E229" s="63" t="s">
        <v>839</v>
      </c>
      <c r="F229" s="62"/>
      <c r="G229" s="62"/>
      <c r="H229" s="62"/>
      <c r="I229" s="62"/>
      <c r="J229" s="62"/>
      <c r="K229" s="62"/>
      <c r="L229" s="62"/>
    </row>
    <row r="230" customFormat="false" ht="17.25" hidden="false" customHeight="false" outlineLevel="0" collapsed="false">
      <c r="A230" s="62"/>
      <c r="B230" s="62"/>
      <c r="C230" s="62"/>
      <c r="D230" s="62"/>
      <c r="E230" s="62" t="s">
        <v>964</v>
      </c>
      <c r="F230" s="62"/>
      <c r="G230" s="62"/>
      <c r="H230" s="62"/>
      <c r="I230" s="62"/>
      <c r="J230" s="62"/>
      <c r="K230" s="62"/>
      <c r="L230" s="62"/>
    </row>
    <row r="231" customFormat="false" ht="17.25" hidden="false" customHeight="false" outlineLevel="0" collapsed="false">
      <c r="A231" s="62"/>
      <c r="B231" s="62"/>
      <c r="C231" s="62"/>
      <c r="D231" s="62"/>
      <c r="E231" s="63" t="s">
        <v>1501</v>
      </c>
      <c r="F231" s="62"/>
      <c r="G231" s="62"/>
      <c r="H231" s="62"/>
      <c r="I231" s="62"/>
      <c r="J231" s="62"/>
      <c r="K231" s="62"/>
      <c r="L231" s="62"/>
    </row>
    <row r="232" customFormat="false" ht="33" hidden="false" customHeight="false" outlineLevel="0" collapsed="false">
      <c r="A232" s="62"/>
      <c r="B232" s="62"/>
      <c r="C232" s="62"/>
      <c r="D232" s="62"/>
      <c r="E232" s="63" t="s">
        <v>836</v>
      </c>
      <c r="F232" s="62"/>
      <c r="G232" s="62"/>
      <c r="H232" s="62"/>
      <c r="I232" s="62"/>
      <c r="J232" s="62"/>
      <c r="K232" s="62"/>
      <c r="L232" s="62"/>
    </row>
    <row r="233" customFormat="false" ht="33" hidden="false" customHeight="false" outlineLevel="0" collapsed="false">
      <c r="A233" s="62"/>
      <c r="B233" s="62"/>
      <c r="C233" s="62"/>
      <c r="D233" s="62"/>
      <c r="E233" s="63" t="s">
        <v>837</v>
      </c>
      <c r="F233" s="62"/>
      <c r="G233" s="62"/>
      <c r="H233" s="62"/>
      <c r="I233" s="62"/>
      <c r="J233" s="62"/>
      <c r="K233" s="62"/>
      <c r="L233" s="62"/>
    </row>
    <row r="234" customFormat="false" ht="33" hidden="false" customHeight="false" outlineLevel="0" collapsed="false">
      <c r="A234" s="62"/>
      <c r="B234" s="62"/>
      <c r="C234" s="62"/>
      <c r="D234" s="62"/>
      <c r="E234" s="63" t="s">
        <v>839</v>
      </c>
      <c r="F234" s="62"/>
      <c r="G234" s="62"/>
      <c r="H234" s="62"/>
      <c r="I234" s="62"/>
      <c r="J234" s="62"/>
      <c r="K234" s="62"/>
      <c r="L234" s="62"/>
    </row>
    <row r="235" customFormat="false" ht="17.25" hidden="false" customHeight="false" outlineLevel="0" collapsed="false">
      <c r="A235" s="62"/>
      <c r="B235" s="62"/>
      <c r="C235" s="62"/>
      <c r="D235" s="62"/>
      <c r="E235" s="62" t="s">
        <v>964</v>
      </c>
      <c r="F235" s="62"/>
      <c r="G235" s="62"/>
      <c r="H235" s="62"/>
      <c r="I235" s="62"/>
      <c r="J235" s="62"/>
      <c r="K235" s="62"/>
      <c r="L235" s="62"/>
    </row>
    <row r="236" customFormat="false" ht="17.25" hidden="false" customHeight="false" outlineLevel="0" collapsed="false">
      <c r="A236" s="62"/>
      <c r="B236" s="62"/>
      <c r="C236" s="62"/>
      <c r="D236" s="62"/>
      <c r="E236" s="63" t="s">
        <v>1501</v>
      </c>
      <c r="F236" s="62"/>
      <c r="G236" s="62"/>
      <c r="H236" s="62"/>
      <c r="I236" s="62"/>
      <c r="J236" s="62"/>
      <c r="K236" s="62"/>
      <c r="L236" s="62"/>
    </row>
    <row r="237" customFormat="false" ht="17.25" hidden="false" customHeight="false" outlineLevel="0" collapsed="false">
      <c r="A237" s="62"/>
      <c r="B237" s="62"/>
      <c r="C237" s="62"/>
      <c r="D237" s="62"/>
      <c r="E237" s="63" t="s">
        <v>920</v>
      </c>
      <c r="F237" s="62"/>
      <c r="G237" s="62"/>
      <c r="H237" s="62"/>
      <c r="I237" s="62"/>
      <c r="J237" s="62"/>
      <c r="K237" s="62"/>
      <c r="L237" s="62"/>
    </row>
    <row r="238" customFormat="false" ht="33" hidden="false" customHeight="false" outlineLevel="0" collapsed="false">
      <c r="A238" s="62"/>
      <c r="B238" s="62"/>
      <c r="C238" s="62"/>
      <c r="D238" s="62"/>
      <c r="E238" s="63" t="s">
        <v>1502</v>
      </c>
      <c r="F238" s="62"/>
      <c r="G238" s="62"/>
      <c r="H238" s="62"/>
      <c r="I238" s="62"/>
      <c r="J238" s="62"/>
      <c r="K238" s="62"/>
      <c r="L238" s="62"/>
    </row>
    <row r="239" customFormat="false" ht="33" hidden="false" customHeight="false" outlineLevel="0" collapsed="false">
      <c r="A239" s="62"/>
      <c r="B239" s="62"/>
      <c r="C239" s="62"/>
      <c r="D239" s="62" t="s">
        <v>274</v>
      </c>
      <c r="E239" s="62" t="s">
        <v>275</v>
      </c>
      <c r="F239" s="62" t="s">
        <v>268</v>
      </c>
      <c r="G239" s="62" t="s">
        <v>267</v>
      </c>
      <c r="H239" s="62" t="s">
        <v>268</v>
      </c>
      <c r="I239" s="62" t="s">
        <v>276</v>
      </c>
      <c r="J239" s="62" t="s">
        <v>276</v>
      </c>
      <c r="K239" s="62"/>
      <c r="L239" s="62"/>
    </row>
    <row r="240" customFormat="false" ht="33" hidden="false" customHeight="false" outlineLevel="0" collapsed="false">
      <c r="A240" s="62"/>
      <c r="B240" s="62"/>
      <c r="C240" s="62"/>
      <c r="D240" s="63" t="s">
        <v>277</v>
      </c>
      <c r="E240" s="62"/>
      <c r="F240" s="62"/>
      <c r="G240" s="63" t="s">
        <v>1503</v>
      </c>
      <c r="H240" s="62" t="s">
        <v>1504</v>
      </c>
      <c r="I240" s="62"/>
      <c r="J240" s="62"/>
      <c r="K240" s="62"/>
      <c r="L240" s="62"/>
    </row>
    <row r="241" customFormat="false" ht="33" hidden="false" customHeight="false" outlineLevel="0" collapsed="false">
      <c r="A241" s="62"/>
      <c r="B241" s="62"/>
      <c r="C241" s="62"/>
      <c r="D241" s="62"/>
      <c r="E241" s="62"/>
      <c r="F241" s="62"/>
      <c r="G241" s="63" t="s">
        <v>270</v>
      </c>
      <c r="H241" s="62"/>
      <c r="I241" s="62"/>
      <c r="J241" s="62"/>
      <c r="K241" s="62"/>
      <c r="L241" s="62"/>
    </row>
    <row r="242" customFormat="false" ht="33" hidden="false" customHeight="false" outlineLevel="0" collapsed="false">
      <c r="A242" s="62"/>
      <c r="B242" s="62"/>
      <c r="C242" s="62"/>
      <c r="D242" s="62"/>
      <c r="E242" s="62"/>
      <c r="F242" s="62"/>
      <c r="G242" s="62" t="s">
        <v>267</v>
      </c>
      <c r="H242" s="62"/>
      <c r="I242" s="62"/>
      <c r="J242" s="62"/>
      <c r="K242" s="62"/>
      <c r="L242" s="62"/>
    </row>
    <row r="243" customFormat="false" ht="17.25" hidden="false" customHeight="false" outlineLevel="0" collapsed="false">
      <c r="A243" s="62"/>
      <c r="B243" s="62"/>
      <c r="C243" s="62"/>
      <c r="D243" s="62"/>
      <c r="E243" s="62"/>
      <c r="F243" s="62"/>
      <c r="G243" s="62" t="s">
        <v>1504</v>
      </c>
      <c r="H243" s="62"/>
      <c r="I243" s="62"/>
      <c r="J243" s="62"/>
      <c r="K243" s="62"/>
      <c r="L243" s="62"/>
    </row>
    <row r="244" customFormat="false" ht="33" hidden="false" customHeight="false" outlineLevel="0" collapsed="false">
      <c r="A244" s="62"/>
      <c r="B244" s="62"/>
      <c r="C244" s="62"/>
      <c r="D244" s="62"/>
      <c r="E244" s="62"/>
      <c r="F244" s="62"/>
      <c r="G244" s="62" t="s">
        <v>267</v>
      </c>
      <c r="H244" s="62"/>
      <c r="I244" s="62"/>
      <c r="J244" s="62"/>
      <c r="K244" s="62"/>
      <c r="L244" s="62"/>
    </row>
    <row r="245" customFormat="false" ht="17.25" hidden="false" customHeight="false" outlineLevel="0" collapsed="false">
      <c r="A245" s="62"/>
      <c r="B245" s="62"/>
      <c r="C245" s="62"/>
      <c r="D245" s="62"/>
      <c r="E245" s="62"/>
      <c r="F245" s="62"/>
      <c r="G245" s="62" t="s">
        <v>1449</v>
      </c>
      <c r="H245" s="62"/>
      <c r="I245" s="62"/>
      <c r="J245" s="62"/>
      <c r="K245" s="62"/>
      <c r="L245" s="62"/>
    </row>
    <row r="246" customFormat="false" ht="33" hidden="false" customHeight="false" outlineLevel="0" collapsed="false">
      <c r="A246" s="62"/>
      <c r="B246" s="62"/>
      <c r="C246" s="62"/>
      <c r="D246" s="62"/>
      <c r="E246" s="62"/>
      <c r="F246" s="62"/>
      <c r="G246" s="62" t="s">
        <v>1505</v>
      </c>
      <c r="H246" s="62"/>
      <c r="I246" s="62"/>
      <c r="J246" s="62"/>
      <c r="K246" s="62"/>
      <c r="L246" s="62"/>
    </row>
    <row r="247" customFormat="false" ht="33" hidden="false" customHeight="false" outlineLevel="0" collapsed="false">
      <c r="A247" s="62"/>
      <c r="B247" s="62"/>
      <c r="C247" s="62"/>
      <c r="D247" s="62"/>
      <c r="E247" s="62"/>
      <c r="F247" s="62"/>
      <c r="G247" s="62" t="s">
        <v>1506</v>
      </c>
      <c r="H247" s="62"/>
      <c r="I247" s="62"/>
      <c r="J247" s="62"/>
      <c r="K247" s="62"/>
      <c r="L247" s="62"/>
    </row>
    <row r="248" customFormat="false" ht="15.75" hidden="false" customHeight="false" outlineLevel="0" collapsed="false">
      <c r="A248" s="3" t="s">
        <v>211</v>
      </c>
    </row>
    <row r="255" customFormat="false" ht="15.75" hidden="false" customHeight="false" outlineLevel="0" collapsed="false">
      <c r="A255" s="65" t="s">
        <v>281</v>
      </c>
    </row>
  </sheetData>
  <hyperlinks>
    <hyperlink ref="M1" location="Index!A1" display="Index"/>
    <hyperlink ref="A248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G7" activeCellId="0" sqref="G7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"/>
    <col collapsed="false" customWidth="true" hidden="false" outlineLevel="0" max="12" min="12" style="0" width="17.57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218</v>
      </c>
      <c r="B4" s="62" t="n">
        <v>504</v>
      </c>
      <c r="C4" s="63" t="s">
        <v>983</v>
      </c>
      <c r="D4" s="63" t="s">
        <v>1507</v>
      </c>
      <c r="E4" s="63" t="s">
        <v>876</v>
      </c>
      <c r="F4" s="62"/>
      <c r="G4" s="62" t="s">
        <v>1316</v>
      </c>
      <c r="H4" s="62"/>
      <c r="I4" s="62"/>
      <c r="J4" s="62"/>
      <c r="K4" s="62"/>
      <c r="L4" s="63" t="s">
        <v>838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1508</v>
      </c>
      <c r="E5" s="62"/>
      <c r="F5" s="62"/>
      <c r="G5" s="64" t="s">
        <v>1509</v>
      </c>
      <c r="H5" s="62" t="s">
        <v>922</v>
      </c>
      <c r="I5" s="62"/>
      <c r="J5" s="62"/>
      <c r="K5" s="62"/>
      <c r="L5" s="62" t="s">
        <v>1510</v>
      </c>
    </row>
    <row r="6" customFormat="false" ht="33" hidden="false" customHeight="false" outlineLevel="0" collapsed="false">
      <c r="A6" s="62" t="n">
        <v>202</v>
      </c>
      <c r="B6" s="62"/>
      <c r="C6" s="62"/>
      <c r="D6" s="63" t="s">
        <v>1511</v>
      </c>
      <c r="E6" s="62"/>
      <c r="F6" s="62"/>
      <c r="G6" s="64" t="s">
        <v>1512</v>
      </c>
      <c r="H6" s="62" t="s">
        <v>922</v>
      </c>
      <c r="I6" s="62"/>
      <c r="J6" s="62"/>
      <c r="K6" s="62"/>
      <c r="L6" s="62" t="s">
        <v>1513</v>
      </c>
    </row>
    <row r="7" customFormat="false" ht="33" hidden="false" customHeight="false" outlineLevel="0" collapsed="false">
      <c r="A7" s="62"/>
      <c r="B7" s="62"/>
      <c r="C7" s="62"/>
      <c r="D7" s="62" t="s">
        <v>1514</v>
      </c>
      <c r="E7" s="62"/>
      <c r="F7" s="62"/>
      <c r="G7" s="62" t="n">
        <v>9</v>
      </c>
      <c r="H7" s="62" t="s">
        <v>771</v>
      </c>
      <c r="I7" s="62"/>
      <c r="J7" s="62"/>
      <c r="K7" s="62"/>
      <c r="L7" s="63" t="s">
        <v>1036</v>
      </c>
    </row>
    <row r="8" customFormat="false" ht="33" hidden="false" customHeight="false" outlineLevel="0" collapsed="false">
      <c r="A8" s="62"/>
      <c r="B8" s="62"/>
      <c r="C8" s="62"/>
      <c r="D8" s="63" t="s">
        <v>1515</v>
      </c>
      <c r="E8" s="62"/>
      <c r="F8" s="62"/>
      <c r="G8" s="62" t="n">
        <v>10</v>
      </c>
      <c r="H8" s="62" t="s">
        <v>771</v>
      </c>
      <c r="I8" s="62"/>
      <c r="J8" s="62"/>
      <c r="K8" s="62"/>
      <c r="L8" s="63" t="s">
        <v>1516</v>
      </c>
    </row>
    <row r="9" customFormat="false" ht="33" hidden="false" customHeight="false" outlineLevel="0" collapsed="false">
      <c r="A9" s="62"/>
      <c r="B9" s="62"/>
      <c r="C9" s="62"/>
      <c r="D9" s="63" t="s">
        <v>1517</v>
      </c>
      <c r="E9" s="62"/>
      <c r="F9" s="62"/>
      <c r="G9" s="62" t="n">
        <v>11</v>
      </c>
      <c r="H9" s="62" t="s">
        <v>771</v>
      </c>
      <c r="I9" s="62"/>
      <c r="J9" s="62"/>
      <c r="K9" s="62"/>
      <c r="L9" s="62" t="s">
        <v>1518</v>
      </c>
    </row>
    <row r="10" customFormat="false" ht="33" hidden="false" customHeight="false" outlineLevel="0" collapsed="false">
      <c r="A10" s="62"/>
      <c r="B10" s="62"/>
      <c r="C10" s="62"/>
      <c r="D10" s="63" t="s">
        <v>1352</v>
      </c>
      <c r="E10" s="62"/>
      <c r="F10" s="62"/>
      <c r="G10" s="62" t="n">
        <v>12</v>
      </c>
      <c r="H10" s="62" t="s">
        <v>771</v>
      </c>
      <c r="I10" s="62"/>
      <c r="J10" s="62"/>
      <c r="K10" s="62"/>
      <c r="L10" s="63" t="s">
        <v>1519</v>
      </c>
    </row>
    <row r="11" customFormat="false" ht="33" hidden="false" customHeight="false" outlineLevel="0" collapsed="false">
      <c r="A11" s="62"/>
      <c r="B11" s="62"/>
      <c r="C11" s="62"/>
      <c r="D11" s="63" t="s">
        <v>1301</v>
      </c>
      <c r="E11" s="62"/>
      <c r="F11" s="62"/>
      <c r="G11" s="62" t="n">
        <v>19</v>
      </c>
      <c r="H11" s="62" t="s">
        <v>771</v>
      </c>
      <c r="I11" s="62"/>
      <c r="J11" s="62"/>
      <c r="K11" s="62"/>
      <c r="L11" s="63" t="s">
        <v>1520</v>
      </c>
    </row>
    <row r="12" customFormat="false" ht="33" hidden="false" customHeight="false" outlineLevel="0" collapsed="false">
      <c r="A12" s="62"/>
      <c r="B12" s="62"/>
      <c r="C12" s="62"/>
      <c r="D12" s="62" t="s">
        <v>1521</v>
      </c>
      <c r="E12" s="62"/>
      <c r="F12" s="62"/>
      <c r="G12" s="62" t="n">
        <v>20</v>
      </c>
      <c r="H12" s="62" t="s">
        <v>771</v>
      </c>
      <c r="I12" s="62"/>
      <c r="J12" s="62"/>
      <c r="K12" s="62"/>
      <c r="L12" s="63" t="s">
        <v>950</v>
      </c>
    </row>
    <row r="13" customFormat="false" ht="33" hidden="false" customHeight="false" outlineLevel="0" collapsed="false">
      <c r="A13" s="62"/>
      <c r="B13" s="62"/>
      <c r="C13" s="62"/>
      <c r="D13" s="63" t="s">
        <v>233</v>
      </c>
      <c r="E13" s="62"/>
      <c r="F13" s="62"/>
      <c r="G13" s="62" t="n">
        <v>21</v>
      </c>
      <c r="H13" s="62" t="s">
        <v>1522</v>
      </c>
      <c r="I13" s="62"/>
      <c r="J13" s="62"/>
      <c r="K13" s="62"/>
      <c r="L13" s="62" t="s">
        <v>1523</v>
      </c>
    </row>
    <row r="14" customFormat="false" ht="33" hidden="false" customHeight="false" outlineLevel="0" collapsed="false">
      <c r="A14" s="62"/>
      <c r="B14" s="62"/>
      <c r="C14" s="62"/>
      <c r="D14" s="62"/>
      <c r="E14" s="62"/>
      <c r="F14" s="62"/>
      <c r="G14" s="62" t="n">
        <v>22</v>
      </c>
      <c r="H14" s="62" t="s">
        <v>1522</v>
      </c>
      <c r="I14" s="62"/>
      <c r="J14" s="62"/>
      <c r="K14" s="62"/>
      <c r="L14" s="63" t="s">
        <v>1524</v>
      </c>
    </row>
    <row r="15" customFormat="false" ht="33" hidden="false" customHeight="false" outlineLevel="0" collapsed="false">
      <c r="A15" s="62"/>
      <c r="B15" s="62"/>
      <c r="C15" s="62"/>
      <c r="D15" s="62"/>
      <c r="E15" s="62"/>
      <c r="F15" s="62"/>
      <c r="G15" s="62" t="s">
        <v>1324</v>
      </c>
      <c r="H15" s="62"/>
      <c r="I15" s="62"/>
      <c r="J15" s="62"/>
      <c r="K15" s="62"/>
      <c r="L15" s="63" t="s">
        <v>1525</v>
      </c>
    </row>
    <row r="16" customFormat="false" ht="17.25" hidden="false" customHeight="false" outlineLevel="0" collapsed="false">
      <c r="A16" s="62"/>
      <c r="B16" s="62"/>
      <c r="C16" s="62"/>
      <c r="D16" s="62"/>
      <c r="E16" s="62"/>
      <c r="F16" s="62"/>
      <c r="G16" s="62" t="n">
        <v>6</v>
      </c>
      <c r="H16" s="62" t="s">
        <v>301</v>
      </c>
      <c r="I16" s="62"/>
      <c r="J16" s="62"/>
      <c r="K16" s="62"/>
      <c r="L16" s="63" t="s">
        <v>838</v>
      </c>
    </row>
    <row r="17" customFormat="false" ht="17.25" hidden="false" customHeight="false" outlineLevel="0" collapsed="false">
      <c r="A17" s="62"/>
      <c r="B17" s="62"/>
      <c r="C17" s="62"/>
      <c r="D17" s="62"/>
      <c r="E17" s="62"/>
      <c r="F17" s="62"/>
      <c r="G17" s="62" t="n">
        <v>15</v>
      </c>
      <c r="H17" s="62" t="s">
        <v>301</v>
      </c>
      <c r="I17" s="62"/>
      <c r="J17" s="62"/>
      <c r="K17" s="62"/>
      <c r="L17" s="63" t="s">
        <v>838</v>
      </c>
    </row>
    <row r="18" customFormat="false" ht="33" hidden="false" customHeight="false" outlineLevel="0" collapsed="false">
      <c r="A18" s="62"/>
      <c r="B18" s="62"/>
      <c r="C18" s="62"/>
      <c r="D18" s="62"/>
      <c r="E18" s="62"/>
      <c r="F18" s="62"/>
      <c r="G18" s="62" t="n">
        <v>16</v>
      </c>
      <c r="H18" s="62" t="s">
        <v>771</v>
      </c>
      <c r="I18" s="62"/>
      <c r="J18" s="62"/>
      <c r="K18" s="62"/>
      <c r="L18" s="62" t="s">
        <v>1526</v>
      </c>
    </row>
    <row r="19" customFormat="false" ht="33" hidden="false" customHeight="false" outlineLevel="0" collapsed="false">
      <c r="A19" s="62"/>
      <c r="B19" s="62"/>
      <c r="C19" s="62"/>
      <c r="D19" s="62"/>
      <c r="E19" s="62"/>
      <c r="F19" s="62"/>
      <c r="G19" s="62" t="n">
        <v>23</v>
      </c>
      <c r="H19" s="62" t="s">
        <v>1476</v>
      </c>
      <c r="I19" s="62"/>
      <c r="J19" s="62"/>
      <c r="K19" s="62"/>
      <c r="L19" s="62" t="s">
        <v>1527</v>
      </c>
    </row>
    <row r="20" customFormat="false" ht="33" hidden="false" customHeight="false" outlineLevel="0" collapsed="false">
      <c r="A20" s="62"/>
      <c r="B20" s="62"/>
      <c r="C20" s="62"/>
      <c r="D20" s="62"/>
      <c r="E20" s="62"/>
      <c r="F20" s="62"/>
      <c r="G20" s="62" t="n">
        <v>24</v>
      </c>
      <c r="H20" s="62" t="s">
        <v>1466</v>
      </c>
      <c r="I20" s="62"/>
      <c r="J20" s="62"/>
      <c r="K20" s="62"/>
      <c r="L20" s="63" t="s">
        <v>1528</v>
      </c>
    </row>
    <row r="21" customFormat="false" ht="17.25" hidden="false" customHeight="false" outlineLevel="0" collapsed="false">
      <c r="A21" s="62"/>
      <c r="B21" s="62"/>
      <c r="C21" s="62"/>
      <c r="D21" s="62"/>
      <c r="E21" s="62"/>
      <c r="F21" s="62"/>
      <c r="G21" s="62" t="n">
        <v>25</v>
      </c>
      <c r="H21" s="62" t="s">
        <v>1466</v>
      </c>
      <c r="I21" s="62"/>
      <c r="J21" s="62"/>
      <c r="K21" s="62"/>
      <c r="L21" s="63" t="s">
        <v>1529</v>
      </c>
    </row>
    <row r="22" customFormat="false" ht="33" hidden="false" customHeight="false" outlineLevel="0" collapsed="false">
      <c r="A22" s="62"/>
      <c r="B22" s="62"/>
      <c r="C22" s="62"/>
      <c r="D22" s="62"/>
      <c r="E22" s="62"/>
      <c r="F22" s="62"/>
      <c r="G22" s="62" t="s">
        <v>267</v>
      </c>
      <c r="H22" s="62" t="s">
        <v>268</v>
      </c>
      <c r="I22" s="62"/>
      <c r="J22" s="62"/>
      <c r="K22" s="62"/>
      <c r="L22" s="63" t="s">
        <v>1530</v>
      </c>
    </row>
    <row r="23" customFormat="false" ht="17.25" hidden="false" customHeight="false" outlineLevel="0" collapsed="false">
      <c r="A23" s="62"/>
      <c r="B23" s="62"/>
      <c r="C23" s="62"/>
      <c r="D23" s="62"/>
      <c r="E23" s="62"/>
      <c r="F23" s="62"/>
      <c r="G23" s="63" t="s">
        <v>1353</v>
      </c>
      <c r="H23" s="62" t="s">
        <v>1531</v>
      </c>
      <c r="I23" s="62"/>
      <c r="J23" s="62"/>
      <c r="K23" s="62"/>
      <c r="L23" s="63" t="s">
        <v>1532</v>
      </c>
    </row>
    <row r="24" customFormat="false" ht="33" hidden="false" customHeight="false" outlineLevel="0" collapsed="false">
      <c r="A24" s="62"/>
      <c r="B24" s="62"/>
      <c r="C24" s="62"/>
      <c r="D24" s="62"/>
      <c r="E24" s="62"/>
      <c r="F24" s="62"/>
      <c r="G24" s="63" t="s">
        <v>270</v>
      </c>
      <c r="H24" s="62"/>
      <c r="I24" s="62"/>
      <c r="J24" s="62"/>
      <c r="K24" s="62"/>
      <c r="L24" s="63" t="s">
        <v>1533</v>
      </c>
    </row>
    <row r="25" customFormat="false" ht="33" hidden="false" customHeight="false" outlineLevel="0" collapsed="false">
      <c r="A25" s="62"/>
      <c r="B25" s="62"/>
      <c r="C25" s="62"/>
      <c r="D25" s="62"/>
      <c r="E25" s="62"/>
      <c r="F25" s="62"/>
      <c r="G25" s="62" t="s">
        <v>267</v>
      </c>
      <c r="H25" s="62"/>
      <c r="I25" s="62"/>
      <c r="J25" s="62"/>
      <c r="K25" s="62"/>
      <c r="L25" s="63" t="s">
        <v>1534</v>
      </c>
    </row>
    <row r="26" customFormat="false" ht="33" hidden="false" customHeight="false" outlineLevel="0" collapsed="false">
      <c r="A26" s="62"/>
      <c r="B26" s="62"/>
      <c r="C26" s="62"/>
      <c r="D26" s="62"/>
      <c r="E26" s="62"/>
      <c r="F26" s="62"/>
      <c r="G26" s="62" t="s">
        <v>1531</v>
      </c>
      <c r="H26" s="62"/>
      <c r="I26" s="62"/>
      <c r="J26" s="62"/>
      <c r="K26" s="62"/>
      <c r="L26" s="63" t="s">
        <v>1535</v>
      </c>
    </row>
    <row r="27" customFormat="false" ht="33" hidden="false" customHeight="false" outlineLevel="0" collapsed="false">
      <c r="A27" s="62"/>
      <c r="B27" s="62"/>
      <c r="C27" s="62"/>
      <c r="D27" s="62"/>
      <c r="E27" s="62"/>
      <c r="F27" s="62"/>
      <c r="G27" s="62" t="s">
        <v>267</v>
      </c>
      <c r="H27" s="62"/>
      <c r="I27" s="62"/>
      <c r="J27" s="62"/>
      <c r="K27" s="62"/>
      <c r="L27" s="62" t="s">
        <v>1536</v>
      </c>
    </row>
    <row r="28" customFormat="false" ht="33" hidden="false" customHeight="false" outlineLevel="0" collapsed="false">
      <c r="A28" s="62"/>
      <c r="B28" s="62"/>
      <c r="C28" s="62"/>
      <c r="D28" s="62"/>
      <c r="E28" s="62"/>
      <c r="F28" s="62"/>
      <c r="G28" s="62" t="s">
        <v>1537</v>
      </c>
      <c r="H28" s="62"/>
      <c r="I28" s="62"/>
      <c r="J28" s="62"/>
      <c r="K28" s="62"/>
      <c r="L28" s="63" t="s">
        <v>1538</v>
      </c>
    </row>
    <row r="29" customFormat="false" ht="33" hidden="false" customHeight="false" outlineLevel="0" collapsed="false">
      <c r="A29" s="62"/>
      <c r="B29" s="62"/>
      <c r="C29" s="62"/>
      <c r="D29" s="62"/>
      <c r="E29" s="62"/>
      <c r="F29" s="62"/>
      <c r="G29" s="62" t="s">
        <v>1539</v>
      </c>
      <c r="H29" s="62"/>
      <c r="I29" s="62"/>
      <c r="J29" s="62"/>
      <c r="K29" s="62"/>
      <c r="L29" s="63" t="s">
        <v>838</v>
      </c>
    </row>
    <row r="30" customFormat="false" ht="33" hidden="false" customHeight="false" outlineLevel="0" collapsed="false">
      <c r="A30" s="62"/>
      <c r="B30" s="62" t="n">
        <v>505</v>
      </c>
      <c r="C30" s="62"/>
      <c r="D30" s="62"/>
      <c r="E30" s="63" t="s">
        <v>1540</v>
      </c>
      <c r="F30" s="62"/>
      <c r="G30" s="62" t="s">
        <v>1541</v>
      </c>
      <c r="H30" s="62"/>
      <c r="I30" s="62"/>
      <c r="J30" s="62"/>
      <c r="K30" s="62"/>
      <c r="L30" s="63" t="s">
        <v>1542</v>
      </c>
    </row>
    <row r="31" customFormat="false" ht="33" hidden="false" customHeight="false" outlineLevel="0" collapsed="false">
      <c r="A31" s="62"/>
      <c r="B31" s="62"/>
      <c r="C31" s="62"/>
      <c r="D31" s="62"/>
      <c r="E31" s="63" t="s">
        <v>237</v>
      </c>
      <c r="F31" s="62"/>
      <c r="G31" s="62" t="s">
        <v>882</v>
      </c>
      <c r="H31" s="62" t="s">
        <v>1543</v>
      </c>
      <c r="I31" s="62"/>
      <c r="J31" s="62"/>
      <c r="K31" s="62"/>
      <c r="L31" s="62" t="s">
        <v>1544</v>
      </c>
    </row>
    <row r="32" customFormat="false" ht="33" hidden="false" customHeight="false" outlineLevel="0" collapsed="false">
      <c r="A32" s="62"/>
      <c r="B32" s="62"/>
      <c r="C32" s="62"/>
      <c r="D32" s="62"/>
      <c r="E32" s="63" t="s">
        <v>1545</v>
      </c>
      <c r="F32" s="62"/>
      <c r="G32" s="62" t="s">
        <v>803</v>
      </c>
      <c r="H32" s="62" t="s">
        <v>1546</v>
      </c>
      <c r="I32" s="62"/>
      <c r="J32" s="62"/>
      <c r="K32" s="62"/>
      <c r="L32" s="63" t="s">
        <v>1547</v>
      </c>
    </row>
    <row r="33" customFormat="false" ht="48.75" hidden="false" customHeight="false" outlineLevel="0" collapsed="false">
      <c r="A33" s="62"/>
      <c r="B33" s="62"/>
      <c r="C33" s="62"/>
      <c r="D33" s="62"/>
      <c r="E33" s="63" t="s">
        <v>837</v>
      </c>
      <c r="F33" s="62"/>
      <c r="G33" s="62"/>
      <c r="H33" s="62" t="s">
        <v>971</v>
      </c>
      <c r="I33" s="62"/>
      <c r="J33" s="62"/>
      <c r="K33" s="62"/>
      <c r="L33" s="63" t="s">
        <v>1548</v>
      </c>
    </row>
    <row r="34" customFormat="false" ht="48.75" hidden="false" customHeight="false" outlineLevel="0" collapsed="false">
      <c r="A34" s="62"/>
      <c r="B34" s="62"/>
      <c r="C34" s="62"/>
      <c r="D34" s="62"/>
      <c r="E34" s="63" t="s">
        <v>227</v>
      </c>
      <c r="F34" s="62"/>
      <c r="G34" s="62"/>
      <c r="H34" s="62" t="s">
        <v>1549</v>
      </c>
      <c r="I34" s="62"/>
      <c r="J34" s="62"/>
      <c r="K34" s="62"/>
      <c r="L34" s="63" t="s">
        <v>1550</v>
      </c>
    </row>
    <row r="35" customFormat="false" ht="33" hidden="false" customHeight="false" outlineLevel="0" collapsed="false">
      <c r="A35" s="62"/>
      <c r="B35" s="62"/>
      <c r="C35" s="62"/>
      <c r="D35" s="62"/>
      <c r="E35" s="63" t="s">
        <v>240</v>
      </c>
      <c r="F35" s="62"/>
      <c r="G35" s="62"/>
      <c r="H35" s="62"/>
      <c r="I35" s="62"/>
      <c r="J35" s="62"/>
      <c r="K35" s="62"/>
      <c r="L35" s="62" t="s">
        <v>1551</v>
      </c>
    </row>
    <row r="36" customFormat="false" ht="33" hidden="false" customHeight="false" outlineLevel="0" collapsed="false">
      <c r="A36" s="62"/>
      <c r="B36" s="62"/>
      <c r="C36" s="62"/>
      <c r="D36" s="62"/>
      <c r="E36" s="63" t="s">
        <v>1552</v>
      </c>
      <c r="F36" s="62"/>
      <c r="G36" s="62" t="s">
        <v>906</v>
      </c>
      <c r="H36" s="62" t="s">
        <v>1553</v>
      </c>
      <c r="I36" s="62"/>
      <c r="J36" s="62"/>
      <c r="K36" s="62"/>
      <c r="L36" s="62" t="s">
        <v>1554</v>
      </c>
    </row>
    <row r="37" customFormat="false" ht="33" hidden="false" customHeight="false" outlineLevel="0" collapsed="false">
      <c r="A37" s="62"/>
      <c r="B37" s="62"/>
      <c r="C37" s="62"/>
      <c r="D37" s="62"/>
      <c r="E37" s="63" t="s">
        <v>920</v>
      </c>
      <c r="F37" s="62"/>
      <c r="G37" s="62" t="s">
        <v>1555</v>
      </c>
      <c r="H37" s="62"/>
      <c r="I37" s="62"/>
      <c r="J37" s="62"/>
      <c r="K37" s="62"/>
      <c r="L37" s="63" t="s">
        <v>1556</v>
      </c>
    </row>
    <row r="38" customFormat="false" ht="33" hidden="false" customHeight="false" outlineLevel="0" collapsed="false">
      <c r="A38" s="62"/>
      <c r="B38" s="62"/>
      <c r="C38" s="62"/>
      <c r="D38" s="62"/>
      <c r="E38" s="63" t="s">
        <v>1552</v>
      </c>
      <c r="F38" s="62"/>
      <c r="G38" s="64" t="n">
        <v>40635</v>
      </c>
      <c r="H38" s="62" t="s">
        <v>1557</v>
      </c>
      <c r="I38" s="62"/>
      <c r="J38" s="62"/>
      <c r="K38" s="62"/>
      <c r="L38" s="63" t="s">
        <v>1558</v>
      </c>
    </row>
    <row r="39" customFormat="false" ht="33" hidden="false" customHeight="false" outlineLevel="0" collapsed="false">
      <c r="A39" s="62"/>
      <c r="B39" s="62"/>
      <c r="C39" s="62"/>
      <c r="D39" s="62"/>
      <c r="E39" s="63" t="s">
        <v>233</v>
      </c>
      <c r="F39" s="62"/>
      <c r="G39" s="62" t="n">
        <v>5</v>
      </c>
      <c r="H39" s="62" t="s">
        <v>301</v>
      </c>
      <c r="I39" s="62"/>
      <c r="J39" s="62"/>
      <c r="K39" s="62"/>
      <c r="L39" s="62" t="s">
        <v>1559</v>
      </c>
    </row>
    <row r="40" customFormat="false" ht="33" hidden="false" customHeight="false" outlineLevel="0" collapsed="false">
      <c r="A40" s="62"/>
      <c r="B40" s="62"/>
      <c r="C40" s="62"/>
      <c r="D40" s="62"/>
      <c r="E40" s="62"/>
      <c r="F40" s="62"/>
      <c r="G40" s="62" t="n">
        <v>6</v>
      </c>
      <c r="H40" s="62" t="s">
        <v>301</v>
      </c>
      <c r="I40" s="62"/>
      <c r="J40" s="62"/>
      <c r="K40" s="62"/>
      <c r="L40" s="62" t="s">
        <v>1560</v>
      </c>
    </row>
    <row r="41" customFormat="false" ht="17.25" hidden="false" customHeight="false" outlineLevel="0" collapsed="false">
      <c r="A41" s="62"/>
      <c r="B41" s="62"/>
      <c r="C41" s="62"/>
      <c r="D41" s="62"/>
      <c r="E41" s="62"/>
      <c r="F41" s="62"/>
      <c r="G41" s="62" t="s">
        <v>1561</v>
      </c>
      <c r="H41" s="62"/>
      <c r="I41" s="62"/>
      <c r="J41" s="62"/>
      <c r="K41" s="62"/>
      <c r="L41" s="63" t="s">
        <v>1394</v>
      </c>
    </row>
    <row r="42" customFormat="false" ht="33" hidden="false" customHeight="false" outlineLevel="0" collapsed="false">
      <c r="A42" s="62"/>
      <c r="B42" s="62"/>
      <c r="C42" s="62"/>
      <c r="D42" s="62"/>
      <c r="E42" s="62"/>
      <c r="F42" s="62"/>
      <c r="G42" s="64" t="n">
        <v>40544</v>
      </c>
      <c r="H42" s="62" t="s">
        <v>234</v>
      </c>
      <c r="I42" s="62"/>
      <c r="J42" s="62"/>
      <c r="K42" s="62"/>
      <c r="L42" s="62" t="s">
        <v>1562</v>
      </c>
    </row>
    <row r="43" customFormat="false" ht="33" hidden="false" customHeight="false" outlineLevel="0" collapsed="false">
      <c r="A43" s="62"/>
      <c r="B43" s="62"/>
      <c r="C43" s="62"/>
      <c r="D43" s="62"/>
      <c r="E43" s="62"/>
      <c r="F43" s="62"/>
      <c r="G43" s="62" t="n">
        <v>3</v>
      </c>
      <c r="H43" s="62" t="s">
        <v>771</v>
      </c>
      <c r="I43" s="62"/>
      <c r="J43" s="62"/>
      <c r="K43" s="62"/>
      <c r="L43" s="62" t="s">
        <v>1563</v>
      </c>
    </row>
    <row r="44" customFormat="false" ht="33" hidden="false" customHeight="false" outlineLevel="0" collapsed="false">
      <c r="A44" s="62"/>
      <c r="B44" s="62"/>
      <c r="C44" s="62"/>
      <c r="D44" s="62"/>
      <c r="E44" s="62"/>
      <c r="F44" s="62"/>
      <c r="G44" s="64" t="n">
        <v>40634</v>
      </c>
      <c r="H44" s="62" t="s">
        <v>1564</v>
      </c>
      <c r="I44" s="62"/>
      <c r="J44" s="62"/>
      <c r="K44" s="62"/>
      <c r="L44" s="63" t="s">
        <v>837</v>
      </c>
    </row>
    <row r="45" customFormat="false" ht="33" hidden="false" customHeight="false" outlineLevel="0" collapsed="false">
      <c r="A45" s="62"/>
      <c r="B45" s="62"/>
      <c r="C45" s="62"/>
      <c r="D45" s="62"/>
      <c r="E45" s="62"/>
      <c r="F45" s="62"/>
      <c r="G45" s="62" t="s">
        <v>267</v>
      </c>
      <c r="H45" s="62" t="s">
        <v>268</v>
      </c>
      <c r="I45" s="62"/>
      <c r="J45" s="62"/>
      <c r="K45" s="62"/>
      <c r="L45" s="63" t="s">
        <v>1565</v>
      </c>
    </row>
    <row r="46" customFormat="false" ht="17.25" hidden="false" customHeight="false" outlineLevel="0" collapsed="false">
      <c r="A46" s="62"/>
      <c r="B46" s="62"/>
      <c r="C46" s="62"/>
      <c r="D46" s="62"/>
      <c r="E46" s="62"/>
      <c r="F46" s="62"/>
      <c r="G46" s="63" t="s">
        <v>304</v>
      </c>
      <c r="H46" s="62" t="s">
        <v>1566</v>
      </c>
      <c r="I46" s="62"/>
      <c r="J46" s="62"/>
      <c r="K46" s="62"/>
      <c r="L46" s="62" t="s">
        <v>1567</v>
      </c>
    </row>
    <row r="47" customFormat="false" ht="48.75" hidden="false" customHeight="false" outlineLevel="0" collapsed="false">
      <c r="A47" s="62"/>
      <c r="B47" s="62"/>
      <c r="C47" s="62"/>
      <c r="D47" s="62"/>
      <c r="E47" s="62"/>
      <c r="F47" s="62"/>
      <c r="G47" s="63" t="s">
        <v>270</v>
      </c>
      <c r="H47" s="63" t="s">
        <v>821</v>
      </c>
      <c r="I47" s="62"/>
      <c r="J47" s="62"/>
      <c r="K47" s="62"/>
      <c r="L47" s="63" t="s">
        <v>1568</v>
      </c>
    </row>
    <row r="48" customFormat="false" ht="33" hidden="false" customHeight="false" outlineLevel="0" collapsed="false">
      <c r="A48" s="62"/>
      <c r="B48" s="62"/>
      <c r="C48" s="62"/>
      <c r="D48" s="62"/>
      <c r="E48" s="62"/>
      <c r="F48" s="62"/>
      <c r="G48" s="62" t="s">
        <v>267</v>
      </c>
      <c r="H48" s="62" t="s">
        <v>267</v>
      </c>
      <c r="I48" s="62"/>
      <c r="J48" s="62"/>
      <c r="K48" s="62"/>
      <c r="L48" s="62" t="s">
        <v>1569</v>
      </c>
    </row>
    <row r="49" customFormat="false" ht="17.25" hidden="false" customHeight="false" outlineLevel="0" collapsed="false">
      <c r="A49" s="62"/>
      <c r="B49" s="62"/>
      <c r="C49" s="62"/>
      <c r="D49" s="62"/>
      <c r="E49" s="62"/>
      <c r="F49" s="62"/>
      <c r="G49" s="62" t="s">
        <v>1570</v>
      </c>
      <c r="H49" s="62" t="s">
        <v>421</v>
      </c>
      <c r="I49" s="62"/>
      <c r="J49" s="62"/>
      <c r="K49" s="62"/>
      <c r="L49" s="63" t="s">
        <v>1394</v>
      </c>
    </row>
    <row r="50" customFormat="false" ht="33" hidden="false" customHeight="false" outlineLevel="0" collapsed="false">
      <c r="A50" s="62"/>
      <c r="B50" s="62"/>
      <c r="C50" s="62"/>
      <c r="D50" s="62"/>
      <c r="E50" s="62"/>
      <c r="F50" s="62"/>
      <c r="G50" s="62" t="s">
        <v>267</v>
      </c>
      <c r="H50" s="62" t="s">
        <v>267</v>
      </c>
      <c r="I50" s="62"/>
      <c r="J50" s="62"/>
      <c r="K50" s="62"/>
      <c r="L50" s="62"/>
    </row>
    <row r="51" customFormat="false" ht="33" hidden="false" customHeight="false" outlineLevel="0" collapsed="false">
      <c r="A51" s="62"/>
      <c r="B51" s="62"/>
      <c r="C51" s="62"/>
      <c r="D51" s="62"/>
      <c r="E51" s="62"/>
      <c r="F51" s="62"/>
      <c r="G51" s="62" t="s">
        <v>1571</v>
      </c>
      <c r="H51" s="62" t="s">
        <v>1572</v>
      </c>
      <c r="I51" s="62"/>
      <c r="J51" s="62"/>
      <c r="K51" s="62"/>
      <c r="L51" s="62"/>
    </row>
    <row r="52" customFormat="false" ht="48.75" hidden="false" customHeight="false" outlineLevel="0" collapsed="false">
      <c r="A52" s="62"/>
      <c r="B52" s="62"/>
      <c r="C52" s="62"/>
      <c r="D52" s="62" t="s">
        <v>274</v>
      </c>
      <c r="E52" s="62" t="s">
        <v>275</v>
      </c>
      <c r="F52" s="62" t="s">
        <v>268</v>
      </c>
      <c r="G52" s="62" t="s">
        <v>267</v>
      </c>
      <c r="H52" s="62" t="s">
        <v>268</v>
      </c>
      <c r="I52" s="62" t="s">
        <v>276</v>
      </c>
      <c r="J52" s="62" t="s">
        <v>276</v>
      </c>
      <c r="K52" s="62"/>
      <c r="L52" s="62"/>
    </row>
    <row r="53" customFormat="false" ht="33" hidden="false" customHeight="false" outlineLevel="0" collapsed="false">
      <c r="A53" s="62"/>
      <c r="B53" s="62"/>
      <c r="C53" s="62"/>
      <c r="D53" s="63" t="s">
        <v>277</v>
      </c>
      <c r="E53" s="62"/>
      <c r="F53" s="62"/>
      <c r="G53" s="63" t="s">
        <v>1573</v>
      </c>
      <c r="H53" s="62" t="s">
        <v>1574</v>
      </c>
      <c r="I53" s="62"/>
      <c r="J53" s="62"/>
      <c r="K53" s="62"/>
      <c r="L53" s="62"/>
    </row>
    <row r="54" customFormat="false" ht="48.75" hidden="false" customHeight="false" outlineLevel="0" collapsed="false">
      <c r="A54" s="62"/>
      <c r="B54" s="62"/>
      <c r="C54" s="62"/>
      <c r="D54" s="62"/>
      <c r="E54" s="62"/>
      <c r="F54" s="62"/>
      <c r="G54" s="63" t="s">
        <v>270</v>
      </c>
      <c r="H54" s="63" t="s">
        <v>821</v>
      </c>
      <c r="I54" s="62"/>
      <c r="J54" s="62"/>
      <c r="K54" s="62"/>
      <c r="L54" s="62"/>
    </row>
    <row r="55" customFormat="false" ht="33" hidden="false" customHeight="false" outlineLevel="0" collapsed="false">
      <c r="A55" s="62"/>
      <c r="B55" s="62"/>
      <c r="C55" s="62"/>
      <c r="D55" s="62"/>
      <c r="E55" s="62"/>
      <c r="F55" s="62"/>
      <c r="G55" s="62" t="s">
        <v>267</v>
      </c>
      <c r="H55" s="62" t="s">
        <v>267</v>
      </c>
      <c r="I55" s="62"/>
      <c r="J55" s="62"/>
      <c r="K55" s="62"/>
      <c r="L55" s="62"/>
    </row>
    <row r="56" customFormat="false" ht="17.25" hidden="false" customHeight="false" outlineLevel="0" collapsed="false">
      <c r="A56" s="62"/>
      <c r="B56" s="62"/>
      <c r="C56" s="62"/>
      <c r="D56" s="62"/>
      <c r="E56" s="62"/>
      <c r="F56" s="62"/>
      <c r="G56" s="62" t="s">
        <v>1575</v>
      </c>
      <c r="H56" s="62" t="s">
        <v>421</v>
      </c>
      <c r="I56" s="62"/>
      <c r="J56" s="62"/>
      <c r="K56" s="62"/>
      <c r="L56" s="62"/>
    </row>
    <row r="57" customFormat="false" ht="33" hidden="false" customHeight="false" outlineLevel="0" collapsed="false">
      <c r="A57" s="62"/>
      <c r="B57" s="62"/>
      <c r="C57" s="62"/>
      <c r="D57" s="62"/>
      <c r="E57" s="62"/>
      <c r="F57" s="62"/>
      <c r="G57" s="62" t="s">
        <v>267</v>
      </c>
      <c r="H57" s="62" t="s">
        <v>267</v>
      </c>
      <c r="I57" s="62"/>
      <c r="J57" s="62"/>
      <c r="K57" s="62"/>
      <c r="L57" s="62"/>
    </row>
    <row r="58" customFormat="false" ht="33" hidden="false" customHeight="false" outlineLevel="0" collapsed="false">
      <c r="A58" s="62"/>
      <c r="B58" s="62"/>
      <c r="C58" s="62"/>
      <c r="D58" s="62"/>
      <c r="E58" s="62"/>
      <c r="F58" s="62"/>
      <c r="G58" s="62" t="s">
        <v>1576</v>
      </c>
      <c r="H58" s="62" t="s">
        <v>1572</v>
      </c>
      <c r="I58" s="62"/>
      <c r="J58" s="62"/>
      <c r="K58" s="62"/>
      <c r="L58" s="62"/>
    </row>
    <row r="59" customFormat="false" ht="33" hidden="false" customHeight="false" outlineLevel="0" collapsed="false">
      <c r="A59" s="62"/>
      <c r="B59" s="62"/>
      <c r="C59" s="62"/>
      <c r="D59" s="62"/>
      <c r="E59" s="62"/>
      <c r="F59" s="62"/>
      <c r="G59" s="62" t="s">
        <v>1577</v>
      </c>
      <c r="H59" s="62"/>
      <c r="I59" s="62"/>
      <c r="J59" s="62"/>
      <c r="K59" s="62"/>
      <c r="L59" s="62"/>
    </row>
    <row r="60" customFormat="false" ht="15.75" hidden="false" customHeight="false" outlineLevel="0" collapsed="false">
      <c r="A60" s="3" t="s">
        <v>211</v>
      </c>
    </row>
    <row r="67" customFormat="false" ht="15.75" hidden="false" customHeight="false" outlineLevel="0" collapsed="false">
      <c r="A67" s="65" t="s">
        <v>281</v>
      </c>
    </row>
  </sheetData>
  <hyperlinks>
    <hyperlink ref="M1" location="Index!A1" display="Index"/>
    <hyperlink ref="A60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2.57"/>
    <col collapsed="false" customWidth="true" hidden="false" outlineLevel="0" max="6" min="6" style="0" width="11.43"/>
    <col collapsed="false" customWidth="true" hidden="false" outlineLevel="0" max="12" min="12" style="0" width="18.86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265</v>
      </c>
      <c r="B4" s="62" t="n">
        <v>594</v>
      </c>
      <c r="C4" s="63" t="s">
        <v>1578</v>
      </c>
      <c r="D4" s="63" t="s">
        <v>227</v>
      </c>
      <c r="E4" s="63" t="s">
        <v>766</v>
      </c>
      <c r="F4" s="62"/>
      <c r="G4" s="62" t="s">
        <v>1561</v>
      </c>
      <c r="H4" s="62"/>
      <c r="I4" s="62"/>
      <c r="J4" s="62"/>
      <c r="K4" s="62"/>
      <c r="L4" s="63" t="s">
        <v>838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1253</v>
      </c>
      <c r="E5" s="63" t="s">
        <v>770</v>
      </c>
      <c r="F5" s="62"/>
      <c r="G5" s="62" t="n">
        <v>5</v>
      </c>
      <c r="H5" s="62" t="s">
        <v>771</v>
      </c>
      <c r="I5" s="62"/>
      <c r="J5" s="62"/>
      <c r="K5" s="62"/>
      <c r="L5" s="63" t="s">
        <v>1579</v>
      </c>
    </row>
    <row r="6" customFormat="false" ht="33" hidden="false" customHeight="false" outlineLevel="0" collapsed="false">
      <c r="A6" s="62" t="n">
        <v>248</v>
      </c>
      <c r="B6" s="62"/>
      <c r="C6" s="62"/>
      <c r="D6" s="63" t="s">
        <v>236</v>
      </c>
      <c r="E6" s="63" t="s">
        <v>1580</v>
      </c>
      <c r="F6" s="62"/>
      <c r="G6" s="62" t="s">
        <v>1467</v>
      </c>
      <c r="H6" s="62"/>
      <c r="I6" s="62"/>
      <c r="J6" s="62"/>
      <c r="K6" s="62"/>
      <c r="L6" s="63" t="s">
        <v>1581</v>
      </c>
    </row>
    <row r="7" customFormat="false" ht="33" hidden="false" customHeight="false" outlineLevel="0" collapsed="false">
      <c r="A7" s="62"/>
      <c r="B7" s="62"/>
      <c r="C7" s="62"/>
      <c r="D7" s="63" t="s">
        <v>233</v>
      </c>
      <c r="E7" s="62"/>
      <c r="F7" s="62"/>
      <c r="G7" s="64" t="n">
        <v>40544</v>
      </c>
      <c r="H7" s="62" t="s">
        <v>1582</v>
      </c>
      <c r="I7" s="62"/>
      <c r="J7" s="62"/>
      <c r="K7" s="62"/>
      <c r="L7" s="63" t="s">
        <v>1583</v>
      </c>
    </row>
    <row r="8" customFormat="false" ht="33" hidden="false" customHeight="false" outlineLevel="0" collapsed="false">
      <c r="A8" s="62"/>
      <c r="B8" s="62"/>
      <c r="C8" s="62"/>
      <c r="D8" s="62"/>
      <c r="E8" s="62"/>
      <c r="F8" s="62"/>
      <c r="G8" s="62" t="s">
        <v>267</v>
      </c>
      <c r="H8" s="62" t="s">
        <v>268</v>
      </c>
      <c r="I8" s="62"/>
      <c r="J8" s="62"/>
      <c r="K8" s="62"/>
      <c r="L8" s="63" t="s">
        <v>1584</v>
      </c>
    </row>
    <row r="9" customFormat="false" ht="17.25" hidden="false" customHeight="false" outlineLevel="0" collapsed="false">
      <c r="A9" s="62"/>
      <c r="B9" s="62"/>
      <c r="C9" s="62"/>
      <c r="D9" s="62"/>
      <c r="E9" s="62"/>
      <c r="F9" s="62"/>
      <c r="G9" s="63" t="s">
        <v>320</v>
      </c>
      <c r="H9" s="64" t="s">
        <v>1585</v>
      </c>
      <c r="I9" s="62"/>
      <c r="J9" s="62"/>
      <c r="K9" s="62"/>
      <c r="L9" s="63" t="s">
        <v>1586</v>
      </c>
    </row>
    <row r="10" customFormat="false" ht="33" hidden="false" customHeight="false" outlineLevel="0" collapsed="false">
      <c r="A10" s="62"/>
      <c r="B10" s="62"/>
      <c r="C10" s="62"/>
      <c r="D10" s="62"/>
      <c r="E10" s="62"/>
      <c r="F10" s="62"/>
      <c r="G10" s="63" t="s">
        <v>270</v>
      </c>
      <c r="H10" s="62"/>
      <c r="I10" s="62"/>
      <c r="J10" s="62"/>
      <c r="K10" s="62"/>
      <c r="L10" s="62" t="s">
        <v>1587</v>
      </c>
    </row>
    <row r="11" customFormat="false" ht="33" hidden="false" customHeight="false" outlineLevel="0" collapsed="false">
      <c r="A11" s="62"/>
      <c r="B11" s="62"/>
      <c r="C11" s="62"/>
      <c r="D11" s="62"/>
      <c r="E11" s="62"/>
      <c r="F11" s="62"/>
      <c r="G11" s="62" t="s">
        <v>267</v>
      </c>
      <c r="H11" s="62"/>
      <c r="I11" s="62"/>
      <c r="J11" s="62"/>
      <c r="K11" s="62"/>
      <c r="L11" s="63" t="s">
        <v>1588</v>
      </c>
    </row>
    <row r="12" customFormat="false" ht="17.25" hidden="false" customHeight="false" outlineLevel="0" collapsed="false">
      <c r="A12" s="62"/>
      <c r="B12" s="62"/>
      <c r="C12" s="62"/>
      <c r="D12" s="62"/>
      <c r="E12" s="62"/>
      <c r="F12" s="62"/>
      <c r="G12" s="64" t="n">
        <v>40893</v>
      </c>
      <c r="H12" s="62"/>
      <c r="I12" s="62"/>
      <c r="J12" s="62"/>
      <c r="K12" s="62"/>
      <c r="L12" s="62" t="s">
        <v>1589</v>
      </c>
    </row>
    <row r="13" customFormat="false" ht="33" hidden="false" customHeight="false" outlineLevel="0" collapsed="false">
      <c r="A13" s="62"/>
      <c r="B13" s="62"/>
      <c r="C13" s="62"/>
      <c r="D13" s="62"/>
      <c r="E13" s="62"/>
      <c r="F13" s="62"/>
      <c r="G13" s="62" t="s">
        <v>267</v>
      </c>
      <c r="H13" s="62"/>
      <c r="I13" s="62"/>
      <c r="J13" s="62"/>
      <c r="K13" s="62"/>
      <c r="L13" s="62" t="s">
        <v>1590</v>
      </c>
    </row>
    <row r="14" customFormat="false" ht="33" hidden="false" customHeight="false" outlineLevel="0" collapsed="false">
      <c r="A14" s="62"/>
      <c r="B14" s="62"/>
      <c r="C14" s="62"/>
      <c r="D14" s="62"/>
      <c r="E14" s="62"/>
      <c r="F14" s="62"/>
      <c r="G14" s="62" t="s">
        <v>1582</v>
      </c>
      <c r="H14" s="62"/>
      <c r="I14" s="62"/>
      <c r="J14" s="62"/>
      <c r="K14" s="62"/>
      <c r="L14" s="63" t="s">
        <v>1591</v>
      </c>
    </row>
    <row r="15" customFormat="false" ht="33" hidden="false" customHeight="false" outlineLevel="0" collapsed="false">
      <c r="A15" s="62"/>
      <c r="B15" s="62"/>
      <c r="C15" s="62"/>
      <c r="D15" s="62"/>
      <c r="E15" s="62"/>
      <c r="F15" s="62"/>
      <c r="G15" s="62" t="s">
        <v>771</v>
      </c>
      <c r="H15" s="62"/>
      <c r="I15" s="62"/>
      <c r="J15" s="62"/>
      <c r="K15" s="62"/>
      <c r="L15" s="62" t="s">
        <v>1592</v>
      </c>
    </row>
    <row r="16" customFormat="false" ht="33" hidden="false" customHeight="false" outlineLevel="0" collapsed="false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3" t="s">
        <v>1593</v>
      </c>
    </row>
    <row r="17" customFormat="false" ht="17.25" hidden="false" customHeight="false" outlineLevel="0" collapsed="false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3" t="s">
        <v>1594</v>
      </c>
    </row>
    <row r="18" customFormat="false" ht="17.25" hidden="false" customHeight="false" outlineLevel="0" collapsed="false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3" t="s">
        <v>1595</v>
      </c>
    </row>
    <row r="19" customFormat="false" ht="33" hidden="false" customHeight="false" outlineLevel="0" collapsed="false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 t="s">
        <v>1596</v>
      </c>
    </row>
    <row r="20" customFormat="false" ht="17.25" hidden="false" customHeight="false" outlineLevel="0" collapsed="false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 t="s">
        <v>1597</v>
      </c>
    </row>
    <row r="21" customFormat="false" ht="17.25" hidden="false" customHeight="false" outlineLevel="0" collapsed="false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3" t="s">
        <v>1598</v>
      </c>
    </row>
    <row r="22" customFormat="false" ht="33" hidden="false" customHeight="fals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3" t="s">
        <v>1599</v>
      </c>
    </row>
    <row r="23" customFormat="false" ht="17.25" hidden="false" customHeight="false" outlineLevel="0" collapsed="false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3" t="s">
        <v>1600</v>
      </c>
    </row>
    <row r="24" customFormat="false" ht="48.75" hidden="false" customHeight="false" outlineLevel="0" collapsed="false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 t="s">
        <v>1601</v>
      </c>
    </row>
    <row r="25" customFormat="false" ht="17.25" hidden="false" customHeight="false" outlineLevel="0" collapsed="false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3" t="s">
        <v>1602</v>
      </c>
    </row>
    <row r="26" customFormat="false" ht="33" hidden="false" customHeight="false" outlineLevel="0" collapsed="false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3" t="s">
        <v>1603</v>
      </c>
    </row>
    <row r="27" customFormat="false" ht="17.25" hidden="false" customHeight="false" outlineLevel="0" collapsed="false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3" t="s">
        <v>838</v>
      </c>
    </row>
    <row r="28" customFormat="false" ht="15.75" hidden="false" customHeight="false" outlineLevel="0" collapsed="false">
      <c r="A28" s="3" t="s">
        <v>211</v>
      </c>
    </row>
    <row r="35" customFormat="false" ht="15.75" hidden="false" customHeight="false" outlineLevel="0" collapsed="false">
      <c r="A35" s="65" t="s">
        <v>281</v>
      </c>
    </row>
  </sheetData>
  <hyperlinks>
    <hyperlink ref="M1" location="Index!A1" display="Index"/>
    <hyperlink ref="A28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.42"/>
    <col collapsed="false" customWidth="true" hidden="false" outlineLevel="0" max="12" min="12" style="0" width="16.57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336</v>
      </c>
      <c r="B4" s="62" t="n">
        <v>706</v>
      </c>
      <c r="C4" s="63" t="s">
        <v>1604</v>
      </c>
      <c r="D4" s="63" t="s">
        <v>1605</v>
      </c>
      <c r="E4" s="63" t="s">
        <v>876</v>
      </c>
      <c r="F4" s="62"/>
      <c r="G4" s="62" t="s">
        <v>1452</v>
      </c>
      <c r="H4" s="62"/>
      <c r="I4" s="62"/>
      <c r="J4" s="62"/>
      <c r="K4" s="62"/>
      <c r="L4" s="63" t="s">
        <v>1606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1607</v>
      </c>
      <c r="E5" s="62"/>
      <c r="F5" s="62"/>
      <c r="G5" s="62" t="n">
        <v>6</v>
      </c>
      <c r="H5" s="62" t="s">
        <v>771</v>
      </c>
      <c r="I5" s="62"/>
      <c r="J5" s="62"/>
      <c r="K5" s="62"/>
      <c r="L5" s="63" t="s">
        <v>1608</v>
      </c>
    </row>
    <row r="6" customFormat="false" ht="33" hidden="false" customHeight="false" outlineLevel="0" collapsed="false">
      <c r="A6" s="62" t="s">
        <v>655</v>
      </c>
      <c r="B6" s="62"/>
      <c r="C6" s="62"/>
      <c r="D6" s="63" t="s">
        <v>1609</v>
      </c>
      <c r="E6" s="62"/>
      <c r="F6" s="62"/>
      <c r="G6" s="64" t="n">
        <v>40725</v>
      </c>
      <c r="H6" s="62" t="s">
        <v>959</v>
      </c>
      <c r="I6" s="62"/>
      <c r="J6" s="62"/>
      <c r="K6" s="62"/>
      <c r="L6" s="63" t="s">
        <v>1610</v>
      </c>
    </row>
    <row r="7" customFormat="false" ht="33" hidden="false" customHeight="false" outlineLevel="0" collapsed="false">
      <c r="A7" s="62"/>
      <c r="B7" s="62"/>
      <c r="C7" s="62"/>
      <c r="D7" s="63" t="s">
        <v>1611</v>
      </c>
      <c r="E7" s="62"/>
      <c r="F7" s="62"/>
      <c r="G7" s="62" t="s">
        <v>1612</v>
      </c>
      <c r="H7" s="62" t="s">
        <v>921</v>
      </c>
      <c r="I7" s="62"/>
      <c r="J7" s="62"/>
      <c r="K7" s="62"/>
      <c r="L7" s="62" t="s">
        <v>1613</v>
      </c>
    </row>
    <row r="8" customFormat="false" ht="33" hidden="false" customHeight="false" outlineLevel="0" collapsed="false">
      <c r="A8" s="62"/>
      <c r="B8" s="62"/>
      <c r="C8" s="62"/>
      <c r="D8" s="63" t="s">
        <v>244</v>
      </c>
      <c r="E8" s="62"/>
      <c r="F8" s="62"/>
      <c r="G8" s="62" t="n">
        <v>15</v>
      </c>
      <c r="H8" s="62" t="s">
        <v>301</v>
      </c>
      <c r="I8" s="62"/>
      <c r="J8" s="62"/>
      <c r="K8" s="62"/>
      <c r="L8" s="63" t="s">
        <v>1614</v>
      </c>
    </row>
    <row r="9" customFormat="false" ht="33" hidden="false" customHeight="false" outlineLevel="0" collapsed="false">
      <c r="A9" s="62"/>
      <c r="B9" s="62"/>
      <c r="C9" s="62"/>
      <c r="D9" s="62" t="s">
        <v>1615</v>
      </c>
      <c r="E9" s="62"/>
      <c r="F9" s="62"/>
      <c r="G9" s="62" t="n">
        <v>16</v>
      </c>
      <c r="H9" s="62" t="s">
        <v>301</v>
      </c>
      <c r="I9" s="62"/>
      <c r="J9" s="62"/>
      <c r="K9" s="62"/>
      <c r="L9" s="63" t="s">
        <v>1616</v>
      </c>
    </row>
    <row r="10" customFormat="false" ht="33" hidden="false" customHeight="false" outlineLevel="0" collapsed="false">
      <c r="A10" s="62"/>
      <c r="B10" s="62"/>
      <c r="C10" s="62"/>
      <c r="D10" s="63" t="s">
        <v>1617</v>
      </c>
      <c r="E10" s="62"/>
      <c r="F10" s="62"/>
      <c r="G10" s="62" t="s">
        <v>1618</v>
      </c>
      <c r="H10" s="62" t="s">
        <v>1619</v>
      </c>
      <c r="I10" s="62"/>
      <c r="J10" s="62"/>
      <c r="K10" s="62"/>
      <c r="L10" s="62" t="s">
        <v>1620</v>
      </c>
    </row>
    <row r="11" customFormat="false" ht="33" hidden="false" customHeight="false" outlineLevel="0" collapsed="false">
      <c r="A11" s="62"/>
      <c r="B11" s="62"/>
      <c r="C11" s="62"/>
      <c r="D11" s="63" t="s">
        <v>1621</v>
      </c>
      <c r="E11" s="62"/>
      <c r="F11" s="62"/>
      <c r="G11" s="62" t="s">
        <v>882</v>
      </c>
      <c r="H11" s="62" t="s">
        <v>1619</v>
      </c>
      <c r="I11" s="62"/>
      <c r="J11" s="62"/>
      <c r="K11" s="62"/>
      <c r="L11" s="62" t="s">
        <v>1622</v>
      </c>
    </row>
    <row r="12" customFormat="false" ht="33" hidden="false" customHeight="false" outlineLevel="0" collapsed="false">
      <c r="A12" s="62"/>
      <c r="B12" s="62"/>
      <c r="C12" s="62"/>
      <c r="D12" s="63" t="s">
        <v>1623</v>
      </c>
      <c r="E12" s="62"/>
      <c r="F12" s="62"/>
      <c r="G12" s="62" t="n">
        <v>25</v>
      </c>
      <c r="H12" s="62" t="s">
        <v>1624</v>
      </c>
      <c r="I12" s="62"/>
      <c r="J12" s="62"/>
      <c r="K12" s="62"/>
      <c r="L12" s="63" t="s">
        <v>1625</v>
      </c>
    </row>
    <row r="13" customFormat="false" ht="33" hidden="false" customHeight="false" outlineLevel="0" collapsed="false">
      <c r="A13" s="62"/>
      <c r="B13" s="62"/>
      <c r="C13" s="62"/>
      <c r="D13" s="62" t="s">
        <v>1626</v>
      </c>
      <c r="E13" s="62"/>
      <c r="F13" s="62"/>
      <c r="G13" s="62" t="s">
        <v>1627</v>
      </c>
      <c r="H13" s="62"/>
      <c r="I13" s="62"/>
      <c r="J13" s="62"/>
      <c r="K13" s="62"/>
      <c r="L13" s="63" t="s">
        <v>1628</v>
      </c>
    </row>
    <row r="14" customFormat="false" ht="33" hidden="false" customHeight="false" outlineLevel="0" collapsed="false">
      <c r="A14" s="62"/>
      <c r="B14" s="62"/>
      <c r="C14" s="62"/>
      <c r="D14" s="63" t="s">
        <v>1629</v>
      </c>
      <c r="E14" s="62"/>
      <c r="F14" s="62"/>
      <c r="G14" s="62" t="n">
        <v>9</v>
      </c>
      <c r="H14" s="62" t="s">
        <v>1630</v>
      </c>
      <c r="I14" s="62"/>
      <c r="J14" s="62"/>
      <c r="K14" s="62"/>
      <c r="L14" s="63" t="s">
        <v>1631</v>
      </c>
    </row>
    <row r="15" customFormat="false" ht="33" hidden="false" customHeight="false" outlineLevel="0" collapsed="false">
      <c r="A15" s="62"/>
      <c r="B15" s="62"/>
      <c r="C15" s="62"/>
      <c r="D15" s="63" t="s">
        <v>1632</v>
      </c>
      <c r="E15" s="62"/>
      <c r="F15" s="62"/>
      <c r="G15" s="62" t="n">
        <v>10</v>
      </c>
      <c r="H15" s="62" t="s">
        <v>798</v>
      </c>
      <c r="I15" s="62"/>
      <c r="J15" s="62"/>
      <c r="K15" s="62"/>
      <c r="L15" s="63" t="s">
        <v>1633</v>
      </c>
    </row>
    <row r="16" customFormat="false" ht="17.25" hidden="false" customHeight="false" outlineLevel="0" collapsed="false">
      <c r="A16" s="62"/>
      <c r="B16" s="62"/>
      <c r="C16" s="62"/>
      <c r="D16" s="63" t="s">
        <v>1634</v>
      </c>
      <c r="E16" s="62"/>
      <c r="F16" s="62"/>
      <c r="G16" s="62" t="n">
        <v>11</v>
      </c>
      <c r="H16" s="62" t="s">
        <v>1635</v>
      </c>
      <c r="I16" s="62"/>
      <c r="J16" s="62"/>
      <c r="K16" s="62"/>
      <c r="L16" s="63" t="s">
        <v>1636</v>
      </c>
    </row>
    <row r="17" customFormat="false" ht="33" hidden="false" customHeight="false" outlineLevel="0" collapsed="false">
      <c r="A17" s="62"/>
      <c r="B17" s="62"/>
      <c r="C17" s="62"/>
      <c r="D17" s="62" t="s">
        <v>1626</v>
      </c>
      <c r="E17" s="62"/>
      <c r="F17" s="62"/>
      <c r="G17" s="62" t="n">
        <v>20</v>
      </c>
      <c r="H17" s="62" t="s">
        <v>1637</v>
      </c>
      <c r="I17" s="62"/>
      <c r="J17" s="62"/>
      <c r="K17" s="62"/>
      <c r="L17" s="63" t="s">
        <v>1638</v>
      </c>
    </row>
    <row r="18" customFormat="false" ht="17.25" hidden="false" customHeight="false" outlineLevel="0" collapsed="false">
      <c r="A18" s="62"/>
      <c r="B18" s="62"/>
      <c r="C18" s="62"/>
      <c r="D18" s="63" t="s">
        <v>1639</v>
      </c>
      <c r="E18" s="62"/>
      <c r="F18" s="62"/>
      <c r="G18" s="62" t="s">
        <v>1640</v>
      </c>
      <c r="H18" s="62"/>
      <c r="I18" s="62"/>
      <c r="J18" s="62"/>
      <c r="K18" s="62"/>
      <c r="L18" s="62" t="s">
        <v>1641</v>
      </c>
    </row>
    <row r="19" customFormat="false" ht="33" hidden="false" customHeight="false" outlineLevel="0" collapsed="false">
      <c r="A19" s="62"/>
      <c r="B19" s="62"/>
      <c r="C19" s="62"/>
      <c r="D19" s="63" t="s">
        <v>243</v>
      </c>
      <c r="E19" s="62"/>
      <c r="F19" s="62"/>
      <c r="G19" s="64" t="n">
        <v>40635</v>
      </c>
      <c r="H19" s="62" t="s">
        <v>1619</v>
      </c>
      <c r="I19" s="62"/>
      <c r="J19" s="62"/>
      <c r="K19" s="62"/>
      <c r="L19" s="63" t="s">
        <v>1642</v>
      </c>
    </row>
    <row r="20" customFormat="false" ht="33" hidden="false" customHeight="false" outlineLevel="0" collapsed="false">
      <c r="A20" s="62"/>
      <c r="B20" s="62"/>
      <c r="C20" s="62"/>
      <c r="D20" s="63" t="s">
        <v>227</v>
      </c>
      <c r="E20" s="62"/>
      <c r="F20" s="62"/>
      <c r="G20" s="62" t="n">
        <v>5</v>
      </c>
      <c r="H20" s="62" t="s">
        <v>285</v>
      </c>
      <c r="I20" s="62"/>
      <c r="J20" s="62"/>
      <c r="K20" s="62"/>
      <c r="L20" s="63" t="s">
        <v>1643</v>
      </c>
    </row>
    <row r="21" customFormat="false" ht="33" hidden="false" customHeight="false" outlineLevel="0" collapsed="false">
      <c r="A21" s="62"/>
      <c r="B21" s="62"/>
      <c r="C21" s="62"/>
      <c r="D21" s="63" t="s">
        <v>240</v>
      </c>
      <c r="E21" s="62"/>
      <c r="F21" s="62"/>
      <c r="G21" s="64" t="n">
        <v>40725</v>
      </c>
      <c r="H21" s="62" t="s">
        <v>1644</v>
      </c>
      <c r="I21" s="62"/>
      <c r="J21" s="62"/>
      <c r="K21" s="62"/>
      <c r="L21" s="63" t="s">
        <v>1645</v>
      </c>
    </row>
    <row r="22" customFormat="false" ht="33" hidden="false" customHeight="false" outlineLevel="0" collapsed="false">
      <c r="A22" s="62"/>
      <c r="B22" s="62"/>
      <c r="C22" s="62"/>
      <c r="D22" s="63" t="s">
        <v>244</v>
      </c>
      <c r="E22" s="62"/>
      <c r="F22" s="62"/>
      <c r="G22" s="62" t="s">
        <v>267</v>
      </c>
      <c r="H22" s="62" t="s">
        <v>268</v>
      </c>
      <c r="I22" s="62"/>
      <c r="J22" s="62"/>
      <c r="K22" s="62"/>
      <c r="L22" s="63" t="s">
        <v>1646</v>
      </c>
    </row>
    <row r="23" customFormat="false" ht="33" hidden="false" customHeight="false" outlineLevel="0" collapsed="false">
      <c r="A23" s="62"/>
      <c r="B23" s="62"/>
      <c r="C23" s="62"/>
      <c r="D23" s="62" t="s">
        <v>1647</v>
      </c>
      <c r="E23" s="62"/>
      <c r="F23" s="62"/>
      <c r="G23" s="63" t="s">
        <v>1648</v>
      </c>
      <c r="H23" s="62" t="s">
        <v>1649</v>
      </c>
      <c r="I23" s="62"/>
      <c r="J23" s="62"/>
      <c r="K23" s="62"/>
      <c r="L23" s="62" t="s">
        <v>1650</v>
      </c>
    </row>
    <row r="24" customFormat="false" ht="33" hidden="false" customHeight="false" outlineLevel="0" collapsed="false">
      <c r="A24" s="62"/>
      <c r="B24" s="62"/>
      <c r="C24" s="62"/>
      <c r="D24" s="63" t="s">
        <v>1651</v>
      </c>
      <c r="E24" s="62"/>
      <c r="F24" s="62"/>
      <c r="G24" s="63" t="s">
        <v>270</v>
      </c>
      <c r="H24" s="62"/>
      <c r="I24" s="62"/>
      <c r="J24" s="62"/>
      <c r="K24" s="62"/>
      <c r="L24" s="63" t="s">
        <v>1652</v>
      </c>
    </row>
    <row r="25" customFormat="false" ht="33" hidden="false" customHeight="false" outlineLevel="0" collapsed="false">
      <c r="A25" s="62"/>
      <c r="B25" s="62"/>
      <c r="C25" s="62"/>
      <c r="D25" s="63" t="s">
        <v>250</v>
      </c>
      <c r="E25" s="62"/>
      <c r="F25" s="62"/>
      <c r="G25" s="62" t="s">
        <v>267</v>
      </c>
      <c r="H25" s="62"/>
      <c r="I25" s="62"/>
      <c r="J25" s="62"/>
      <c r="K25" s="62"/>
      <c r="L25" s="63" t="s">
        <v>1653</v>
      </c>
    </row>
    <row r="26" customFormat="false" ht="33" hidden="false" customHeight="false" outlineLevel="0" collapsed="false">
      <c r="A26" s="62"/>
      <c r="B26" s="62"/>
      <c r="C26" s="62"/>
      <c r="D26" s="63" t="s">
        <v>247</v>
      </c>
      <c r="E26" s="62"/>
      <c r="F26" s="62"/>
      <c r="G26" s="62" t="s">
        <v>1649</v>
      </c>
      <c r="H26" s="62"/>
      <c r="I26" s="62"/>
      <c r="J26" s="62"/>
      <c r="K26" s="62"/>
      <c r="L26" s="63" t="s">
        <v>1654</v>
      </c>
    </row>
    <row r="27" customFormat="false" ht="33" hidden="false" customHeight="false" outlineLevel="0" collapsed="false">
      <c r="A27" s="62"/>
      <c r="B27" s="62"/>
      <c r="C27" s="62"/>
      <c r="D27" s="63" t="s">
        <v>240</v>
      </c>
      <c r="E27" s="62"/>
      <c r="F27" s="62"/>
      <c r="G27" s="62" t="s">
        <v>267</v>
      </c>
      <c r="H27" s="62"/>
      <c r="I27" s="62"/>
      <c r="J27" s="62"/>
      <c r="K27" s="62"/>
      <c r="L27" s="63" t="s">
        <v>1655</v>
      </c>
    </row>
    <row r="28" customFormat="false" ht="33" hidden="false" customHeight="false" outlineLevel="0" collapsed="false">
      <c r="A28" s="62"/>
      <c r="B28" s="62"/>
      <c r="C28" s="62"/>
      <c r="D28" s="63" t="s">
        <v>244</v>
      </c>
      <c r="E28" s="62"/>
      <c r="F28" s="62"/>
      <c r="G28" s="62" t="s">
        <v>1656</v>
      </c>
      <c r="H28" s="62"/>
      <c r="I28" s="62"/>
      <c r="J28" s="62"/>
      <c r="K28" s="62"/>
      <c r="L28" s="63" t="s">
        <v>1657</v>
      </c>
    </row>
    <row r="29" customFormat="false" ht="33" hidden="false" customHeight="false" outlineLevel="0" collapsed="false">
      <c r="A29" s="62"/>
      <c r="B29" s="62"/>
      <c r="C29" s="62"/>
      <c r="D29" s="62" t="s">
        <v>1658</v>
      </c>
      <c r="E29" s="62"/>
      <c r="F29" s="62"/>
      <c r="G29" s="62" t="s">
        <v>1659</v>
      </c>
      <c r="H29" s="62"/>
      <c r="I29" s="62"/>
      <c r="J29" s="62"/>
      <c r="K29" s="62"/>
      <c r="L29" s="63" t="s">
        <v>1660</v>
      </c>
    </row>
    <row r="30" customFormat="false" ht="33" hidden="false" customHeight="false" outlineLevel="0" collapsed="false">
      <c r="A30" s="62"/>
      <c r="B30" s="62"/>
      <c r="C30" s="62"/>
      <c r="D30" s="63" t="s">
        <v>233</v>
      </c>
      <c r="E30" s="62"/>
      <c r="F30" s="62"/>
      <c r="G30" s="62"/>
      <c r="H30" s="62"/>
      <c r="I30" s="62"/>
      <c r="J30" s="62"/>
      <c r="K30" s="62"/>
      <c r="L30" s="62" t="s">
        <v>1661</v>
      </c>
    </row>
    <row r="31" customFormat="false" ht="33" hidden="false" customHeight="false" outlineLevel="0" collapsed="false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 t="s">
        <v>1662</v>
      </c>
    </row>
    <row r="32" customFormat="false" ht="33" hidden="false" customHeight="false" outlineLevel="0" collapsed="false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 t="s">
        <v>1663</v>
      </c>
    </row>
    <row r="33" customFormat="false" ht="33" hidden="false" customHeight="false" outlineLevel="0" collapsed="false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 t="s">
        <v>1664</v>
      </c>
    </row>
    <row r="34" customFormat="false" ht="33" hidden="false" customHeight="fals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 t="s">
        <v>1665</v>
      </c>
    </row>
    <row r="35" customFormat="false" ht="17.25" hidden="false" customHeight="false" outlineLevel="0" collapsed="false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 t="s">
        <v>1259</v>
      </c>
    </row>
    <row r="36" customFormat="false" ht="33" hidden="false" customHeight="false" outlineLevel="0" collapsed="false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 t="s">
        <v>1666</v>
      </c>
    </row>
    <row r="37" customFormat="false" ht="33" hidden="false" customHeight="false" outlineLevel="0" collapsed="false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 t="s">
        <v>1667</v>
      </c>
    </row>
    <row r="38" customFormat="false" ht="33" hidden="false" customHeight="false" outlineLevel="0" collapsed="false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 t="s">
        <v>1668</v>
      </c>
    </row>
    <row r="39" customFormat="false" ht="33" hidden="false" customHeight="false" outlineLevel="0" collapsed="false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 t="s">
        <v>1669</v>
      </c>
    </row>
    <row r="40" customFormat="false" ht="33" hidden="false" customHeight="fals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 t="s">
        <v>1670</v>
      </c>
    </row>
    <row r="41" customFormat="false" ht="33" hidden="false" customHeight="fals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 t="s">
        <v>1671</v>
      </c>
    </row>
    <row r="42" customFormat="false" ht="33" hidden="false" customHeight="fals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 t="s">
        <v>1672</v>
      </c>
    </row>
    <row r="43" customFormat="false" ht="33" hidden="false" customHeight="fals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 t="s">
        <v>1673</v>
      </c>
    </row>
    <row r="44" customFormat="false" ht="33" hidden="false" customHeight="false" outlineLevel="0" collapsed="false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 t="s">
        <v>1674</v>
      </c>
    </row>
    <row r="45" customFormat="false" ht="33" hidden="false" customHeight="false" outlineLevel="0" collapsed="false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3" t="s">
        <v>1675</v>
      </c>
    </row>
    <row r="46" customFormat="false" ht="33" hidden="false" customHeight="false" outlineLevel="0" collapsed="false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3" t="s">
        <v>1676</v>
      </c>
    </row>
    <row r="47" customFormat="false" ht="17.25" hidden="false" customHeight="false" outlineLevel="0" collapsed="false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3" t="s">
        <v>838</v>
      </c>
    </row>
    <row r="48" customFormat="false" ht="33" hidden="false" customHeight="false" outlineLevel="0" collapsed="false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 t="s">
        <v>1677</v>
      </c>
    </row>
    <row r="49" customFormat="false" ht="33" hidden="false" customHeight="false" outlineLevel="0" collapsed="false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3" t="s">
        <v>1678</v>
      </c>
    </row>
    <row r="50" customFormat="false" ht="33" hidden="false" customHeight="false" outlineLevel="0" collapsed="false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3" t="s">
        <v>1679</v>
      </c>
    </row>
    <row r="51" customFormat="false" ht="33" hidden="false" customHeight="false" outlineLevel="0" collapsed="false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3" t="s">
        <v>1680</v>
      </c>
    </row>
    <row r="52" customFormat="false" ht="33" hidden="false" customHeight="false" outlineLevel="0" collapsed="false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 t="s">
        <v>1681</v>
      </c>
    </row>
    <row r="53" customFormat="false" ht="33" hidden="false" customHeight="fals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3" t="s">
        <v>1682</v>
      </c>
    </row>
    <row r="54" customFormat="false" ht="33" hidden="false" customHeight="fals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3" t="s">
        <v>1683</v>
      </c>
    </row>
    <row r="55" customFormat="false" ht="33" hidden="false" customHeight="fals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3" t="s">
        <v>1684</v>
      </c>
    </row>
    <row r="56" customFormat="false" ht="33" hidden="false" customHeight="fals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 t="s">
        <v>1685</v>
      </c>
    </row>
    <row r="57" customFormat="false" ht="33" hidden="false" customHeight="false" outlineLevel="0" collapsed="false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3" t="s">
        <v>866</v>
      </c>
    </row>
    <row r="58" customFormat="false" ht="17.25" hidden="false" customHeight="false" outlineLevel="0" collapsed="false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3" t="s">
        <v>867</v>
      </c>
    </row>
    <row r="59" customFormat="false" ht="17.25" hidden="false" customHeight="fals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3" t="s">
        <v>838</v>
      </c>
    </row>
    <row r="60" customFormat="false" ht="17.25" hidden="false" customHeight="false" outlineLevel="0" collapsed="false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3" t="s">
        <v>838</v>
      </c>
    </row>
    <row r="61" customFormat="false" ht="17.25" hidden="false" customHeight="false" outlineLevel="0" collapsed="false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 t="s">
        <v>1686</v>
      </c>
    </row>
    <row r="62" customFormat="false" ht="33" hidden="false" customHeight="false" outlineLevel="0" collapsed="false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3" t="s">
        <v>1687</v>
      </c>
    </row>
    <row r="63" customFormat="false" ht="33" hidden="false" customHeight="false" outlineLevel="0" collapsed="false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3" t="s">
        <v>1688</v>
      </c>
    </row>
    <row r="64" customFormat="false" ht="33" hidden="false" customHeight="false" outlineLevel="0" collapsed="false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3" t="s">
        <v>1689</v>
      </c>
    </row>
    <row r="65" customFormat="false" ht="17.25" hidden="false" customHeight="false" outlineLevel="0" collapsed="false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3" t="s">
        <v>1690</v>
      </c>
    </row>
    <row r="66" customFormat="false" ht="33" hidden="false" customHeight="false" outlineLevel="0" collapsed="false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 t="s">
        <v>1691</v>
      </c>
    </row>
    <row r="67" customFormat="false" ht="48.75" hidden="false" customHeight="false" outlineLevel="0" collapsed="false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 t="s">
        <v>1692</v>
      </c>
    </row>
    <row r="68" customFormat="false" ht="33" hidden="false" customHeight="false" outlineLevel="0" collapsed="false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3" t="s">
        <v>1693</v>
      </c>
    </row>
    <row r="69" customFormat="false" ht="17.25" hidden="false" customHeight="false" outlineLevel="0" collapsed="false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3" t="s">
        <v>838</v>
      </c>
    </row>
    <row r="70" customFormat="false" ht="17.25" hidden="false" customHeight="false" outlineLevel="0" collapsed="false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3" t="s">
        <v>838</v>
      </c>
    </row>
    <row r="71" customFormat="false" ht="33" hidden="false" customHeight="false" outlineLevel="0" collapsed="false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3" t="s">
        <v>1694</v>
      </c>
    </row>
    <row r="72" customFormat="false" ht="33" hidden="false" customHeight="false" outlineLevel="0" collapsed="false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3" t="s">
        <v>1695</v>
      </c>
    </row>
    <row r="73" customFormat="false" ht="33" hidden="false" customHeight="false" outlineLevel="0" collapsed="false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3" t="s">
        <v>1696</v>
      </c>
    </row>
    <row r="74" customFormat="false" ht="33" hidden="false" customHeight="false" outlineLevel="0" collapsed="false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3" t="s">
        <v>1697</v>
      </c>
    </row>
    <row r="75" customFormat="false" ht="17.25" hidden="false" customHeight="false" outlineLevel="0" collapsed="false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 t="s">
        <v>1698</v>
      </c>
    </row>
    <row r="76" customFormat="false" ht="33" hidden="false" customHeight="false" outlineLevel="0" collapsed="false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3" t="s">
        <v>1699</v>
      </c>
    </row>
    <row r="77" customFormat="false" ht="17.25" hidden="false" customHeight="false" outlineLevel="0" collapsed="false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3" t="s">
        <v>1700</v>
      </c>
    </row>
    <row r="78" customFormat="false" ht="33" hidden="false" customHeight="false" outlineLevel="0" collapsed="false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3" t="s">
        <v>1701</v>
      </c>
    </row>
    <row r="79" customFormat="false" ht="33" hidden="false" customHeight="false" outlineLevel="0" collapsed="false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 t="s">
        <v>1702</v>
      </c>
    </row>
    <row r="80" customFormat="false" ht="33" hidden="false" customHeight="false" outlineLevel="0" collapsed="false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3" t="s">
        <v>1703</v>
      </c>
    </row>
    <row r="81" customFormat="false" ht="33" hidden="false" customHeight="false" outlineLevel="0" collapsed="false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3" t="s">
        <v>1704</v>
      </c>
    </row>
    <row r="82" customFormat="false" ht="17.25" hidden="false" customHeight="false" outlineLevel="0" collapsed="false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3" t="s">
        <v>1705</v>
      </c>
    </row>
    <row r="83" customFormat="false" ht="33" hidden="false" customHeight="false" outlineLevel="0" collapsed="false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3" t="s">
        <v>1706</v>
      </c>
    </row>
    <row r="84" customFormat="false" ht="33" hidden="false" customHeight="false" outlineLevel="0" collapsed="false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 t="s">
        <v>1707</v>
      </c>
    </row>
    <row r="85" customFormat="false" ht="33" hidden="false" customHeight="false" outlineLevel="0" collapsed="false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 t="s">
        <v>1708</v>
      </c>
    </row>
    <row r="86" customFormat="false" ht="33" hidden="false" customHeight="false" outlineLevel="0" collapsed="false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 t="s">
        <v>1709</v>
      </c>
    </row>
    <row r="87" customFormat="false" ht="33" hidden="false" customHeight="false" outlineLevel="0" collapsed="false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 t="s">
        <v>1710</v>
      </c>
    </row>
    <row r="88" customFormat="false" ht="33" hidden="false" customHeight="false" outlineLevel="0" collapsed="false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3" t="s">
        <v>1711</v>
      </c>
    </row>
    <row r="89" customFormat="false" ht="33" hidden="false" customHeight="false" outlineLevel="0" collapsed="false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 t="s">
        <v>1712</v>
      </c>
    </row>
    <row r="90" customFormat="false" ht="33" hidden="false" customHeight="false" outlineLevel="0" collapsed="false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 t="s">
        <v>1713</v>
      </c>
    </row>
    <row r="91" customFormat="false" ht="33" hidden="false" customHeight="false" outlineLevel="0" collapsed="false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3" t="s">
        <v>1714</v>
      </c>
    </row>
    <row r="92" customFormat="false" ht="33" hidden="false" customHeight="false" outlineLevel="0" collapsed="false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3" t="s">
        <v>1715</v>
      </c>
    </row>
    <row r="93" customFormat="false" ht="33" hidden="false" customHeight="false" outlineLevel="0" collapsed="false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3" t="s">
        <v>1716</v>
      </c>
    </row>
    <row r="94" customFormat="false" ht="17.25" hidden="false" customHeight="false" outlineLevel="0" collapsed="false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3" t="s">
        <v>838</v>
      </c>
    </row>
    <row r="95" customFormat="false" ht="17.25" hidden="false" customHeight="false" outlineLevel="0" collapsed="false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3" t="s">
        <v>838</v>
      </c>
    </row>
    <row r="96" customFormat="false" ht="17.25" hidden="false" customHeight="false" outlineLevel="0" collapsed="false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3" t="s">
        <v>1717</v>
      </c>
    </row>
    <row r="97" customFormat="false" ht="33" hidden="false" customHeight="false" outlineLevel="0" collapsed="false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3" t="s">
        <v>1718</v>
      </c>
    </row>
    <row r="98" customFormat="false" ht="48.75" hidden="false" customHeight="false" outlineLevel="0" collapsed="false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3" t="s">
        <v>1719</v>
      </c>
    </row>
    <row r="99" customFormat="false" ht="17.25" hidden="false" customHeight="false" outlineLevel="0" collapsed="false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3" t="s">
        <v>1720</v>
      </c>
    </row>
    <row r="100" customFormat="false" ht="17.25" hidden="false" customHeight="false" outlineLevel="0" collapsed="false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3" t="s">
        <v>1721</v>
      </c>
    </row>
    <row r="101" customFormat="false" ht="33" hidden="false" customHeight="false" outlineLevel="0" collapsed="false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3" t="s">
        <v>1722</v>
      </c>
    </row>
    <row r="102" customFormat="false" ht="17.25" hidden="false" customHeight="false" outlineLevel="0" collapsed="false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3" t="s">
        <v>1723</v>
      </c>
    </row>
    <row r="103" customFormat="false" ht="33" hidden="false" customHeight="false" outlineLevel="0" collapsed="false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3" t="s">
        <v>1724</v>
      </c>
    </row>
    <row r="104" customFormat="false" ht="33" hidden="false" customHeight="false" outlineLevel="0" collapsed="false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 t="s">
        <v>1725</v>
      </c>
    </row>
    <row r="105" customFormat="false" ht="33" hidden="false" customHeight="false" outlineLevel="0" collapsed="false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3" t="s">
        <v>1726</v>
      </c>
    </row>
    <row r="106" customFormat="false" ht="17.25" hidden="false" customHeight="false" outlineLevel="0" collapsed="false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3" t="s">
        <v>956</v>
      </c>
    </row>
    <row r="107" customFormat="false" ht="17.25" hidden="false" customHeight="false" outlineLevel="0" collapsed="false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3" t="s">
        <v>838</v>
      </c>
    </row>
    <row r="108" customFormat="false" ht="17.25" hidden="false" customHeight="false" outlineLevel="0" collapsed="false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3" t="s">
        <v>838</v>
      </c>
    </row>
    <row r="109" customFormat="false" ht="33" hidden="false" customHeight="false" outlineLevel="0" collapsed="false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3" t="s">
        <v>1727</v>
      </c>
    </row>
    <row r="110" customFormat="false" ht="33" hidden="false" customHeight="false" outlineLevel="0" collapsed="false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 t="s">
        <v>1728</v>
      </c>
    </row>
    <row r="111" customFormat="false" ht="33" hidden="false" customHeight="false" outlineLevel="0" collapsed="false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3" t="s">
        <v>1729</v>
      </c>
    </row>
    <row r="112" customFormat="false" ht="17.25" hidden="false" customHeight="false" outlineLevel="0" collapsed="false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3" t="s">
        <v>1730</v>
      </c>
    </row>
    <row r="113" customFormat="false" ht="33" hidden="false" customHeight="false" outlineLevel="0" collapsed="false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3" t="s">
        <v>1731</v>
      </c>
    </row>
    <row r="114" customFormat="false" ht="33" hidden="false" customHeight="false" outlineLevel="0" collapsed="false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 t="s">
        <v>1732</v>
      </c>
    </row>
    <row r="115" customFormat="false" ht="33" hidden="false" customHeight="false" outlineLevel="0" collapsed="false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 t="s">
        <v>1733</v>
      </c>
    </row>
    <row r="116" customFormat="false" ht="17.25" hidden="false" customHeight="false" outlineLevel="0" collapsed="false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3" t="s">
        <v>1734</v>
      </c>
    </row>
    <row r="117" customFormat="false" ht="33" hidden="false" customHeight="false" outlineLevel="0" collapsed="false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 t="s">
        <v>1735</v>
      </c>
    </row>
    <row r="118" customFormat="false" ht="33" hidden="false" customHeight="false" outlineLevel="0" collapsed="false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3" t="s">
        <v>1736</v>
      </c>
    </row>
    <row r="119" customFormat="false" ht="17.25" hidden="false" customHeight="false" outlineLevel="0" collapsed="false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3" t="s">
        <v>1737</v>
      </c>
    </row>
    <row r="120" customFormat="false" ht="33" hidden="false" customHeight="false" outlineLevel="0" collapsed="false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 t="s">
        <v>1738</v>
      </c>
    </row>
    <row r="121" customFormat="false" ht="33" hidden="false" customHeight="false" outlineLevel="0" collapsed="false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 t="s">
        <v>1739</v>
      </c>
    </row>
    <row r="122" customFormat="false" ht="33" hidden="false" customHeight="false" outlineLevel="0" collapsed="false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 t="s">
        <v>1740</v>
      </c>
    </row>
    <row r="123" customFormat="false" ht="17.25" hidden="false" customHeight="false" outlineLevel="0" collapsed="false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 t="s">
        <v>1741</v>
      </c>
    </row>
    <row r="124" customFormat="false" ht="17.25" hidden="false" customHeight="false" outlineLevel="0" collapsed="false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3" t="s">
        <v>1742</v>
      </c>
    </row>
    <row r="125" customFormat="false" ht="33" hidden="false" customHeight="false" outlineLevel="0" collapsed="false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 t="s">
        <v>1743</v>
      </c>
    </row>
    <row r="126" customFormat="false" ht="33" hidden="false" customHeight="false" outlineLevel="0" collapsed="false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3" t="s">
        <v>1744</v>
      </c>
    </row>
    <row r="127" customFormat="false" ht="33" hidden="false" customHeight="false" outlineLevel="0" collapsed="false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3" t="s">
        <v>1745</v>
      </c>
    </row>
    <row r="128" customFormat="false" ht="33" hidden="false" customHeight="false" outlineLevel="0" collapsed="false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3" t="s">
        <v>1746</v>
      </c>
    </row>
    <row r="129" customFormat="false" ht="33" hidden="false" customHeight="false" outlineLevel="0" collapsed="false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 t="s">
        <v>1747</v>
      </c>
    </row>
    <row r="130" customFormat="false" ht="33" hidden="false" customHeight="false" outlineLevel="0" collapsed="false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3" t="s">
        <v>1748</v>
      </c>
    </row>
    <row r="131" customFormat="false" ht="17.25" hidden="false" customHeight="false" outlineLevel="0" collapsed="false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3" t="s">
        <v>1749</v>
      </c>
    </row>
    <row r="132" customFormat="false" ht="33" hidden="false" customHeight="false" outlineLevel="0" collapsed="false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3" t="s">
        <v>1750</v>
      </c>
    </row>
    <row r="133" customFormat="false" ht="33" hidden="false" customHeight="false" outlineLevel="0" collapsed="false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3" t="s">
        <v>1751</v>
      </c>
    </row>
    <row r="134" customFormat="false" ht="33" hidden="false" customHeight="false" outlineLevel="0" collapsed="false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3" t="s">
        <v>1752</v>
      </c>
    </row>
    <row r="135" customFormat="false" ht="17.25" hidden="false" customHeight="false" outlineLevel="0" collapsed="false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3" t="s">
        <v>838</v>
      </c>
    </row>
    <row r="136" customFormat="false" ht="15.75" hidden="false" customHeight="false" outlineLevel="0" collapsed="false">
      <c r="A136" s="3" t="s">
        <v>211</v>
      </c>
    </row>
    <row r="143" customFormat="false" ht="15.75" hidden="false" customHeight="false" outlineLevel="0" collapsed="false">
      <c r="A143" s="65" t="s">
        <v>281</v>
      </c>
    </row>
  </sheetData>
  <hyperlinks>
    <hyperlink ref="M1" location="Index!A1" display="Index"/>
    <hyperlink ref="A136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false" showOutlineSymbols="true" defaultGridColor="true" view="normal" topLeftCell="A108" colorId="64" zoomScale="100" zoomScaleNormal="100" zoomScalePageLayoutView="100" workbookViewId="0">
      <selection pane="topLeft" activeCell="A114" activeCellId="0" sqref="A114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2.29"/>
    <col collapsed="false" customWidth="true" hidden="false" outlineLevel="0" max="5" min="5" style="0" width="12.57"/>
    <col collapsed="false" customWidth="true" hidden="false" outlineLevel="0" max="12" min="12" style="0" width="13.57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339</v>
      </c>
      <c r="B4" s="62" t="n">
        <v>709</v>
      </c>
      <c r="C4" s="63" t="s">
        <v>1604</v>
      </c>
      <c r="D4" s="63" t="s">
        <v>1753</v>
      </c>
      <c r="E4" s="63" t="s">
        <v>1754</v>
      </c>
      <c r="F4" s="62"/>
      <c r="G4" s="62" t="s">
        <v>1755</v>
      </c>
      <c r="H4" s="62"/>
      <c r="I4" s="62"/>
      <c r="J4" s="62"/>
      <c r="K4" s="62"/>
      <c r="L4" s="63" t="s">
        <v>1756</v>
      </c>
    </row>
    <row r="5" customFormat="false" ht="48.75" hidden="false" customHeight="false" outlineLevel="0" collapsed="false">
      <c r="A5" s="62" t="s">
        <v>231</v>
      </c>
      <c r="B5" s="62"/>
      <c r="C5" s="62"/>
      <c r="D5" s="63" t="s">
        <v>1757</v>
      </c>
      <c r="E5" s="63" t="s">
        <v>233</v>
      </c>
      <c r="F5" s="62"/>
      <c r="G5" s="62" t="s">
        <v>1758</v>
      </c>
      <c r="H5" s="62" t="s">
        <v>1759</v>
      </c>
      <c r="I5" s="62"/>
      <c r="J5" s="62"/>
      <c r="K5" s="62"/>
      <c r="L5" s="62" t="s">
        <v>1760</v>
      </c>
    </row>
    <row r="6" customFormat="false" ht="33" hidden="false" customHeight="false" outlineLevel="0" collapsed="false">
      <c r="A6" s="62" t="n">
        <v>318</v>
      </c>
      <c r="B6" s="62"/>
      <c r="C6" s="62"/>
      <c r="D6" s="63" t="s">
        <v>1761</v>
      </c>
      <c r="E6" s="63" t="s">
        <v>237</v>
      </c>
      <c r="F6" s="62"/>
      <c r="G6" s="62"/>
      <c r="H6" s="62"/>
      <c r="I6" s="62"/>
      <c r="J6" s="62"/>
      <c r="K6" s="62"/>
      <c r="L6" s="63" t="s">
        <v>1762</v>
      </c>
    </row>
    <row r="7" customFormat="false" ht="33" hidden="false" customHeight="false" outlineLevel="0" collapsed="false">
      <c r="A7" s="62"/>
      <c r="B7" s="62"/>
      <c r="C7" s="62"/>
      <c r="D7" s="62" t="s">
        <v>1763</v>
      </c>
      <c r="E7" s="62"/>
      <c r="F7" s="62"/>
      <c r="G7" s="62"/>
      <c r="H7" s="62"/>
      <c r="I7" s="62"/>
      <c r="J7" s="62"/>
      <c r="K7" s="62"/>
      <c r="L7" s="63" t="s">
        <v>1764</v>
      </c>
    </row>
    <row r="8" customFormat="false" ht="33" hidden="false" customHeight="false" outlineLevel="0" collapsed="false">
      <c r="A8" s="62"/>
      <c r="B8" s="62"/>
      <c r="C8" s="62"/>
      <c r="D8" s="63" t="s">
        <v>1765</v>
      </c>
      <c r="E8" s="62"/>
      <c r="F8" s="62"/>
      <c r="G8" s="62"/>
      <c r="H8" s="62"/>
      <c r="I8" s="62"/>
      <c r="J8" s="62"/>
      <c r="K8" s="62"/>
      <c r="L8" s="63" t="s">
        <v>1766</v>
      </c>
    </row>
    <row r="9" customFormat="false" ht="33" hidden="false" customHeight="false" outlineLevel="0" collapsed="false">
      <c r="A9" s="62"/>
      <c r="B9" s="62"/>
      <c r="C9" s="62"/>
      <c r="D9" s="63" t="s">
        <v>1767</v>
      </c>
      <c r="E9" s="62"/>
      <c r="F9" s="62"/>
      <c r="G9" s="62"/>
      <c r="H9" s="62"/>
      <c r="I9" s="62"/>
      <c r="J9" s="62"/>
      <c r="K9" s="62"/>
      <c r="L9" s="63" t="s">
        <v>1768</v>
      </c>
    </row>
    <row r="10" customFormat="false" ht="33" hidden="false" customHeight="false" outlineLevel="0" collapsed="false">
      <c r="A10" s="62"/>
      <c r="B10" s="62"/>
      <c r="C10" s="62"/>
      <c r="D10" s="63" t="s">
        <v>1761</v>
      </c>
      <c r="E10" s="62"/>
      <c r="F10" s="62"/>
      <c r="G10" s="62"/>
      <c r="H10" s="62"/>
      <c r="I10" s="62"/>
      <c r="J10" s="62"/>
      <c r="K10" s="62"/>
      <c r="L10" s="62" t="s">
        <v>1769</v>
      </c>
    </row>
    <row r="11" customFormat="false" ht="33" hidden="false" customHeight="false" outlineLevel="0" collapsed="false">
      <c r="A11" s="62"/>
      <c r="B11" s="62"/>
      <c r="C11" s="62"/>
      <c r="D11" s="62" t="s">
        <v>1770</v>
      </c>
      <c r="E11" s="62"/>
      <c r="F11" s="62"/>
      <c r="G11" s="62"/>
      <c r="H11" s="62"/>
      <c r="I11" s="62"/>
      <c r="J11" s="62"/>
      <c r="K11" s="62"/>
      <c r="L11" s="63" t="s">
        <v>1259</v>
      </c>
    </row>
    <row r="12" customFormat="false" ht="48.75" hidden="false" customHeight="false" outlineLevel="0" collapsed="false">
      <c r="A12" s="62"/>
      <c r="B12" s="62"/>
      <c r="C12" s="62"/>
      <c r="D12" s="63" t="s">
        <v>1771</v>
      </c>
      <c r="E12" s="62"/>
      <c r="F12" s="62"/>
      <c r="G12" s="62"/>
      <c r="H12" s="62"/>
      <c r="I12" s="62"/>
      <c r="J12" s="62"/>
      <c r="K12" s="62"/>
      <c r="L12" s="63" t="s">
        <v>1772</v>
      </c>
    </row>
    <row r="13" customFormat="false" ht="33" hidden="false" customHeight="false" outlineLevel="0" collapsed="false">
      <c r="A13" s="62"/>
      <c r="B13" s="62"/>
      <c r="C13" s="62"/>
      <c r="D13" s="63" t="s">
        <v>1773</v>
      </c>
      <c r="E13" s="62"/>
      <c r="F13" s="62"/>
      <c r="G13" s="62"/>
      <c r="H13" s="62"/>
      <c r="I13" s="62"/>
      <c r="J13" s="62"/>
      <c r="K13" s="62"/>
      <c r="L13" s="63" t="s">
        <v>1774</v>
      </c>
    </row>
    <row r="14" customFormat="false" ht="17.25" hidden="false" customHeight="false" outlineLevel="0" collapsed="false">
      <c r="A14" s="62"/>
      <c r="B14" s="62"/>
      <c r="C14" s="62"/>
      <c r="D14" s="63" t="s">
        <v>1775</v>
      </c>
      <c r="E14" s="62"/>
      <c r="F14" s="62"/>
      <c r="G14" s="62"/>
      <c r="H14" s="62"/>
      <c r="I14" s="62"/>
      <c r="J14" s="62"/>
      <c r="K14" s="62"/>
      <c r="L14" s="63" t="s">
        <v>838</v>
      </c>
    </row>
    <row r="15" customFormat="false" ht="33" hidden="false" customHeight="false" outlineLevel="0" collapsed="false">
      <c r="A15" s="62"/>
      <c r="B15" s="62"/>
      <c r="C15" s="62"/>
      <c r="D15" s="62" t="s">
        <v>1776</v>
      </c>
      <c r="E15" s="62"/>
      <c r="F15" s="62"/>
      <c r="G15" s="62"/>
      <c r="H15" s="62"/>
      <c r="I15" s="62"/>
      <c r="J15" s="62"/>
      <c r="K15" s="62"/>
      <c r="L15" s="63" t="s">
        <v>1579</v>
      </c>
    </row>
    <row r="16" customFormat="false" ht="33" hidden="false" customHeight="false" outlineLevel="0" collapsed="false">
      <c r="A16" s="62"/>
      <c r="B16" s="62"/>
      <c r="C16" s="62"/>
      <c r="D16" s="63" t="s">
        <v>1777</v>
      </c>
      <c r="E16" s="62"/>
      <c r="F16" s="62"/>
      <c r="G16" s="62"/>
      <c r="H16" s="62"/>
      <c r="I16" s="62"/>
      <c r="J16" s="62"/>
      <c r="K16" s="62"/>
      <c r="L16" s="63" t="s">
        <v>1581</v>
      </c>
    </row>
    <row r="17" customFormat="false" ht="48.75" hidden="false" customHeight="false" outlineLevel="0" collapsed="false">
      <c r="A17" s="62"/>
      <c r="B17" s="62"/>
      <c r="C17" s="62"/>
      <c r="D17" s="63" t="s">
        <v>1123</v>
      </c>
      <c r="E17" s="62"/>
      <c r="F17" s="62"/>
      <c r="G17" s="62"/>
      <c r="H17" s="62"/>
      <c r="I17" s="62"/>
      <c r="J17" s="62"/>
      <c r="K17" s="62"/>
      <c r="L17" s="63" t="s">
        <v>1583</v>
      </c>
    </row>
    <row r="18" customFormat="false" ht="48.75" hidden="false" customHeight="false" outlineLevel="0" collapsed="false">
      <c r="A18" s="62"/>
      <c r="B18" s="62"/>
      <c r="C18" s="62"/>
      <c r="D18" s="63" t="s">
        <v>1778</v>
      </c>
      <c r="E18" s="62"/>
      <c r="F18" s="62"/>
      <c r="G18" s="62"/>
      <c r="H18" s="62"/>
      <c r="I18" s="62"/>
      <c r="J18" s="62"/>
      <c r="K18" s="62"/>
      <c r="L18" s="63" t="s">
        <v>1584</v>
      </c>
    </row>
    <row r="19" customFormat="false" ht="33" hidden="false" customHeight="false" outlineLevel="0" collapsed="false">
      <c r="A19" s="62"/>
      <c r="B19" s="62"/>
      <c r="C19" s="62"/>
      <c r="D19" s="62" t="s">
        <v>1779</v>
      </c>
      <c r="E19" s="62"/>
      <c r="F19" s="62"/>
      <c r="G19" s="62"/>
      <c r="H19" s="62"/>
      <c r="I19" s="62"/>
      <c r="J19" s="62"/>
      <c r="K19" s="62"/>
      <c r="L19" s="63" t="s">
        <v>1586</v>
      </c>
    </row>
    <row r="20" customFormat="false" ht="48.75" hidden="false" customHeight="false" outlineLevel="0" collapsed="false">
      <c r="A20" s="62"/>
      <c r="B20" s="62"/>
      <c r="C20" s="62"/>
      <c r="D20" s="63" t="s">
        <v>1780</v>
      </c>
      <c r="E20" s="62"/>
      <c r="F20" s="62"/>
      <c r="G20" s="62"/>
      <c r="H20" s="62"/>
      <c r="I20" s="62"/>
      <c r="J20" s="62"/>
      <c r="K20" s="62"/>
      <c r="L20" s="62" t="s">
        <v>1587</v>
      </c>
    </row>
    <row r="21" customFormat="false" ht="33" hidden="false" customHeight="false" outlineLevel="0" collapsed="false">
      <c r="A21" s="62"/>
      <c r="B21" s="62"/>
      <c r="C21" s="62"/>
      <c r="D21" s="63" t="s">
        <v>1781</v>
      </c>
      <c r="E21" s="62"/>
      <c r="F21" s="62"/>
      <c r="G21" s="62"/>
      <c r="H21" s="62"/>
      <c r="I21" s="62"/>
      <c r="J21" s="62"/>
      <c r="K21" s="62"/>
      <c r="L21" s="63" t="s">
        <v>1588</v>
      </c>
    </row>
    <row r="22" customFormat="false" ht="33" hidden="false" customHeight="false" outlineLevel="0" collapsed="false">
      <c r="A22" s="62"/>
      <c r="B22" s="62"/>
      <c r="C22" s="62"/>
      <c r="D22" s="63" t="s">
        <v>1782</v>
      </c>
      <c r="E22" s="62"/>
      <c r="F22" s="62"/>
      <c r="G22" s="62"/>
      <c r="H22" s="62"/>
      <c r="I22" s="62"/>
      <c r="J22" s="62"/>
      <c r="K22" s="62"/>
      <c r="L22" s="62" t="s">
        <v>1589</v>
      </c>
    </row>
    <row r="23" customFormat="false" ht="33" hidden="false" customHeight="false" outlineLevel="0" collapsed="false">
      <c r="A23" s="62"/>
      <c r="B23" s="62"/>
      <c r="C23" s="62"/>
      <c r="D23" s="63" t="s">
        <v>968</v>
      </c>
      <c r="E23" s="62"/>
      <c r="F23" s="62"/>
      <c r="G23" s="62"/>
      <c r="H23" s="62"/>
      <c r="I23" s="62"/>
      <c r="J23" s="62"/>
      <c r="K23" s="62"/>
      <c r="L23" s="62" t="s">
        <v>1590</v>
      </c>
    </row>
    <row r="24" customFormat="false" ht="33" hidden="false" customHeight="false" outlineLevel="0" collapsed="false">
      <c r="A24" s="62"/>
      <c r="B24" s="62"/>
      <c r="C24" s="62"/>
      <c r="D24" s="63" t="s">
        <v>1783</v>
      </c>
      <c r="E24" s="62"/>
      <c r="F24" s="62"/>
      <c r="G24" s="62"/>
      <c r="H24" s="62"/>
      <c r="I24" s="62"/>
      <c r="J24" s="62"/>
      <c r="K24" s="62"/>
      <c r="L24" s="63" t="s">
        <v>1591</v>
      </c>
    </row>
    <row r="25" customFormat="false" ht="33" hidden="false" customHeight="false" outlineLevel="0" collapsed="false">
      <c r="A25" s="62"/>
      <c r="B25" s="62"/>
      <c r="C25" s="62"/>
      <c r="D25" s="63" t="s">
        <v>356</v>
      </c>
      <c r="E25" s="62"/>
      <c r="F25" s="62"/>
      <c r="G25" s="62"/>
      <c r="H25" s="62"/>
      <c r="I25" s="62"/>
      <c r="J25" s="62"/>
      <c r="K25" s="62"/>
      <c r="L25" s="62" t="s">
        <v>1592</v>
      </c>
    </row>
    <row r="26" customFormat="false" ht="33" hidden="false" customHeight="false" outlineLevel="0" collapsed="false">
      <c r="A26" s="62"/>
      <c r="B26" s="62"/>
      <c r="C26" s="62"/>
      <c r="D26" s="62" t="s">
        <v>1784</v>
      </c>
      <c r="E26" s="62"/>
      <c r="F26" s="62"/>
      <c r="G26" s="62"/>
      <c r="H26" s="62"/>
      <c r="I26" s="62"/>
      <c r="J26" s="62"/>
      <c r="K26" s="62"/>
      <c r="L26" s="63" t="s">
        <v>1593</v>
      </c>
    </row>
    <row r="27" customFormat="false" ht="48.75" hidden="false" customHeight="false" outlineLevel="0" collapsed="false">
      <c r="A27" s="62"/>
      <c r="B27" s="62"/>
      <c r="C27" s="62"/>
      <c r="D27" s="63" t="s">
        <v>1785</v>
      </c>
      <c r="E27" s="62"/>
      <c r="F27" s="62"/>
      <c r="G27" s="62"/>
      <c r="H27" s="62"/>
      <c r="I27" s="62"/>
      <c r="J27" s="62"/>
      <c r="K27" s="62"/>
      <c r="L27" s="63" t="s">
        <v>1594</v>
      </c>
    </row>
    <row r="28" customFormat="false" ht="33" hidden="false" customHeight="false" outlineLevel="0" collapsed="false">
      <c r="A28" s="62"/>
      <c r="B28" s="62"/>
      <c r="C28" s="62"/>
      <c r="D28" s="63" t="s">
        <v>1786</v>
      </c>
      <c r="E28" s="62"/>
      <c r="F28" s="62"/>
      <c r="G28" s="62"/>
      <c r="H28" s="62"/>
      <c r="I28" s="62"/>
      <c r="J28" s="62"/>
      <c r="K28" s="62"/>
      <c r="L28" s="63" t="s">
        <v>1595</v>
      </c>
    </row>
    <row r="29" customFormat="false" ht="33" hidden="false" customHeight="false" outlineLevel="0" collapsed="false">
      <c r="A29" s="62"/>
      <c r="B29" s="62"/>
      <c r="C29" s="62"/>
      <c r="D29" s="63" t="s">
        <v>1787</v>
      </c>
      <c r="E29" s="62"/>
      <c r="F29" s="62"/>
      <c r="G29" s="62"/>
      <c r="H29" s="62"/>
      <c r="I29" s="62"/>
      <c r="J29" s="62"/>
      <c r="K29" s="62"/>
      <c r="L29" s="63" t="s">
        <v>1596</v>
      </c>
    </row>
    <row r="30" customFormat="false" ht="33" hidden="false" customHeight="false" outlineLevel="0" collapsed="false">
      <c r="A30" s="62"/>
      <c r="B30" s="62"/>
      <c r="C30" s="62"/>
      <c r="D30" s="63" t="s">
        <v>973</v>
      </c>
      <c r="E30" s="62"/>
      <c r="F30" s="62"/>
      <c r="G30" s="62"/>
      <c r="H30" s="62"/>
      <c r="I30" s="62"/>
      <c r="J30" s="62"/>
      <c r="K30" s="62"/>
      <c r="L30" s="63" t="s">
        <v>1597</v>
      </c>
    </row>
    <row r="31" customFormat="false" ht="33" hidden="false" customHeight="false" outlineLevel="0" collapsed="false">
      <c r="A31" s="62"/>
      <c r="B31" s="62"/>
      <c r="C31" s="62"/>
      <c r="D31" s="63" t="s">
        <v>1788</v>
      </c>
      <c r="E31" s="62"/>
      <c r="F31" s="62"/>
      <c r="G31" s="62"/>
      <c r="H31" s="62"/>
      <c r="I31" s="62"/>
      <c r="J31" s="62"/>
      <c r="K31" s="62"/>
      <c r="L31" s="63" t="s">
        <v>1598</v>
      </c>
    </row>
    <row r="32" customFormat="false" ht="33" hidden="false" customHeight="false" outlineLevel="0" collapsed="false">
      <c r="A32" s="62"/>
      <c r="B32" s="62"/>
      <c r="C32" s="62"/>
      <c r="D32" s="63" t="s">
        <v>356</v>
      </c>
      <c r="E32" s="62"/>
      <c r="F32" s="62"/>
      <c r="G32" s="62"/>
      <c r="H32" s="62"/>
      <c r="I32" s="62"/>
      <c r="J32" s="62"/>
      <c r="K32" s="62"/>
      <c r="L32" s="63" t="s">
        <v>1599</v>
      </c>
    </row>
    <row r="33" customFormat="false" ht="33" hidden="false" customHeight="false" outlineLevel="0" collapsed="false">
      <c r="A33" s="62"/>
      <c r="B33" s="62"/>
      <c r="C33" s="62"/>
      <c r="D33" s="62" t="s">
        <v>1789</v>
      </c>
      <c r="E33" s="62"/>
      <c r="F33" s="62"/>
      <c r="G33" s="62"/>
      <c r="H33" s="62"/>
      <c r="I33" s="62"/>
      <c r="J33" s="62"/>
      <c r="K33" s="62"/>
      <c r="L33" s="63" t="s">
        <v>1600</v>
      </c>
    </row>
    <row r="34" customFormat="false" ht="48.75" hidden="false" customHeight="false" outlineLevel="0" collapsed="false">
      <c r="A34" s="62"/>
      <c r="B34" s="62"/>
      <c r="C34" s="62"/>
      <c r="D34" s="63" t="s">
        <v>1790</v>
      </c>
      <c r="E34" s="62"/>
      <c r="F34" s="62"/>
      <c r="G34" s="62"/>
      <c r="H34" s="62"/>
      <c r="I34" s="62"/>
      <c r="J34" s="62"/>
      <c r="K34" s="62"/>
      <c r="L34" s="62" t="s">
        <v>1601</v>
      </c>
    </row>
    <row r="35" customFormat="false" ht="33" hidden="false" customHeight="false" outlineLevel="0" collapsed="false">
      <c r="A35" s="62"/>
      <c r="B35" s="62"/>
      <c r="C35" s="62"/>
      <c r="D35" s="63" t="s">
        <v>1791</v>
      </c>
      <c r="E35" s="62"/>
      <c r="F35" s="62"/>
      <c r="G35" s="62"/>
      <c r="H35" s="62"/>
      <c r="I35" s="62"/>
      <c r="J35" s="62"/>
      <c r="K35" s="62"/>
      <c r="L35" s="63" t="s">
        <v>1602</v>
      </c>
    </row>
    <row r="36" customFormat="false" ht="33" hidden="false" customHeight="false" outlineLevel="0" collapsed="false">
      <c r="A36" s="62"/>
      <c r="B36" s="62"/>
      <c r="C36" s="62"/>
      <c r="D36" s="63" t="s">
        <v>1792</v>
      </c>
      <c r="E36" s="62"/>
      <c r="F36" s="62"/>
      <c r="G36" s="62"/>
      <c r="H36" s="62"/>
      <c r="I36" s="62"/>
      <c r="J36" s="62"/>
      <c r="K36" s="62"/>
      <c r="L36" s="63" t="s">
        <v>1603</v>
      </c>
    </row>
    <row r="37" customFormat="false" ht="17.25" hidden="false" customHeight="false" outlineLevel="0" collapsed="false">
      <c r="A37" s="62"/>
      <c r="B37" s="62"/>
      <c r="C37" s="62"/>
      <c r="D37" s="63" t="s">
        <v>1778</v>
      </c>
      <c r="E37" s="62"/>
      <c r="F37" s="62"/>
      <c r="G37" s="62"/>
      <c r="H37" s="62"/>
      <c r="I37" s="62"/>
      <c r="J37" s="62"/>
      <c r="K37" s="62"/>
      <c r="L37" s="63" t="s">
        <v>838</v>
      </c>
    </row>
    <row r="38" customFormat="false" ht="33" hidden="false" customHeight="false" outlineLevel="0" collapsed="false">
      <c r="A38" s="62"/>
      <c r="B38" s="62"/>
      <c r="C38" s="62"/>
      <c r="D38" s="63" t="s">
        <v>244</v>
      </c>
      <c r="E38" s="62"/>
      <c r="F38" s="62"/>
      <c r="G38" s="62"/>
      <c r="H38" s="62"/>
      <c r="I38" s="62"/>
      <c r="J38" s="62"/>
      <c r="K38" s="62"/>
      <c r="L38" s="63" t="s">
        <v>838</v>
      </c>
    </row>
    <row r="39" customFormat="false" ht="17.25" hidden="false" customHeight="false" outlineLevel="0" collapsed="false">
      <c r="A39" s="62"/>
      <c r="B39" s="62"/>
      <c r="C39" s="62"/>
      <c r="D39" s="62" t="s">
        <v>1793</v>
      </c>
      <c r="E39" s="62"/>
      <c r="F39" s="62"/>
      <c r="G39" s="62"/>
      <c r="H39" s="62"/>
      <c r="I39" s="62"/>
      <c r="J39" s="62"/>
      <c r="K39" s="62"/>
      <c r="L39" s="62" t="s">
        <v>1794</v>
      </c>
    </row>
    <row r="40" customFormat="false" ht="33" hidden="false" customHeight="false" outlineLevel="0" collapsed="false">
      <c r="A40" s="62"/>
      <c r="B40" s="62"/>
      <c r="C40" s="62"/>
      <c r="D40" s="63" t="s">
        <v>1795</v>
      </c>
      <c r="E40" s="62"/>
      <c r="F40" s="62"/>
      <c r="G40" s="62"/>
      <c r="H40" s="62"/>
      <c r="I40" s="62"/>
      <c r="J40" s="62"/>
      <c r="K40" s="62"/>
      <c r="L40" s="62" t="s">
        <v>1796</v>
      </c>
    </row>
    <row r="41" customFormat="false" ht="48.75" hidden="false" customHeight="false" outlineLevel="0" collapsed="false">
      <c r="A41" s="62"/>
      <c r="B41" s="62"/>
      <c r="C41" s="62"/>
      <c r="D41" s="63" t="s">
        <v>1797</v>
      </c>
      <c r="E41" s="62"/>
      <c r="F41" s="62"/>
      <c r="G41" s="62"/>
      <c r="H41" s="62"/>
      <c r="I41" s="62"/>
      <c r="J41" s="62"/>
      <c r="K41" s="62"/>
      <c r="L41" s="62" t="s">
        <v>1798</v>
      </c>
    </row>
    <row r="42" customFormat="false" ht="33" hidden="false" customHeight="false" outlineLevel="0" collapsed="false">
      <c r="A42" s="62"/>
      <c r="B42" s="62"/>
      <c r="C42" s="62"/>
      <c r="D42" s="63" t="s">
        <v>1799</v>
      </c>
      <c r="E42" s="62"/>
      <c r="F42" s="62"/>
      <c r="G42" s="62"/>
      <c r="H42" s="62"/>
      <c r="I42" s="62"/>
      <c r="J42" s="62"/>
      <c r="K42" s="62"/>
      <c r="L42" s="63" t="s">
        <v>1800</v>
      </c>
    </row>
    <row r="43" customFormat="false" ht="48.75" hidden="false" customHeight="false" outlineLevel="0" collapsed="false">
      <c r="A43" s="62"/>
      <c r="B43" s="62"/>
      <c r="C43" s="62"/>
      <c r="D43" s="63" t="s">
        <v>1801</v>
      </c>
      <c r="E43" s="62"/>
      <c r="F43" s="62"/>
      <c r="G43" s="62"/>
      <c r="H43" s="62"/>
      <c r="I43" s="62"/>
      <c r="J43" s="62"/>
      <c r="K43" s="62"/>
      <c r="L43" s="63" t="s">
        <v>1802</v>
      </c>
    </row>
    <row r="44" customFormat="false" ht="33" hidden="false" customHeight="false" outlineLevel="0" collapsed="false">
      <c r="A44" s="62"/>
      <c r="B44" s="62"/>
      <c r="C44" s="62"/>
      <c r="D44" s="63" t="s">
        <v>1803</v>
      </c>
      <c r="E44" s="62"/>
      <c r="F44" s="62"/>
      <c r="G44" s="62"/>
      <c r="H44" s="62"/>
      <c r="I44" s="62"/>
      <c r="J44" s="62"/>
      <c r="K44" s="62"/>
      <c r="L44" s="63" t="s">
        <v>1804</v>
      </c>
    </row>
    <row r="45" customFormat="false" ht="33" hidden="false" customHeight="false" outlineLevel="0" collapsed="false">
      <c r="A45" s="62"/>
      <c r="B45" s="62"/>
      <c r="C45" s="62"/>
      <c r="D45" s="63" t="s">
        <v>1805</v>
      </c>
      <c r="E45" s="62"/>
      <c r="F45" s="62"/>
      <c r="G45" s="62"/>
      <c r="H45" s="62"/>
      <c r="I45" s="62"/>
      <c r="J45" s="62"/>
      <c r="K45" s="62"/>
      <c r="L45" s="62" t="s">
        <v>1806</v>
      </c>
    </row>
    <row r="46" customFormat="false" ht="33" hidden="false" customHeight="false" outlineLevel="0" collapsed="false">
      <c r="A46" s="62"/>
      <c r="B46" s="62"/>
      <c r="C46" s="62"/>
      <c r="D46" s="63" t="s">
        <v>917</v>
      </c>
      <c r="E46" s="62"/>
      <c r="F46" s="62"/>
      <c r="G46" s="62"/>
      <c r="H46" s="62"/>
      <c r="I46" s="62"/>
      <c r="J46" s="62"/>
      <c r="K46" s="62"/>
      <c r="L46" s="63" t="s">
        <v>1807</v>
      </c>
    </row>
    <row r="47" customFormat="false" ht="33" hidden="false" customHeight="false" outlineLevel="0" collapsed="false">
      <c r="A47" s="62"/>
      <c r="B47" s="62"/>
      <c r="C47" s="62"/>
      <c r="D47" s="62" t="s">
        <v>1808</v>
      </c>
      <c r="E47" s="62"/>
      <c r="F47" s="62"/>
      <c r="G47" s="62"/>
      <c r="H47" s="62"/>
      <c r="I47" s="62"/>
      <c r="J47" s="62"/>
      <c r="K47" s="62"/>
      <c r="L47" s="62" t="s">
        <v>1809</v>
      </c>
    </row>
    <row r="48" customFormat="false" ht="33" hidden="false" customHeight="false" outlineLevel="0" collapsed="false">
      <c r="A48" s="62"/>
      <c r="B48" s="62"/>
      <c r="C48" s="62"/>
      <c r="D48" s="63" t="s">
        <v>1123</v>
      </c>
      <c r="E48" s="62"/>
      <c r="F48" s="62"/>
      <c r="G48" s="62"/>
      <c r="H48" s="62"/>
      <c r="I48" s="62"/>
      <c r="J48" s="62"/>
      <c r="K48" s="62"/>
      <c r="L48" s="63" t="s">
        <v>1810</v>
      </c>
    </row>
    <row r="49" customFormat="false" ht="33" hidden="false" customHeight="false" outlineLevel="0" collapsed="false">
      <c r="A49" s="62"/>
      <c r="B49" s="62"/>
      <c r="C49" s="62"/>
      <c r="D49" s="63" t="s">
        <v>1767</v>
      </c>
      <c r="E49" s="62"/>
      <c r="F49" s="62"/>
      <c r="G49" s="62"/>
      <c r="H49" s="62"/>
      <c r="I49" s="62"/>
      <c r="J49" s="62"/>
      <c r="K49" s="62"/>
      <c r="L49" s="63" t="s">
        <v>838</v>
      </c>
    </row>
    <row r="50" customFormat="false" ht="17.25" hidden="false" customHeight="false" outlineLevel="0" collapsed="false">
      <c r="A50" s="62"/>
      <c r="B50" s="62"/>
      <c r="C50" s="62"/>
      <c r="D50" s="63" t="s">
        <v>1761</v>
      </c>
      <c r="E50" s="62"/>
      <c r="F50" s="62"/>
      <c r="G50" s="62"/>
      <c r="H50" s="62"/>
      <c r="I50" s="62"/>
      <c r="J50" s="62"/>
      <c r="K50" s="62"/>
      <c r="L50" s="62"/>
    </row>
    <row r="51" customFormat="false" ht="33" hidden="false" customHeight="false" outlineLevel="0" collapsed="false">
      <c r="A51" s="62"/>
      <c r="B51" s="62"/>
      <c r="C51" s="62"/>
      <c r="D51" s="62" t="s">
        <v>1811</v>
      </c>
      <c r="E51" s="62"/>
      <c r="F51" s="62"/>
      <c r="G51" s="62"/>
      <c r="H51" s="62"/>
      <c r="I51" s="62"/>
      <c r="J51" s="62"/>
      <c r="K51" s="62"/>
      <c r="L51" s="62"/>
    </row>
    <row r="52" customFormat="false" ht="33" hidden="false" customHeight="false" outlineLevel="0" collapsed="false">
      <c r="A52" s="62"/>
      <c r="B52" s="62"/>
      <c r="C52" s="62"/>
      <c r="D52" s="63" t="s">
        <v>1812</v>
      </c>
      <c r="E52" s="62"/>
      <c r="F52" s="62"/>
      <c r="G52" s="62"/>
      <c r="H52" s="62"/>
      <c r="I52" s="62"/>
      <c r="J52" s="62"/>
      <c r="K52" s="62"/>
      <c r="L52" s="62"/>
    </row>
    <row r="53" customFormat="false" ht="33" hidden="false" customHeight="false" outlineLevel="0" collapsed="false">
      <c r="A53" s="62"/>
      <c r="B53" s="62"/>
      <c r="C53" s="62"/>
      <c r="D53" s="63" t="s">
        <v>1813</v>
      </c>
      <c r="E53" s="62"/>
      <c r="F53" s="62"/>
      <c r="G53" s="62"/>
      <c r="H53" s="62"/>
      <c r="I53" s="62"/>
      <c r="J53" s="62"/>
      <c r="K53" s="62"/>
      <c r="L53" s="62"/>
    </row>
    <row r="54" customFormat="false" ht="17.25" hidden="false" customHeight="false" outlineLevel="0" collapsed="false">
      <c r="A54" s="62"/>
      <c r="B54" s="62"/>
      <c r="C54" s="62"/>
      <c r="D54" s="63" t="s">
        <v>1814</v>
      </c>
      <c r="E54" s="62"/>
      <c r="F54" s="62"/>
      <c r="G54" s="62"/>
      <c r="H54" s="62"/>
      <c r="I54" s="62"/>
      <c r="J54" s="62"/>
      <c r="K54" s="62"/>
      <c r="L54" s="62"/>
    </row>
    <row r="55" customFormat="false" ht="33" hidden="false" customHeight="false" outlineLevel="0" collapsed="false">
      <c r="A55" s="62"/>
      <c r="B55" s="62"/>
      <c r="C55" s="62"/>
      <c r="D55" s="62" t="s">
        <v>1815</v>
      </c>
      <c r="E55" s="62"/>
      <c r="F55" s="62"/>
      <c r="G55" s="62"/>
      <c r="H55" s="62"/>
      <c r="I55" s="62"/>
      <c r="J55" s="62"/>
      <c r="K55" s="62"/>
      <c r="L55" s="62"/>
    </row>
    <row r="56" customFormat="false" ht="17.25" hidden="false" customHeight="false" outlineLevel="0" collapsed="false">
      <c r="A56" s="62"/>
      <c r="B56" s="62"/>
      <c r="C56" s="62"/>
      <c r="D56" s="63" t="s">
        <v>233</v>
      </c>
      <c r="E56" s="62"/>
      <c r="F56" s="62"/>
      <c r="G56" s="62"/>
      <c r="H56" s="62"/>
      <c r="I56" s="62"/>
      <c r="J56" s="62"/>
      <c r="K56" s="62"/>
      <c r="L56" s="62"/>
    </row>
    <row r="57" customFormat="false" ht="33" hidden="false" customHeight="false" outlineLevel="0" collapsed="false">
      <c r="A57" s="62"/>
      <c r="B57" s="62" t="n">
        <v>710</v>
      </c>
      <c r="C57" s="62"/>
      <c r="D57" s="62"/>
      <c r="E57" s="63" t="s">
        <v>839</v>
      </c>
      <c r="F57" s="62"/>
      <c r="G57" s="62" t="s">
        <v>1755</v>
      </c>
      <c r="H57" s="62"/>
      <c r="I57" s="62"/>
      <c r="J57" s="62"/>
      <c r="K57" s="62"/>
      <c r="L57" s="62"/>
    </row>
    <row r="58" customFormat="false" ht="33" hidden="false" customHeight="false" outlineLevel="0" collapsed="false">
      <c r="A58" s="62"/>
      <c r="B58" s="62"/>
      <c r="C58" s="62"/>
      <c r="D58" s="62"/>
      <c r="E58" s="63" t="s">
        <v>237</v>
      </c>
      <c r="F58" s="62"/>
      <c r="G58" s="62" t="s">
        <v>1816</v>
      </c>
      <c r="H58" s="62" t="s">
        <v>1817</v>
      </c>
      <c r="I58" s="62"/>
      <c r="J58" s="62"/>
      <c r="K58" s="62"/>
      <c r="L58" s="62"/>
    </row>
    <row r="59" customFormat="false" ht="17.25" hidden="false" customHeight="fals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</row>
    <row r="60" customFormat="false" ht="17.25" hidden="false" customHeight="false" outlineLevel="0" collapsed="false">
      <c r="A60" s="62"/>
      <c r="B60" s="62"/>
      <c r="C60" s="62"/>
      <c r="D60" s="62"/>
      <c r="E60" s="62"/>
      <c r="F60" s="62"/>
      <c r="G60" s="62" t="s">
        <v>1818</v>
      </c>
      <c r="H60" s="62"/>
      <c r="I60" s="62"/>
      <c r="J60" s="62"/>
      <c r="K60" s="62"/>
      <c r="L60" s="62"/>
    </row>
    <row r="61" customFormat="false" ht="17.25" hidden="false" customHeight="false" outlineLevel="0" collapsed="false">
      <c r="A61" s="62"/>
      <c r="B61" s="62"/>
      <c r="C61" s="62"/>
      <c r="D61" s="62"/>
      <c r="E61" s="62"/>
      <c r="F61" s="62"/>
      <c r="G61" s="62" t="n">
        <v>17</v>
      </c>
      <c r="H61" s="62" t="s">
        <v>1449</v>
      </c>
      <c r="I61" s="62"/>
      <c r="J61" s="62"/>
      <c r="K61" s="62"/>
      <c r="L61" s="62"/>
    </row>
    <row r="62" customFormat="false" ht="17.25" hidden="false" customHeight="false" outlineLevel="0" collapsed="false">
      <c r="A62" s="62"/>
      <c r="B62" s="62"/>
      <c r="C62" s="62"/>
      <c r="D62" s="62"/>
      <c r="E62" s="62"/>
      <c r="F62" s="62"/>
      <c r="G62" s="62" t="n">
        <v>18</v>
      </c>
      <c r="H62" s="62" t="s">
        <v>1449</v>
      </c>
      <c r="I62" s="62"/>
      <c r="J62" s="62"/>
      <c r="K62" s="62"/>
      <c r="L62" s="62"/>
    </row>
    <row r="63" customFormat="false" ht="17.25" hidden="false" customHeight="false" outlineLevel="0" collapsed="false">
      <c r="A63" s="62"/>
      <c r="B63" s="62"/>
      <c r="C63" s="62"/>
      <c r="D63" s="62"/>
      <c r="E63" s="62"/>
      <c r="F63" s="62"/>
      <c r="G63" s="62" t="n">
        <v>23</v>
      </c>
      <c r="H63" s="62" t="s">
        <v>1449</v>
      </c>
      <c r="I63" s="62"/>
      <c r="J63" s="62"/>
      <c r="K63" s="62"/>
      <c r="L63" s="62"/>
    </row>
    <row r="64" customFormat="false" ht="17.25" hidden="false" customHeight="false" outlineLevel="0" collapsed="false">
      <c r="A64" s="62"/>
      <c r="B64" s="62"/>
      <c r="C64" s="62"/>
      <c r="D64" s="62"/>
      <c r="E64" s="62"/>
      <c r="F64" s="62"/>
      <c r="G64" s="62" t="n">
        <v>24</v>
      </c>
      <c r="H64" s="62" t="s">
        <v>1449</v>
      </c>
      <c r="I64" s="62"/>
      <c r="J64" s="62"/>
      <c r="K64" s="62"/>
      <c r="L64" s="62"/>
    </row>
    <row r="65" customFormat="false" ht="33" hidden="false" customHeight="false" outlineLevel="0" collapsed="false">
      <c r="A65" s="62"/>
      <c r="B65" s="62"/>
      <c r="C65" s="62"/>
      <c r="D65" s="62"/>
      <c r="E65" s="62"/>
      <c r="F65" s="62"/>
      <c r="G65" s="62" t="s">
        <v>267</v>
      </c>
      <c r="H65" s="62" t="s">
        <v>268</v>
      </c>
      <c r="I65" s="62"/>
      <c r="J65" s="62"/>
      <c r="K65" s="62"/>
      <c r="L65" s="62"/>
    </row>
    <row r="66" customFormat="false" ht="17.25" hidden="false" customHeight="false" outlineLevel="0" collapsed="false">
      <c r="A66" s="62"/>
      <c r="B66" s="62"/>
      <c r="C66" s="62"/>
      <c r="D66" s="62"/>
      <c r="E66" s="62"/>
      <c r="F66" s="62"/>
      <c r="G66" s="63" t="s">
        <v>278</v>
      </c>
      <c r="H66" s="62" t="s">
        <v>1819</v>
      </c>
      <c r="I66" s="62"/>
      <c r="J66" s="62"/>
      <c r="K66" s="62"/>
      <c r="L66" s="62"/>
    </row>
    <row r="67" customFormat="false" ht="17.25" hidden="false" customHeight="false" outlineLevel="0" collapsed="false">
      <c r="A67" s="62"/>
      <c r="B67" s="62"/>
      <c r="C67" s="62"/>
      <c r="D67" s="62"/>
      <c r="E67" s="62"/>
      <c r="F67" s="62"/>
      <c r="G67" s="63" t="s">
        <v>1820</v>
      </c>
      <c r="H67" s="62"/>
      <c r="I67" s="62"/>
      <c r="J67" s="62"/>
      <c r="K67" s="62"/>
      <c r="L67" s="62"/>
    </row>
    <row r="68" customFormat="false" ht="17.25" hidden="false" customHeight="false" outlineLevel="0" collapsed="false">
      <c r="A68" s="62"/>
      <c r="B68" s="62"/>
      <c r="C68" s="62"/>
      <c r="D68" s="62"/>
      <c r="E68" s="62"/>
      <c r="F68" s="62"/>
      <c r="G68" s="63" t="s">
        <v>308</v>
      </c>
      <c r="H68" s="62"/>
      <c r="I68" s="62"/>
      <c r="J68" s="62"/>
      <c r="K68" s="62"/>
      <c r="L68" s="62"/>
    </row>
    <row r="69" customFormat="false" ht="33" hidden="false" customHeight="false" outlineLevel="0" collapsed="false">
      <c r="A69" s="62"/>
      <c r="B69" s="62"/>
      <c r="C69" s="62"/>
      <c r="D69" s="62"/>
      <c r="E69" s="62"/>
      <c r="F69" s="62"/>
      <c r="G69" s="63" t="s">
        <v>270</v>
      </c>
      <c r="H69" s="62"/>
      <c r="I69" s="62"/>
      <c r="J69" s="62"/>
      <c r="K69" s="62"/>
      <c r="L69" s="62"/>
    </row>
    <row r="70" customFormat="false" ht="33" hidden="false" customHeight="false" outlineLevel="0" collapsed="false">
      <c r="A70" s="62"/>
      <c r="B70" s="62"/>
      <c r="C70" s="62"/>
      <c r="D70" s="62"/>
      <c r="E70" s="62"/>
      <c r="F70" s="62"/>
      <c r="G70" s="62" t="s">
        <v>267</v>
      </c>
      <c r="H70" s="62"/>
      <c r="I70" s="62"/>
      <c r="J70" s="62"/>
      <c r="K70" s="62"/>
      <c r="L70" s="62"/>
    </row>
    <row r="71" customFormat="false" ht="17.25" hidden="false" customHeight="false" outlineLevel="0" collapsed="false">
      <c r="A71" s="62"/>
      <c r="B71" s="62"/>
      <c r="C71" s="62"/>
      <c r="D71" s="62"/>
      <c r="E71" s="62"/>
      <c r="F71" s="62"/>
      <c r="G71" s="62" t="s">
        <v>1819</v>
      </c>
      <c r="H71" s="62"/>
      <c r="I71" s="62"/>
      <c r="J71" s="62"/>
      <c r="K71" s="62"/>
      <c r="L71" s="62"/>
    </row>
    <row r="72" customFormat="false" ht="33" hidden="false" customHeight="false" outlineLevel="0" collapsed="false">
      <c r="A72" s="62"/>
      <c r="B72" s="62"/>
      <c r="C72" s="62"/>
      <c r="D72" s="62"/>
      <c r="E72" s="62"/>
      <c r="F72" s="62"/>
      <c r="G72" s="62" t="s">
        <v>267</v>
      </c>
      <c r="H72" s="62"/>
      <c r="I72" s="62"/>
      <c r="J72" s="62"/>
      <c r="K72" s="62"/>
      <c r="L72" s="62"/>
    </row>
    <row r="73" customFormat="false" ht="33" hidden="false" customHeight="false" outlineLevel="0" collapsed="false">
      <c r="A73" s="62"/>
      <c r="B73" s="62"/>
      <c r="C73" s="62"/>
      <c r="D73" s="62"/>
      <c r="E73" s="62"/>
      <c r="F73" s="62"/>
      <c r="G73" s="62" t="s">
        <v>1821</v>
      </c>
      <c r="H73" s="62"/>
      <c r="I73" s="62"/>
      <c r="J73" s="62"/>
      <c r="K73" s="62"/>
      <c r="L73" s="62"/>
    </row>
    <row r="74" customFormat="false" ht="33" hidden="false" customHeight="false" outlineLevel="0" collapsed="false">
      <c r="A74" s="62"/>
      <c r="B74" s="62"/>
      <c r="C74" s="62"/>
      <c r="D74" s="62"/>
      <c r="E74" s="62"/>
      <c r="F74" s="62"/>
      <c r="G74" s="62" t="s">
        <v>1817</v>
      </c>
      <c r="H74" s="62"/>
      <c r="I74" s="62"/>
      <c r="J74" s="62"/>
      <c r="K74" s="62"/>
      <c r="L74" s="62"/>
    </row>
    <row r="75" customFormat="false" ht="33" hidden="false" customHeight="false" outlineLevel="0" collapsed="false">
      <c r="A75" s="62"/>
      <c r="B75" s="62" t="n">
        <v>711</v>
      </c>
      <c r="C75" s="62"/>
      <c r="D75" s="62"/>
      <c r="E75" s="63" t="s">
        <v>1822</v>
      </c>
      <c r="F75" s="62"/>
      <c r="G75" s="62" t="s">
        <v>1755</v>
      </c>
      <c r="H75" s="62"/>
      <c r="I75" s="62"/>
      <c r="J75" s="62"/>
      <c r="K75" s="62"/>
      <c r="L75" s="62"/>
    </row>
    <row r="76" customFormat="false" ht="33" hidden="false" customHeight="false" outlineLevel="0" collapsed="false">
      <c r="A76" s="62"/>
      <c r="B76" s="62"/>
      <c r="C76" s="62"/>
      <c r="D76" s="62"/>
      <c r="E76" s="63" t="s">
        <v>237</v>
      </c>
      <c r="F76" s="62"/>
      <c r="G76" s="62" t="s">
        <v>1816</v>
      </c>
      <c r="H76" s="62" t="s">
        <v>1823</v>
      </c>
      <c r="I76" s="62"/>
      <c r="J76" s="62"/>
      <c r="K76" s="62"/>
      <c r="L76" s="62"/>
    </row>
    <row r="77" customFormat="false" ht="17.25" hidden="false" customHeight="false" outlineLevel="0" collapsed="false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</row>
    <row r="78" customFormat="false" ht="33" hidden="false" customHeight="false" outlineLevel="0" collapsed="false">
      <c r="A78" s="62"/>
      <c r="B78" s="62"/>
      <c r="C78" s="62"/>
      <c r="D78" s="62"/>
      <c r="E78" s="62"/>
      <c r="F78" s="62"/>
      <c r="G78" s="62" t="s">
        <v>1758</v>
      </c>
      <c r="H78" s="62" t="s">
        <v>1824</v>
      </c>
      <c r="I78" s="62"/>
      <c r="J78" s="62"/>
      <c r="K78" s="62"/>
      <c r="L78" s="62"/>
    </row>
    <row r="79" customFormat="false" ht="17.25" hidden="false" customHeight="false" outlineLevel="0" collapsed="false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</row>
    <row r="80" customFormat="false" ht="33" hidden="false" customHeight="false" outlineLevel="0" collapsed="false">
      <c r="A80" s="62"/>
      <c r="B80" s="62"/>
      <c r="C80" s="62"/>
      <c r="D80" s="62"/>
      <c r="E80" s="62"/>
      <c r="F80" s="62"/>
      <c r="G80" s="62" t="s">
        <v>267</v>
      </c>
      <c r="H80" s="62" t="s">
        <v>268</v>
      </c>
      <c r="I80" s="62"/>
      <c r="J80" s="62"/>
      <c r="K80" s="62"/>
      <c r="L80" s="62"/>
    </row>
    <row r="81" customFormat="false" ht="17.25" hidden="false" customHeight="false" outlineLevel="0" collapsed="false">
      <c r="A81" s="62"/>
      <c r="B81" s="62"/>
      <c r="C81" s="62"/>
      <c r="D81" s="62"/>
      <c r="E81" s="62"/>
      <c r="F81" s="62"/>
      <c r="G81" s="63" t="s">
        <v>320</v>
      </c>
      <c r="H81" s="64" t="n">
        <v>40639</v>
      </c>
      <c r="I81" s="62"/>
      <c r="J81" s="62"/>
      <c r="K81" s="62"/>
      <c r="L81" s="62"/>
    </row>
    <row r="82" customFormat="false" ht="17.25" hidden="false" customHeight="false" outlineLevel="0" collapsed="false">
      <c r="A82" s="62"/>
      <c r="B82" s="62"/>
      <c r="C82" s="62"/>
      <c r="D82" s="62"/>
      <c r="E82" s="62"/>
      <c r="F82" s="62"/>
      <c r="G82" s="63" t="s">
        <v>1825</v>
      </c>
      <c r="H82" s="62"/>
      <c r="I82" s="62"/>
      <c r="J82" s="62"/>
      <c r="K82" s="62"/>
      <c r="L82" s="62"/>
    </row>
    <row r="83" customFormat="false" ht="33" hidden="false" customHeight="false" outlineLevel="0" collapsed="false">
      <c r="A83" s="62"/>
      <c r="B83" s="62"/>
      <c r="C83" s="62"/>
      <c r="D83" s="62"/>
      <c r="E83" s="62"/>
      <c r="F83" s="62"/>
      <c r="G83" s="63" t="s">
        <v>270</v>
      </c>
      <c r="H83" s="62"/>
      <c r="I83" s="62"/>
      <c r="J83" s="62"/>
      <c r="K83" s="62"/>
      <c r="L83" s="62"/>
    </row>
    <row r="84" customFormat="false" ht="33" hidden="false" customHeight="false" outlineLevel="0" collapsed="false">
      <c r="A84" s="62"/>
      <c r="B84" s="62"/>
      <c r="C84" s="62"/>
      <c r="D84" s="62"/>
      <c r="E84" s="62"/>
      <c r="F84" s="62"/>
      <c r="G84" s="62" t="s">
        <v>267</v>
      </c>
      <c r="H84" s="62"/>
      <c r="I84" s="62"/>
      <c r="J84" s="62"/>
      <c r="K84" s="62"/>
      <c r="L84" s="62"/>
    </row>
    <row r="85" customFormat="false" ht="17.25" hidden="false" customHeight="false" outlineLevel="0" collapsed="false">
      <c r="A85" s="62"/>
      <c r="B85" s="62"/>
      <c r="C85" s="62"/>
      <c r="D85" s="62"/>
      <c r="E85" s="62"/>
      <c r="F85" s="62"/>
      <c r="G85" s="64" t="n">
        <v>40639</v>
      </c>
      <c r="H85" s="62"/>
      <c r="I85" s="62"/>
      <c r="J85" s="62"/>
      <c r="K85" s="62"/>
      <c r="L85" s="62"/>
    </row>
    <row r="86" customFormat="false" ht="33" hidden="false" customHeight="false" outlineLevel="0" collapsed="false">
      <c r="A86" s="62"/>
      <c r="B86" s="62"/>
      <c r="C86" s="62"/>
      <c r="D86" s="62"/>
      <c r="E86" s="62"/>
      <c r="F86" s="62"/>
      <c r="G86" s="62" t="s">
        <v>267</v>
      </c>
      <c r="H86" s="62"/>
      <c r="I86" s="62"/>
      <c r="J86" s="62"/>
      <c r="K86" s="62"/>
      <c r="L86" s="62"/>
    </row>
    <row r="87" customFormat="false" ht="33" hidden="false" customHeight="false" outlineLevel="0" collapsed="false">
      <c r="A87" s="62"/>
      <c r="B87" s="62"/>
      <c r="C87" s="62"/>
      <c r="D87" s="62"/>
      <c r="E87" s="62"/>
      <c r="F87" s="62"/>
      <c r="G87" s="62" t="s">
        <v>1826</v>
      </c>
      <c r="H87" s="62"/>
      <c r="I87" s="62"/>
      <c r="J87" s="62"/>
      <c r="K87" s="62"/>
      <c r="L87" s="62"/>
    </row>
    <row r="88" customFormat="false" ht="17.25" hidden="false" customHeight="false" outlineLevel="0" collapsed="false">
      <c r="A88" s="62"/>
      <c r="B88" s="62" t="n">
        <v>712</v>
      </c>
      <c r="C88" s="62"/>
      <c r="D88" s="62"/>
      <c r="E88" s="63" t="s">
        <v>1827</v>
      </c>
      <c r="F88" s="62"/>
      <c r="G88" s="62" t="s">
        <v>1828</v>
      </c>
      <c r="H88" s="62"/>
      <c r="I88" s="62"/>
      <c r="J88" s="62"/>
      <c r="K88" s="62"/>
      <c r="L88" s="62"/>
    </row>
    <row r="89" customFormat="false" ht="17.25" hidden="false" customHeight="false" outlineLevel="0" collapsed="false">
      <c r="A89" s="62"/>
      <c r="B89" s="62"/>
      <c r="C89" s="62"/>
      <c r="D89" s="62"/>
      <c r="E89" s="63" t="s">
        <v>233</v>
      </c>
      <c r="F89" s="62"/>
      <c r="G89" s="62" t="n">
        <v>5</v>
      </c>
      <c r="H89" s="62" t="s">
        <v>1466</v>
      </c>
      <c r="I89" s="62"/>
      <c r="J89" s="62"/>
      <c r="K89" s="62"/>
      <c r="L89" s="62"/>
    </row>
    <row r="90" customFormat="false" ht="33" hidden="false" customHeight="false" outlineLevel="0" collapsed="false">
      <c r="A90" s="62"/>
      <c r="B90" s="62"/>
      <c r="C90" s="62"/>
      <c r="D90" s="62"/>
      <c r="E90" s="63" t="s">
        <v>237</v>
      </c>
      <c r="F90" s="62"/>
      <c r="G90" s="62" t="n">
        <v>6</v>
      </c>
      <c r="H90" s="62" t="s">
        <v>771</v>
      </c>
      <c r="I90" s="62"/>
      <c r="J90" s="62"/>
      <c r="K90" s="62"/>
      <c r="L90" s="62"/>
    </row>
    <row r="91" customFormat="false" ht="33" hidden="false" customHeight="false" outlineLevel="0" collapsed="false">
      <c r="A91" s="62"/>
      <c r="B91" s="62"/>
      <c r="C91" s="62"/>
      <c r="D91" s="62"/>
      <c r="E91" s="62"/>
      <c r="F91" s="62"/>
      <c r="G91" s="62" t="s">
        <v>1829</v>
      </c>
      <c r="H91" s="62" t="s">
        <v>1830</v>
      </c>
      <c r="I91" s="62"/>
      <c r="J91" s="62"/>
      <c r="K91" s="62"/>
      <c r="L91" s="62"/>
    </row>
    <row r="92" customFormat="false" ht="17.25" hidden="false" customHeight="false" outlineLevel="0" collapsed="false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</row>
    <row r="93" customFormat="false" ht="33" hidden="false" customHeight="false" outlineLevel="0" collapsed="false">
      <c r="A93" s="62"/>
      <c r="B93" s="62"/>
      <c r="C93" s="62"/>
      <c r="D93" s="62"/>
      <c r="E93" s="62"/>
      <c r="F93" s="62"/>
      <c r="G93" s="62" t="s">
        <v>267</v>
      </c>
      <c r="H93" s="62" t="s">
        <v>268</v>
      </c>
      <c r="I93" s="62"/>
      <c r="J93" s="62"/>
      <c r="K93" s="62"/>
      <c r="L93" s="62"/>
    </row>
    <row r="94" customFormat="false" ht="17.25" hidden="false" customHeight="false" outlineLevel="0" collapsed="false">
      <c r="A94" s="62"/>
      <c r="B94" s="62"/>
      <c r="C94" s="62"/>
      <c r="D94" s="62"/>
      <c r="E94" s="62"/>
      <c r="F94" s="62"/>
      <c r="G94" s="63" t="s">
        <v>269</v>
      </c>
      <c r="H94" s="62" t="s">
        <v>1831</v>
      </c>
      <c r="I94" s="62"/>
      <c r="J94" s="62"/>
      <c r="K94" s="62"/>
      <c r="L94" s="62"/>
    </row>
    <row r="95" customFormat="false" ht="17.25" hidden="false" customHeight="false" outlineLevel="0" collapsed="false">
      <c r="A95" s="62"/>
      <c r="B95" s="62"/>
      <c r="C95" s="62"/>
      <c r="D95" s="62"/>
      <c r="E95" s="62"/>
      <c r="F95" s="62"/>
      <c r="G95" s="63" t="s">
        <v>1832</v>
      </c>
      <c r="H95" s="62"/>
      <c r="I95" s="62"/>
      <c r="J95" s="62"/>
      <c r="K95" s="62"/>
      <c r="L95" s="62"/>
    </row>
    <row r="96" customFormat="false" ht="17.25" hidden="false" customHeight="false" outlineLevel="0" collapsed="false">
      <c r="A96" s="62"/>
      <c r="B96" s="62"/>
      <c r="C96" s="62"/>
      <c r="D96" s="62"/>
      <c r="E96" s="62"/>
      <c r="F96" s="62"/>
      <c r="G96" s="63" t="s">
        <v>308</v>
      </c>
      <c r="H96" s="62"/>
      <c r="I96" s="62"/>
      <c r="J96" s="62"/>
      <c r="K96" s="62"/>
      <c r="L96" s="62"/>
    </row>
    <row r="97" customFormat="false" ht="33" hidden="false" customHeight="false" outlineLevel="0" collapsed="false">
      <c r="A97" s="62"/>
      <c r="B97" s="62"/>
      <c r="C97" s="62"/>
      <c r="D97" s="62"/>
      <c r="E97" s="62"/>
      <c r="F97" s="62"/>
      <c r="G97" s="63" t="s">
        <v>270</v>
      </c>
      <c r="H97" s="62"/>
      <c r="I97" s="62"/>
      <c r="J97" s="62"/>
      <c r="K97" s="62"/>
      <c r="L97" s="62"/>
    </row>
    <row r="98" customFormat="false" ht="33" hidden="false" customHeight="false" outlineLevel="0" collapsed="false">
      <c r="A98" s="62"/>
      <c r="B98" s="62"/>
      <c r="C98" s="62"/>
      <c r="D98" s="62"/>
      <c r="E98" s="62"/>
      <c r="F98" s="62"/>
      <c r="G98" s="62" t="s">
        <v>267</v>
      </c>
      <c r="H98" s="62"/>
      <c r="I98" s="62"/>
      <c r="J98" s="62"/>
      <c r="K98" s="62"/>
      <c r="L98" s="62"/>
    </row>
    <row r="99" customFormat="false" ht="17.25" hidden="false" customHeight="false" outlineLevel="0" collapsed="false">
      <c r="A99" s="62"/>
      <c r="B99" s="62"/>
      <c r="C99" s="62"/>
      <c r="D99" s="62"/>
      <c r="E99" s="62"/>
      <c r="F99" s="62"/>
      <c r="G99" s="62" t="s">
        <v>1831</v>
      </c>
      <c r="H99" s="62"/>
      <c r="I99" s="62"/>
      <c r="J99" s="62"/>
      <c r="K99" s="62"/>
      <c r="L99" s="62"/>
    </row>
    <row r="100" customFormat="false" ht="33" hidden="false" customHeight="false" outlineLevel="0" collapsed="false">
      <c r="A100" s="62"/>
      <c r="B100" s="62"/>
      <c r="C100" s="62"/>
      <c r="D100" s="62"/>
      <c r="E100" s="62"/>
      <c r="F100" s="62"/>
      <c r="G100" s="62" t="s">
        <v>267</v>
      </c>
      <c r="H100" s="62"/>
      <c r="I100" s="62"/>
      <c r="J100" s="62"/>
      <c r="K100" s="62"/>
      <c r="L100" s="62"/>
    </row>
    <row r="101" customFormat="false" ht="17.25" hidden="false" customHeight="false" outlineLevel="0" collapsed="false">
      <c r="A101" s="62"/>
      <c r="B101" s="62"/>
      <c r="C101" s="62"/>
      <c r="D101" s="62"/>
      <c r="E101" s="62"/>
      <c r="F101" s="62"/>
      <c r="G101" s="62" t="s">
        <v>1466</v>
      </c>
      <c r="H101" s="62"/>
      <c r="I101" s="62"/>
      <c r="J101" s="62"/>
      <c r="K101" s="62"/>
      <c r="L101" s="62"/>
    </row>
    <row r="102" customFormat="false" ht="33" hidden="false" customHeight="false" outlineLevel="0" collapsed="false">
      <c r="A102" s="62"/>
      <c r="B102" s="62"/>
      <c r="C102" s="62"/>
      <c r="D102" s="62"/>
      <c r="E102" s="62"/>
      <c r="F102" s="62"/>
      <c r="G102" s="62" t="s">
        <v>1833</v>
      </c>
      <c r="H102" s="62"/>
      <c r="I102" s="62"/>
      <c r="J102" s="62"/>
      <c r="K102" s="62"/>
      <c r="L102" s="62"/>
    </row>
    <row r="103" customFormat="false" ht="33" hidden="false" customHeight="false" outlineLevel="0" collapsed="false">
      <c r="A103" s="62"/>
      <c r="B103" s="62" t="n">
        <v>713</v>
      </c>
      <c r="C103" s="62"/>
      <c r="D103" s="62"/>
      <c r="E103" s="63" t="s">
        <v>1786</v>
      </c>
      <c r="F103" s="62"/>
      <c r="G103" s="62" t="s">
        <v>1828</v>
      </c>
      <c r="H103" s="62"/>
      <c r="I103" s="62"/>
      <c r="J103" s="62"/>
      <c r="K103" s="62"/>
      <c r="L103" s="62"/>
    </row>
    <row r="104" customFormat="false" ht="33" hidden="false" customHeight="false" outlineLevel="0" collapsed="false">
      <c r="A104" s="62"/>
      <c r="B104" s="62"/>
      <c r="C104" s="62"/>
      <c r="D104" s="62"/>
      <c r="E104" s="63" t="s">
        <v>1834</v>
      </c>
      <c r="F104" s="62"/>
      <c r="G104" s="62" t="s">
        <v>1829</v>
      </c>
      <c r="H104" s="62" t="s">
        <v>1835</v>
      </c>
      <c r="I104" s="62"/>
      <c r="J104" s="62"/>
      <c r="K104" s="62"/>
      <c r="L104" s="62"/>
    </row>
    <row r="105" customFormat="false" ht="33" hidden="false" customHeight="false" outlineLevel="0" collapsed="false">
      <c r="A105" s="62"/>
      <c r="B105" s="62"/>
      <c r="C105" s="62"/>
      <c r="D105" s="62"/>
      <c r="E105" s="63" t="s">
        <v>244</v>
      </c>
      <c r="F105" s="62"/>
      <c r="G105" s="62"/>
      <c r="H105" s="62"/>
      <c r="I105" s="62"/>
      <c r="J105" s="62"/>
      <c r="K105" s="62"/>
      <c r="L105" s="62"/>
    </row>
    <row r="106" customFormat="false" ht="17.25" hidden="false" customHeight="false" outlineLevel="0" collapsed="false">
      <c r="A106" s="62"/>
      <c r="B106" s="62"/>
      <c r="C106" s="62"/>
      <c r="D106" s="62"/>
      <c r="E106" s="63" t="s">
        <v>233</v>
      </c>
      <c r="F106" s="62"/>
      <c r="G106" s="62"/>
      <c r="H106" s="62"/>
      <c r="I106" s="62"/>
      <c r="J106" s="62"/>
      <c r="K106" s="62"/>
      <c r="L106" s="62"/>
    </row>
    <row r="107" customFormat="false" ht="33" hidden="false" customHeight="false" outlineLevel="0" collapsed="false">
      <c r="A107" s="62"/>
      <c r="B107" s="62"/>
      <c r="C107" s="62"/>
      <c r="D107" s="62" t="s">
        <v>274</v>
      </c>
      <c r="E107" s="62" t="s">
        <v>275</v>
      </c>
      <c r="F107" s="62" t="s">
        <v>268</v>
      </c>
      <c r="G107" s="62" t="s">
        <v>267</v>
      </c>
      <c r="H107" s="62" t="s">
        <v>268</v>
      </c>
      <c r="I107" s="62" t="s">
        <v>276</v>
      </c>
      <c r="J107" s="62" t="s">
        <v>276</v>
      </c>
      <c r="K107" s="62"/>
      <c r="L107" s="62"/>
    </row>
    <row r="108" customFormat="false" ht="33" hidden="false" customHeight="false" outlineLevel="0" collapsed="false">
      <c r="A108" s="62"/>
      <c r="B108" s="62"/>
      <c r="C108" s="62"/>
      <c r="D108" s="63" t="s">
        <v>277</v>
      </c>
      <c r="E108" s="62"/>
      <c r="F108" s="62"/>
      <c r="G108" s="63" t="s">
        <v>818</v>
      </c>
      <c r="H108" s="62" t="s">
        <v>1836</v>
      </c>
      <c r="I108" s="62"/>
      <c r="J108" s="62"/>
      <c r="K108" s="62"/>
      <c r="L108" s="62"/>
    </row>
    <row r="109" customFormat="false" ht="17.25" hidden="false" customHeight="false" outlineLevel="0" collapsed="false">
      <c r="A109" s="62"/>
      <c r="B109" s="62"/>
      <c r="C109" s="62"/>
      <c r="D109" s="62"/>
      <c r="E109" s="62"/>
      <c r="F109" s="62"/>
      <c r="G109" s="63" t="s">
        <v>1837</v>
      </c>
      <c r="H109" s="62"/>
      <c r="I109" s="62"/>
      <c r="J109" s="62"/>
      <c r="K109" s="62"/>
      <c r="L109" s="62"/>
    </row>
    <row r="110" customFormat="false" ht="17.25" hidden="false" customHeight="false" outlineLevel="0" collapsed="false">
      <c r="A110" s="62"/>
      <c r="B110" s="62"/>
      <c r="C110" s="62"/>
      <c r="D110" s="62"/>
      <c r="E110" s="62"/>
      <c r="F110" s="62"/>
      <c r="G110" s="63" t="s">
        <v>1838</v>
      </c>
      <c r="H110" s="62"/>
      <c r="I110" s="62"/>
      <c r="J110" s="62"/>
      <c r="K110" s="62"/>
      <c r="L110" s="62"/>
    </row>
    <row r="111" customFormat="false" ht="33" hidden="false" customHeight="false" outlineLevel="0" collapsed="false">
      <c r="A111" s="62"/>
      <c r="B111" s="62"/>
      <c r="C111" s="62"/>
      <c r="D111" s="62"/>
      <c r="E111" s="62"/>
      <c r="F111" s="62"/>
      <c r="G111" s="63" t="s">
        <v>270</v>
      </c>
      <c r="H111" s="62"/>
      <c r="I111" s="62"/>
      <c r="J111" s="62"/>
      <c r="K111" s="62"/>
      <c r="L111" s="62"/>
    </row>
    <row r="112" customFormat="false" ht="33" hidden="false" customHeight="false" outlineLevel="0" collapsed="false">
      <c r="A112" s="62"/>
      <c r="B112" s="62"/>
      <c r="C112" s="62"/>
      <c r="D112" s="62"/>
      <c r="E112" s="62"/>
      <c r="F112" s="62"/>
      <c r="G112" s="62" t="s">
        <v>267</v>
      </c>
      <c r="H112" s="62"/>
      <c r="I112" s="62"/>
      <c r="J112" s="62"/>
      <c r="K112" s="62"/>
      <c r="L112" s="62"/>
    </row>
    <row r="113" customFormat="false" ht="17.25" hidden="false" customHeight="false" outlineLevel="0" collapsed="false">
      <c r="A113" s="62"/>
      <c r="B113" s="62"/>
      <c r="C113" s="62"/>
      <c r="D113" s="62"/>
      <c r="E113" s="62"/>
      <c r="F113" s="62"/>
      <c r="G113" s="62" t="s">
        <v>1836</v>
      </c>
      <c r="H113" s="62"/>
      <c r="I113" s="62"/>
      <c r="J113" s="62"/>
      <c r="K113" s="62"/>
      <c r="L113" s="62"/>
    </row>
    <row r="114" customFormat="false" ht="33" hidden="false" customHeight="false" outlineLevel="0" collapsed="false">
      <c r="A114" s="62"/>
      <c r="B114" s="62"/>
      <c r="C114" s="62"/>
      <c r="D114" s="62"/>
      <c r="E114" s="62"/>
      <c r="F114" s="62"/>
      <c r="G114" s="62" t="s">
        <v>267</v>
      </c>
      <c r="H114" s="62"/>
      <c r="I114" s="62"/>
      <c r="J114" s="62"/>
      <c r="K114" s="62"/>
      <c r="L114" s="62"/>
    </row>
    <row r="115" customFormat="false" ht="33" hidden="false" customHeight="false" outlineLevel="0" collapsed="false">
      <c r="A115" s="62"/>
      <c r="B115" s="62"/>
      <c r="C115" s="62"/>
      <c r="D115" s="62"/>
      <c r="E115" s="62"/>
      <c r="F115" s="62"/>
      <c r="G115" s="62" t="s">
        <v>1821</v>
      </c>
      <c r="H115" s="62"/>
      <c r="I115" s="62"/>
      <c r="J115" s="62"/>
      <c r="K115" s="62"/>
      <c r="L115" s="62"/>
    </row>
    <row r="116" customFormat="false" ht="17.25" hidden="false" customHeight="false" outlineLevel="0" collapsed="false">
      <c r="A116" s="62"/>
      <c r="B116" s="62"/>
      <c r="C116" s="62"/>
      <c r="D116" s="62"/>
      <c r="E116" s="62"/>
      <c r="F116" s="62"/>
      <c r="G116" s="62" t="s">
        <v>1466</v>
      </c>
      <c r="H116" s="62"/>
      <c r="I116" s="62"/>
      <c r="J116" s="62"/>
      <c r="K116" s="62"/>
      <c r="L116" s="62"/>
    </row>
    <row r="117" customFormat="false" ht="33" hidden="false" customHeight="false" outlineLevel="0" collapsed="false">
      <c r="A117" s="62"/>
      <c r="B117" s="62"/>
      <c r="C117" s="62"/>
      <c r="D117" s="62"/>
      <c r="E117" s="62"/>
      <c r="F117" s="62"/>
      <c r="G117" s="62" t="s">
        <v>1839</v>
      </c>
      <c r="H117" s="62"/>
      <c r="I117" s="62"/>
      <c r="J117" s="62"/>
      <c r="K117" s="62"/>
      <c r="L117" s="62"/>
    </row>
    <row r="118" customFormat="false" ht="15.75" hidden="false" customHeight="false" outlineLevel="0" collapsed="false">
      <c r="A118" s="3" t="s">
        <v>211</v>
      </c>
    </row>
    <row r="125" customFormat="false" ht="15.75" hidden="false" customHeight="false" outlineLevel="0" collapsed="false">
      <c r="A125" s="65" t="s">
        <v>281</v>
      </c>
    </row>
  </sheetData>
  <hyperlinks>
    <hyperlink ref="M1" location="Index!A1" display="Index"/>
    <hyperlink ref="A118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12" min="12" style="0" width="13.42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48.75" hidden="false" customHeight="false" outlineLevel="0" collapsed="false">
      <c r="A4" s="62" t="n">
        <v>340</v>
      </c>
      <c r="B4" s="62" t="n">
        <v>714</v>
      </c>
      <c r="C4" s="63" t="s">
        <v>1604</v>
      </c>
      <c r="D4" s="63" t="s">
        <v>1840</v>
      </c>
      <c r="E4" s="63" t="s">
        <v>876</v>
      </c>
      <c r="F4" s="62"/>
      <c r="G4" s="62" t="s">
        <v>1828</v>
      </c>
      <c r="H4" s="62"/>
      <c r="I4" s="62"/>
      <c r="J4" s="62"/>
      <c r="K4" s="62"/>
      <c r="L4" s="63" t="s">
        <v>1756</v>
      </c>
    </row>
    <row r="5" customFormat="false" ht="48.75" hidden="false" customHeight="false" outlineLevel="0" collapsed="false">
      <c r="A5" s="62" t="s">
        <v>231</v>
      </c>
      <c r="B5" s="62"/>
      <c r="C5" s="62"/>
      <c r="D5" s="63" t="s">
        <v>255</v>
      </c>
      <c r="E5" s="62"/>
      <c r="F5" s="62"/>
      <c r="G5" s="62" t="s">
        <v>693</v>
      </c>
      <c r="H5" s="62" t="s">
        <v>1841</v>
      </c>
      <c r="I5" s="62"/>
      <c r="J5" s="62"/>
      <c r="K5" s="62"/>
      <c r="L5" s="62" t="s">
        <v>1760</v>
      </c>
    </row>
    <row r="6" customFormat="false" ht="33" hidden="false" customHeight="false" outlineLevel="0" collapsed="false">
      <c r="A6" s="62" t="n">
        <v>319</v>
      </c>
      <c r="B6" s="62"/>
      <c r="C6" s="62"/>
      <c r="D6" s="63" t="s">
        <v>240</v>
      </c>
      <c r="E6" s="62"/>
      <c r="F6" s="62"/>
      <c r="G6" s="62" t="s">
        <v>1842</v>
      </c>
      <c r="H6" s="62"/>
      <c r="I6" s="62"/>
      <c r="J6" s="62"/>
      <c r="K6" s="62"/>
      <c r="L6" s="63" t="s">
        <v>1843</v>
      </c>
    </row>
    <row r="7" customFormat="false" ht="33" hidden="false" customHeight="false" outlineLevel="0" collapsed="false">
      <c r="A7" s="62"/>
      <c r="B7" s="62"/>
      <c r="C7" s="62"/>
      <c r="D7" s="62" t="s">
        <v>1844</v>
      </c>
      <c r="E7" s="62"/>
      <c r="F7" s="62"/>
      <c r="G7" s="62" t="n">
        <v>4</v>
      </c>
      <c r="H7" s="62" t="s">
        <v>1493</v>
      </c>
      <c r="I7" s="62"/>
      <c r="J7" s="62"/>
      <c r="K7" s="62"/>
      <c r="L7" s="63" t="s">
        <v>1845</v>
      </c>
    </row>
    <row r="8" customFormat="false" ht="33" hidden="false" customHeight="false" outlineLevel="0" collapsed="false">
      <c r="A8" s="62"/>
      <c r="B8" s="62"/>
      <c r="C8" s="62"/>
      <c r="D8" s="63" t="s">
        <v>1846</v>
      </c>
      <c r="E8" s="62"/>
      <c r="F8" s="62"/>
      <c r="G8" s="64" t="n">
        <v>40725</v>
      </c>
      <c r="H8" s="62" t="s">
        <v>1847</v>
      </c>
      <c r="I8" s="62"/>
      <c r="J8" s="62"/>
      <c r="K8" s="62"/>
      <c r="L8" s="62" t="s">
        <v>1848</v>
      </c>
    </row>
    <row r="9" customFormat="false" ht="48.75" hidden="false" customHeight="false" outlineLevel="0" collapsed="false">
      <c r="A9" s="62"/>
      <c r="B9" s="62"/>
      <c r="C9" s="62"/>
      <c r="D9" s="63" t="s">
        <v>1849</v>
      </c>
      <c r="E9" s="62"/>
      <c r="F9" s="62"/>
      <c r="G9" s="62" t="s">
        <v>267</v>
      </c>
      <c r="H9" s="62" t="s">
        <v>268</v>
      </c>
      <c r="I9" s="62"/>
      <c r="J9" s="62"/>
      <c r="K9" s="62"/>
      <c r="L9" s="62" t="s">
        <v>1850</v>
      </c>
    </row>
    <row r="10" customFormat="false" ht="33" hidden="false" customHeight="false" outlineLevel="0" collapsed="false">
      <c r="A10" s="62"/>
      <c r="B10" s="62"/>
      <c r="C10" s="62"/>
      <c r="D10" s="63" t="s">
        <v>255</v>
      </c>
      <c r="E10" s="62"/>
      <c r="F10" s="62"/>
      <c r="G10" s="63" t="s">
        <v>269</v>
      </c>
      <c r="H10" s="62" t="s">
        <v>1851</v>
      </c>
      <c r="I10" s="62"/>
      <c r="J10" s="62"/>
      <c r="K10" s="62"/>
      <c r="L10" s="62" t="s">
        <v>1852</v>
      </c>
    </row>
    <row r="11" customFormat="false" ht="33" hidden="false" customHeight="false" outlineLevel="0" collapsed="false">
      <c r="A11" s="62"/>
      <c r="B11" s="62"/>
      <c r="C11" s="62"/>
      <c r="D11" s="63" t="s">
        <v>244</v>
      </c>
      <c r="E11" s="62"/>
      <c r="F11" s="62"/>
      <c r="G11" s="63" t="s">
        <v>270</v>
      </c>
      <c r="H11" s="62"/>
      <c r="I11" s="62"/>
      <c r="J11" s="62"/>
      <c r="K11" s="62"/>
      <c r="L11" s="63" t="s">
        <v>1853</v>
      </c>
    </row>
    <row r="12" customFormat="false" ht="33" hidden="false" customHeight="false" outlineLevel="0" collapsed="false">
      <c r="A12" s="62"/>
      <c r="B12" s="62"/>
      <c r="C12" s="62"/>
      <c r="D12" s="62" t="s">
        <v>1854</v>
      </c>
      <c r="E12" s="62"/>
      <c r="F12" s="62"/>
      <c r="G12" s="62" t="s">
        <v>267</v>
      </c>
      <c r="H12" s="62"/>
      <c r="I12" s="62"/>
      <c r="J12" s="62"/>
      <c r="K12" s="62"/>
      <c r="L12" s="63" t="s">
        <v>1855</v>
      </c>
    </row>
    <row r="13" customFormat="false" ht="48.75" hidden="false" customHeight="false" outlineLevel="0" collapsed="false">
      <c r="A13" s="62"/>
      <c r="B13" s="62"/>
      <c r="C13" s="62"/>
      <c r="D13" s="63" t="s">
        <v>242</v>
      </c>
      <c r="E13" s="62"/>
      <c r="F13" s="62"/>
      <c r="G13" s="62" t="s">
        <v>1851</v>
      </c>
      <c r="H13" s="62"/>
      <c r="I13" s="62"/>
      <c r="J13" s="62"/>
      <c r="K13" s="62"/>
      <c r="L13" s="62" t="s">
        <v>1856</v>
      </c>
    </row>
    <row r="14" customFormat="false" ht="48.75" hidden="false" customHeight="false" outlineLevel="0" collapsed="false">
      <c r="A14" s="62"/>
      <c r="B14" s="62"/>
      <c r="C14" s="62"/>
      <c r="D14" s="63" t="s">
        <v>243</v>
      </c>
      <c r="E14" s="62"/>
      <c r="F14" s="62"/>
      <c r="G14" s="62" t="s">
        <v>267</v>
      </c>
      <c r="H14" s="62"/>
      <c r="I14" s="62"/>
      <c r="J14" s="62"/>
      <c r="K14" s="62"/>
      <c r="L14" s="63" t="s">
        <v>1857</v>
      </c>
    </row>
    <row r="15" customFormat="false" ht="48.75" hidden="false" customHeight="false" outlineLevel="0" collapsed="false">
      <c r="A15" s="62"/>
      <c r="B15" s="62"/>
      <c r="C15" s="62"/>
      <c r="D15" s="63" t="s">
        <v>227</v>
      </c>
      <c r="E15" s="62"/>
      <c r="F15" s="62"/>
      <c r="G15" s="62" t="s">
        <v>1858</v>
      </c>
      <c r="H15" s="62"/>
      <c r="I15" s="62"/>
      <c r="J15" s="62"/>
      <c r="K15" s="62"/>
      <c r="L15" s="62" t="s">
        <v>1859</v>
      </c>
    </row>
    <row r="16" customFormat="false" ht="33" hidden="false" customHeight="false" outlineLevel="0" collapsed="false">
      <c r="A16" s="62"/>
      <c r="B16" s="62"/>
      <c r="C16" s="62"/>
      <c r="D16" s="63" t="s">
        <v>240</v>
      </c>
      <c r="E16" s="62"/>
      <c r="F16" s="62"/>
      <c r="G16" s="62"/>
      <c r="H16" s="62"/>
      <c r="I16" s="62"/>
      <c r="J16" s="62"/>
      <c r="K16" s="62"/>
      <c r="L16" s="62" t="s">
        <v>1860</v>
      </c>
    </row>
    <row r="17" customFormat="false" ht="33" hidden="false" customHeight="false" outlineLevel="0" collapsed="false">
      <c r="A17" s="62"/>
      <c r="B17" s="62"/>
      <c r="C17" s="62"/>
      <c r="D17" s="63" t="s">
        <v>244</v>
      </c>
      <c r="E17" s="62"/>
      <c r="F17" s="62"/>
      <c r="G17" s="62"/>
      <c r="H17" s="62"/>
      <c r="I17" s="62"/>
      <c r="J17" s="62"/>
      <c r="K17" s="62"/>
      <c r="L17" s="63" t="s">
        <v>1861</v>
      </c>
    </row>
    <row r="18" customFormat="false" ht="48.75" hidden="false" customHeight="false" outlineLevel="0" collapsed="false">
      <c r="A18" s="62"/>
      <c r="B18" s="62"/>
      <c r="C18" s="62"/>
      <c r="D18" s="62" t="s">
        <v>1862</v>
      </c>
      <c r="E18" s="62"/>
      <c r="F18" s="62"/>
      <c r="G18" s="62"/>
      <c r="H18" s="62"/>
      <c r="I18" s="62"/>
      <c r="J18" s="62"/>
      <c r="K18" s="62"/>
      <c r="L18" s="63" t="s">
        <v>1863</v>
      </c>
    </row>
    <row r="19" customFormat="false" ht="33" hidden="false" customHeight="false" outlineLevel="0" collapsed="false">
      <c r="A19" s="62"/>
      <c r="B19" s="62"/>
      <c r="C19" s="62"/>
      <c r="D19" s="63" t="s">
        <v>233</v>
      </c>
      <c r="E19" s="62"/>
      <c r="F19" s="62"/>
      <c r="G19" s="62"/>
      <c r="H19" s="62"/>
      <c r="I19" s="62"/>
      <c r="J19" s="62"/>
      <c r="K19" s="62"/>
      <c r="L19" s="62" t="s">
        <v>1864</v>
      </c>
    </row>
    <row r="20" customFormat="false" ht="33" hidden="false" customHeight="false" outlineLevel="0" collapsed="false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 t="s">
        <v>1865</v>
      </c>
    </row>
    <row r="21" customFormat="false" ht="33" hidden="false" customHeight="false" outlineLevel="0" collapsed="false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3" t="s">
        <v>1866</v>
      </c>
    </row>
    <row r="22" customFormat="false" ht="33" hidden="false" customHeight="fals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3" t="s">
        <v>1857</v>
      </c>
    </row>
    <row r="23" customFormat="false" ht="17.25" hidden="false" customHeight="false" outlineLevel="0" collapsed="false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3" t="s">
        <v>838</v>
      </c>
    </row>
    <row r="24" customFormat="false" ht="33" hidden="false" customHeight="false" outlineLevel="0" collapsed="false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 t="s">
        <v>1867</v>
      </c>
    </row>
    <row r="25" customFormat="false" ht="48.75" hidden="false" customHeight="false" outlineLevel="0" collapsed="false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 t="s">
        <v>1868</v>
      </c>
    </row>
    <row r="26" customFormat="false" ht="33" hidden="false" customHeight="false" outlineLevel="0" collapsed="false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3" t="s">
        <v>1869</v>
      </c>
    </row>
    <row r="27" customFormat="false" ht="33" hidden="false" customHeight="false" outlineLevel="0" collapsed="false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3" t="s">
        <v>1870</v>
      </c>
    </row>
    <row r="28" customFormat="false" ht="48.75" hidden="false" customHeight="false" outlineLevel="0" collapsed="false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3" t="s">
        <v>1871</v>
      </c>
    </row>
    <row r="29" customFormat="false" ht="17.25" hidden="false" customHeight="false" outlineLevel="0" collapsed="false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3" t="s">
        <v>1872</v>
      </c>
    </row>
    <row r="30" customFormat="false" ht="17.25" hidden="false" customHeight="false" outlineLevel="0" collapsed="false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 t="s">
        <v>838</v>
      </c>
    </row>
    <row r="31" customFormat="false" ht="17.25" hidden="false" customHeight="false" outlineLevel="0" collapsed="false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3" t="s">
        <v>838</v>
      </c>
    </row>
    <row r="32" customFormat="false" ht="33" hidden="false" customHeight="false" outlineLevel="0" collapsed="false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 t="s">
        <v>1873</v>
      </c>
    </row>
    <row r="33" customFormat="false" ht="33" hidden="false" customHeight="false" outlineLevel="0" collapsed="false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 t="s">
        <v>1874</v>
      </c>
    </row>
    <row r="34" customFormat="false" ht="33" hidden="false" customHeight="fals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1180</v>
      </c>
    </row>
    <row r="35" customFormat="false" ht="33" hidden="false" customHeight="false" outlineLevel="0" collapsed="false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 t="s">
        <v>1875</v>
      </c>
    </row>
    <row r="36" customFormat="false" ht="48.75" hidden="false" customHeight="false" outlineLevel="0" collapsed="false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 t="s">
        <v>1876</v>
      </c>
    </row>
    <row r="37" customFormat="false" ht="33" hidden="false" customHeight="false" outlineLevel="0" collapsed="false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 t="s">
        <v>1877</v>
      </c>
    </row>
    <row r="38" customFormat="false" ht="17.25" hidden="false" customHeight="false" outlineLevel="0" collapsed="false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 t="s">
        <v>1878</v>
      </c>
    </row>
    <row r="39" customFormat="false" ht="33" hidden="false" customHeight="false" outlineLevel="0" collapsed="false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 t="s">
        <v>1879</v>
      </c>
    </row>
    <row r="40" customFormat="false" ht="33" hidden="false" customHeight="fals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 t="s">
        <v>1880</v>
      </c>
    </row>
    <row r="41" customFormat="false" ht="17.25" hidden="false" customHeight="fals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 t="s">
        <v>1881</v>
      </c>
    </row>
    <row r="42" customFormat="false" ht="17.25" hidden="false" customHeight="fals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 t="s">
        <v>1882</v>
      </c>
    </row>
    <row r="43" customFormat="false" ht="17.25" hidden="false" customHeight="fals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 t="s">
        <v>838</v>
      </c>
    </row>
    <row r="44" customFormat="false" ht="15.75" hidden="false" customHeight="false" outlineLevel="0" collapsed="false">
      <c r="A44" s="3" t="s">
        <v>211</v>
      </c>
    </row>
    <row r="51" customFormat="false" ht="15.75" hidden="false" customHeight="false" outlineLevel="0" collapsed="false">
      <c r="A51" s="65" t="s">
        <v>281</v>
      </c>
    </row>
  </sheetData>
  <hyperlinks>
    <hyperlink ref="M1" location="Index!A1" display="Index"/>
    <hyperlink ref="A44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7.86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344</v>
      </c>
      <c r="B4" s="62" t="n">
        <v>719</v>
      </c>
      <c r="C4" s="63" t="s">
        <v>1604</v>
      </c>
      <c r="D4" s="63" t="s">
        <v>1883</v>
      </c>
      <c r="E4" s="63" t="s">
        <v>876</v>
      </c>
      <c r="F4" s="62"/>
      <c r="G4" s="62" t="s">
        <v>1828</v>
      </c>
      <c r="H4" s="62"/>
      <c r="I4" s="62"/>
      <c r="J4" s="62"/>
      <c r="K4" s="62"/>
      <c r="L4" s="62"/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1253</v>
      </c>
      <c r="E5" s="62"/>
      <c r="F5" s="62"/>
      <c r="G5" s="62" t="s">
        <v>586</v>
      </c>
      <c r="H5" s="62" t="s">
        <v>1884</v>
      </c>
      <c r="I5" s="62"/>
      <c r="J5" s="62"/>
      <c r="K5" s="62"/>
      <c r="L5" s="62"/>
    </row>
    <row r="6" customFormat="false" ht="17.25" hidden="false" customHeight="false" outlineLevel="0" collapsed="false">
      <c r="A6" s="62" t="s">
        <v>1885</v>
      </c>
      <c r="B6" s="62"/>
      <c r="C6" s="62"/>
      <c r="D6" s="63" t="s">
        <v>236</v>
      </c>
      <c r="E6" s="62"/>
      <c r="F6" s="62"/>
      <c r="G6" s="62" t="s">
        <v>1886</v>
      </c>
      <c r="H6" s="62"/>
      <c r="I6" s="62"/>
      <c r="J6" s="62"/>
      <c r="K6" s="62"/>
      <c r="L6" s="62"/>
    </row>
    <row r="7" customFormat="false" ht="33" hidden="false" customHeight="false" outlineLevel="0" collapsed="false">
      <c r="A7" s="62"/>
      <c r="B7" s="62"/>
      <c r="C7" s="62"/>
      <c r="D7" s="62" t="s">
        <v>1887</v>
      </c>
      <c r="E7" s="62"/>
      <c r="F7" s="62"/>
      <c r="G7" s="62" t="n">
        <v>5</v>
      </c>
      <c r="H7" s="62" t="s">
        <v>1063</v>
      </c>
      <c r="I7" s="62"/>
      <c r="J7" s="62"/>
      <c r="K7" s="62"/>
      <c r="L7" s="62"/>
    </row>
    <row r="8" customFormat="false" ht="33" hidden="false" customHeight="false" outlineLevel="0" collapsed="false">
      <c r="A8" s="62"/>
      <c r="B8" s="62"/>
      <c r="C8" s="62"/>
      <c r="D8" s="63" t="s">
        <v>1888</v>
      </c>
      <c r="E8" s="62"/>
      <c r="F8" s="62"/>
      <c r="G8" s="62" t="n">
        <v>6</v>
      </c>
      <c r="H8" s="62" t="s">
        <v>301</v>
      </c>
      <c r="I8" s="62"/>
      <c r="J8" s="62"/>
      <c r="K8" s="62"/>
      <c r="L8" s="62"/>
    </row>
    <row r="9" customFormat="false" ht="17.25" hidden="false" customHeight="false" outlineLevel="0" collapsed="false">
      <c r="A9" s="62"/>
      <c r="B9" s="62"/>
      <c r="C9" s="62"/>
      <c r="D9" s="63" t="s">
        <v>1889</v>
      </c>
      <c r="E9" s="62"/>
      <c r="F9" s="62"/>
      <c r="G9" s="62" t="s">
        <v>1890</v>
      </c>
      <c r="H9" s="62"/>
      <c r="I9" s="62"/>
      <c r="J9" s="62"/>
      <c r="K9" s="62"/>
      <c r="L9" s="62"/>
    </row>
    <row r="10" customFormat="false" ht="17.25" hidden="false" customHeight="false" outlineLevel="0" collapsed="false">
      <c r="A10" s="62"/>
      <c r="B10" s="62"/>
      <c r="C10" s="62"/>
      <c r="D10" s="63" t="s">
        <v>1883</v>
      </c>
      <c r="E10" s="62"/>
      <c r="F10" s="62"/>
      <c r="G10" s="62" t="n">
        <v>1</v>
      </c>
      <c r="H10" s="62" t="s">
        <v>265</v>
      </c>
      <c r="I10" s="62"/>
      <c r="J10" s="62"/>
      <c r="K10" s="62"/>
      <c r="L10" s="62"/>
    </row>
    <row r="11" customFormat="false" ht="33" hidden="false" customHeight="false" outlineLevel="0" collapsed="false">
      <c r="A11" s="62"/>
      <c r="B11" s="62"/>
      <c r="C11" s="62"/>
      <c r="D11" s="63" t="s">
        <v>240</v>
      </c>
      <c r="E11" s="62"/>
      <c r="F11" s="62"/>
      <c r="G11" s="62" t="n">
        <v>10</v>
      </c>
      <c r="H11" s="62" t="s">
        <v>299</v>
      </c>
      <c r="I11" s="62"/>
      <c r="J11" s="62"/>
      <c r="K11" s="62"/>
      <c r="L11" s="62"/>
    </row>
    <row r="12" customFormat="false" ht="33" hidden="false" customHeight="false" outlineLevel="0" collapsed="false">
      <c r="A12" s="62"/>
      <c r="B12" s="62"/>
      <c r="C12" s="62"/>
      <c r="D12" s="63" t="s">
        <v>244</v>
      </c>
      <c r="E12" s="62"/>
      <c r="F12" s="62"/>
      <c r="G12" s="62" t="s">
        <v>267</v>
      </c>
      <c r="H12" s="62" t="s">
        <v>268</v>
      </c>
      <c r="I12" s="62"/>
      <c r="J12" s="62"/>
      <c r="K12" s="62"/>
      <c r="L12" s="62"/>
    </row>
    <row r="13" customFormat="false" ht="17.25" hidden="false" customHeight="false" outlineLevel="0" collapsed="false">
      <c r="A13" s="62"/>
      <c r="B13" s="62"/>
      <c r="C13" s="62"/>
      <c r="D13" s="62" t="s">
        <v>964</v>
      </c>
      <c r="E13" s="62"/>
      <c r="F13" s="62"/>
      <c r="G13" s="63" t="s">
        <v>278</v>
      </c>
      <c r="H13" s="62" t="s">
        <v>1891</v>
      </c>
      <c r="I13" s="62"/>
      <c r="J13" s="62"/>
      <c r="K13" s="62"/>
      <c r="L13" s="62"/>
    </row>
    <row r="14" customFormat="false" ht="33" hidden="false" customHeight="false" outlineLevel="0" collapsed="false">
      <c r="A14" s="62"/>
      <c r="B14" s="62"/>
      <c r="C14" s="62"/>
      <c r="D14" s="63" t="s">
        <v>1892</v>
      </c>
      <c r="E14" s="62"/>
      <c r="F14" s="62"/>
      <c r="G14" s="63" t="s">
        <v>270</v>
      </c>
      <c r="H14" s="62"/>
      <c r="I14" s="62"/>
      <c r="J14" s="62"/>
      <c r="K14" s="62"/>
      <c r="L14" s="62"/>
    </row>
    <row r="15" customFormat="false" ht="33" hidden="false" customHeight="false" outlineLevel="0" collapsed="false">
      <c r="A15" s="62"/>
      <c r="B15" s="62"/>
      <c r="C15" s="62"/>
      <c r="D15" s="63" t="s">
        <v>1893</v>
      </c>
      <c r="E15" s="62"/>
      <c r="F15" s="62"/>
      <c r="G15" s="62" t="s">
        <v>267</v>
      </c>
      <c r="H15" s="62"/>
      <c r="I15" s="62"/>
      <c r="J15" s="62"/>
      <c r="K15" s="62"/>
      <c r="L15" s="62"/>
    </row>
    <row r="16" customFormat="false" ht="17.25" hidden="false" customHeight="false" outlineLevel="0" collapsed="false">
      <c r="A16" s="62"/>
      <c r="B16" s="62"/>
      <c r="C16" s="62"/>
      <c r="D16" s="63" t="s">
        <v>227</v>
      </c>
      <c r="E16" s="62"/>
      <c r="F16" s="62"/>
      <c r="G16" s="62" t="s">
        <v>1891</v>
      </c>
      <c r="H16" s="62"/>
      <c r="I16" s="62"/>
      <c r="J16" s="62"/>
      <c r="K16" s="62"/>
      <c r="L16" s="62"/>
    </row>
    <row r="17" customFormat="false" ht="33" hidden="false" customHeight="false" outlineLevel="0" collapsed="false">
      <c r="A17" s="62"/>
      <c r="B17" s="62"/>
      <c r="C17" s="62"/>
      <c r="D17" s="63" t="s">
        <v>303</v>
      </c>
      <c r="E17" s="62"/>
      <c r="F17" s="62"/>
      <c r="G17" s="62" t="s">
        <v>267</v>
      </c>
      <c r="H17" s="62"/>
      <c r="I17" s="62"/>
      <c r="J17" s="62"/>
      <c r="K17" s="62"/>
      <c r="L17" s="62"/>
    </row>
    <row r="18" customFormat="false" ht="33" hidden="false" customHeight="false" outlineLevel="0" collapsed="false">
      <c r="A18" s="62"/>
      <c r="B18" s="62"/>
      <c r="C18" s="62"/>
      <c r="D18" s="62" t="s">
        <v>1887</v>
      </c>
      <c r="E18" s="62"/>
      <c r="F18" s="62"/>
      <c r="G18" s="62" t="s">
        <v>1894</v>
      </c>
      <c r="H18" s="62"/>
      <c r="I18" s="62"/>
      <c r="J18" s="62"/>
      <c r="K18" s="62"/>
      <c r="L18" s="62"/>
    </row>
    <row r="19" customFormat="false" ht="33" hidden="false" customHeight="false" outlineLevel="0" collapsed="false">
      <c r="A19" s="62"/>
      <c r="B19" s="62"/>
      <c r="C19" s="62"/>
      <c r="D19" s="63" t="s">
        <v>233</v>
      </c>
      <c r="E19" s="62"/>
      <c r="F19" s="62"/>
      <c r="G19" s="62" t="s">
        <v>1884</v>
      </c>
      <c r="H19" s="62"/>
      <c r="I19" s="62"/>
      <c r="J19" s="62"/>
      <c r="K19" s="62"/>
      <c r="L19" s="62"/>
    </row>
    <row r="20" customFormat="false" ht="15.75" hidden="false" customHeight="false" outlineLevel="0" collapsed="false">
      <c r="A20" s="3" t="s">
        <v>211</v>
      </c>
    </row>
    <row r="27" customFormat="false" ht="15.75" hidden="false" customHeight="false" outlineLevel="0" collapsed="false">
      <c r="A27" s="65" t="s">
        <v>281</v>
      </c>
    </row>
  </sheetData>
  <hyperlinks>
    <hyperlink ref="M1" location="Index!A1" display="Index"/>
    <hyperlink ref="A20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" hidden="false" customHeight="false" outlineLevel="0" collapsed="false">
      <c r="A3" s="3" t="s">
        <v>211</v>
      </c>
    </row>
    <row r="4" customFormat="false" ht="18" hidden="false" customHeight="false" outlineLevel="0" collapsed="false">
      <c r="A4" s="60" t="s">
        <v>212</v>
      </c>
    </row>
    <row r="10" customFormat="false" ht="15.75" hidden="false" customHeight="false" outlineLevel="0" collapsed="false">
      <c r="A10" s="65" t="s">
        <v>281</v>
      </c>
    </row>
  </sheetData>
  <hyperlinks>
    <hyperlink ref="M1" location="Index!A1" display="Index"/>
    <hyperlink ref="A3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1.85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347</v>
      </c>
      <c r="B4" s="62" t="n">
        <v>726</v>
      </c>
      <c r="C4" s="63" t="s">
        <v>1604</v>
      </c>
      <c r="D4" s="63" t="s">
        <v>227</v>
      </c>
      <c r="E4" s="63" t="s">
        <v>876</v>
      </c>
      <c r="F4" s="62"/>
      <c r="G4" s="62" t="s">
        <v>1895</v>
      </c>
      <c r="H4" s="62"/>
      <c r="I4" s="62"/>
      <c r="J4" s="62"/>
      <c r="K4" s="62"/>
      <c r="L4" s="62"/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1253</v>
      </c>
      <c r="E5" s="62"/>
      <c r="F5" s="62"/>
      <c r="G5" s="62" t="s">
        <v>582</v>
      </c>
      <c r="H5" s="62" t="s">
        <v>1644</v>
      </c>
      <c r="I5" s="62"/>
      <c r="J5" s="62"/>
      <c r="K5" s="62"/>
      <c r="L5" s="62"/>
    </row>
    <row r="6" customFormat="false" ht="17.25" hidden="false" customHeight="false" outlineLevel="0" collapsed="false">
      <c r="A6" s="62" t="n">
        <v>324</v>
      </c>
      <c r="B6" s="62"/>
      <c r="C6" s="62"/>
      <c r="D6" s="63" t="s">
        <v>236</v>
      </c>
      <c r="E6" s="62"/>
      <c r="F6" s="62"/>
      <c r="G6" s="62"/>
      <c r="H6" s="62"/>
      <c r="I6" s="62"/>
      <c r="J6" s="62"/>
      <c r="K6" s="62"/>
      <c r="L6" s="62"/>
    </row>
    <row r="7" customFormat="false" ht="17.25" hidden="false" customHeight="false" outlineLevel="0" collapsed="false">
      <c r="A7" s="62"/>
      <c r="B7" s="62"/>
      <c r="C7" s="62"/>
      <c r="D7" s="63" t="s">
        <v>233</v>
      </c>
      <c r="E7" s="62"/>
      <c r="F7" s="62"/>
      <c r="G7" s="62"/>
      <c r="H7" s="62"/>
      <c r="I7" s="62"/>
      <c r="J7" s="62"/>
      <c r="K7" s="62"/>
      <c r="L7" s="62"/>
    </row>
    <row r="8" customFormat="false" ht="15.75" hidden="false" customHeight="false" outlineLevel="0" collapsed="false">
      <c r="A8" s="3" t="s">
        <v>211</v>
      </c>
    </row>
    <row r="15" customFormat="false" ht="15.75" hidden="false" customHeight="false" outlineLevel="0" collapsed="false">
      <c r="A15" s="65" t="s">
        <v>281</v>
      </c>
    </row>
  </sheetData>
  <hyperlinks>
    <hyperlink ref="M1" location="Index!A1" display="Index"/>
    <hyperlink ref="A8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" hidden="false" customHeight="false" outlineLevel="0" collapsed="false">
      <c r="A3" s="3" t="s">
        <v>211</v>
      </c>
    </row>
    <row r="4" customFormat="false" ht="18" hidden="false" customHeight="false" outlineLevel="0" collapsed="false">
      <c r="A4" s="60" t="s">
        <v>212</v>
      </c>
    </row>
    <row r="10" customFormat="false" ht="15.75" hidden="false" customHeight="false" outlineLevel="0" collapsed="false">
      <c r="A10" s="65" t="s">
        <v>281</v>
      </c>
    </row>
  </sheetData>
  <hyperlinks>
    <hyperlink ref="M1" location="Index!A1" display="Index"/>
    <hyperlink ref="A3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.42"/>
    <col collapsed="false" customWidth="true" hidden="false" outlineLevel="0" max="12" min="12" style="0" width="13.42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353</v>
      </c>
      <c r="B4" s="62" t="n">
        <v>739</v>
      </c>
      <c r="C4" s="63" t="s">
        <v>1604</v>
      </c>
      <c r="D4" s="63" t="s">
        <v>1470</v>
      </c>
      <c r="E4" s="63" t="s">
        <v>876</v>
      </c>
      <c r="F4" s="62"/>
      <c r="G4" s="62" t="s">
        <v>1828</v>
      </c>
      <c r="H4" s="62"/>
      <c r="I4" s="62"/>
      <c r="J4" s="62"/>
      <c r="K4" s="62"/>
      <c r="L4" s="63" t="s">
        <v>838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1471</v>
      </c>
      <c r="E5" s="62"/>
      <c r="F5" s="62"/>
      <c r="G5" s="62" t="n">
        <v>2</v>
      </c>
      <c r="H5" s="62" t="s">
        <v>1896</v>
      </c>
      <c r="I5" s="62"/>
      <c r="J5" s="62"/>
      <c r="K5" s="62"/>
      <c r="L5" s="63" t="s">
        <v>1897</v>
      </c>
    </row>
    <row r="6" customFormat="false" ht="33" hidden="false" customHeight="false" outlineLevel="0" collapsed="false">
      <c r="A6" s="62" t="n">
        <v>330</v>
      </c>
      <c r="B6" s="62"/>
      <c r="C6" s="62"/>
      <c r="D6" s="63" t="s">
        <v>839</v>
      </c>
      <c r="E6" s="62"/>
      <c r="F6" s="62"/>
      <c r="G6" s="62" t="n">
        <v>3</v>
      </c>
      <c r="H6" s="62" t="s">
        <v>1522</v>
      </c>
      <c r="I6" s="62"/>
      <c r="J6" s="62"/>
      <c r="K6" s="62"/>
      <c r="L6" s="63" t="s">
        <v>850</v>
      </c>
    </row>
    <row r="7" customFormat="false" ht="33" hidden="false" customHeight="false" outlineLevel="0" collapsed="false">
      <c r="A7" s="62"/>
      <c r="B7" s="62"/>
      <c r="C7" s="62"/>
      <c r="D7" s="62" t="s">
        <v>330</v>
      </c>
      <c r="E7" s="62"/>
      <c r="F7" s="62"/>
      <c r="G7" s="62" t="n">
        <v>8</v>
      </c>
      <c r="H7" s="62" t="s">
        <v>771</v>
      </c>
      <c r="I7" s="62"/>
      <c r="J7" s="62"/>
      <c r="K7" s="62"/>
      <c r="L7" s="63" t="s">
        <v>851</v>
      </c>
    </row>
    <row r="8" customFormat="false" ht="33" hidden="false" customHeight="false" outlineLevel="0" collapsed="false">
      <c r="A8" s="62"/>
      <c r="B8" s="62"/>
      <c r="C8" s="62"/>
      <c r="D8" s="63" t="s">
        <v>233</v>
      </c>
      <c r="E8" s="62"/>
      <c r="F8" s="62"/>
      <c r="G8" s="62" t="s">
        <v>267</v>
      </c>
      <c r="H8" s="62" t="s">
        <v>268</v>
      </c>
      <c r="I8" s="62"/>
      <c r="J8" s="62"/>
      <c r="K8" s="62"/>
      <c r="L8" s="63" t="s">
        <v>1898</v>
      </c>
    </row>
    <row r="9" customFormat="false" ht="33" hidden="false" customHeight="false" outlineLevel="0" collapsed="false">
      <c r="A9" s="62"/>
      <c r="B9" s="62"/>
      <c r="C9" s="62"/>
      <c r="D9" s="63" t="s">
        <v>1899</v>
      </c>
      <c r="E9" s="62"/>
      <c r="F9" s="62"/>
      <c r="G9" s="63" t="s">
        <v>269</v>
      </c>
      <c r="H9" s="62" t="s">
        <v>1900</v>
      </c>
      <c r="I9" s="62"/>
      <c r="J9" s="62"/>
      <c r="K9" s="62"/>
      <c r="L9" s="63" t="s">
        <v>1901</v>
      </c>
    </row>
    <row r="10" customFormat="false" ht="48.75" hidden="false" customHeight="false" outlineLevel="0" collapsed="false">
      <c r="A10" s="62"/>
      <c r="B10" s="62"/>
      <c r="C10" s="62"/>
      <c r="D10" s="63" t="s">
        <v>1902</v>
      </c>
      <c r="E10" s="62"/>
      <c r="F10" s="62"/>
      <c r="G10" s="63" t="s">
        <v>270</v>
      </c>
      <c r="H10" s="62"/>
      <c r="I10" s="62"/>
      <c r="J10" s="62"/>
      <c r="K10" s="62"/>
      <c r="L10" s="63" t="s">
        <v>1903</v>
      </c>
    </row>
    <row r="11" customFormat="false" ht="33" hidden="false" customHeight="false" outlineLevel="0" collapsed="false">
      <c r="A11" s="62"/>
      <c r="B11" s="62"/>
      <c r="C11" s="62"/>
      <c r="D11" s="63" t="s">
        <v>1904</v>
      </c>
      <c r="E11" s="62"/>
      <c r="F11" s="62"/>
      <c r="G11" s="62" t="s">
        <v>267</v>
      </c>
      <c r="H11" s="62"/>
      <c r="I11" s="62"/>
      <c r="J11" s="62"/>
      <c r="K11" s="62"/>
      <c r="L11" s="63" t="s">
        <v>1905</v>
      </c>
    </row>
    <row r="12" customFormat="false" ht="33" hidden="false" customHeight="false" outlineLevel="0" collapsed="false">
      <c r="A12" s="62"/>
      <c r="B12" s="62"/>
      <c r="C12" s="62"/>
      <c r="D12" s="62" t="s">
        <v>330</v>
      </c>
      <c r="E12" s="62"/>
      <c r="F12" s="62"/>
      <c r="G12" s="62" t="s">
        <v>1900</v>
      </c>
      <c r="H12" s="62"/>
      <c r="I12" s="62"/>
      <c r="J12" s="62"/>
      <c r="K12" s="62"/>
      <c r="L12" s="62" t="s">
        <v>1906</v>
      </c>
    </row>
    <row r="13" customFormat="false" ht="33" hidden="false" customHeight="false" outlineLevel="0" collapsed="false">
      <c r="A13" s="62"/>
      <c r="B13" s="62"/>
      <c r="C13" s="62"/>
      <c r="D13" s="63" t="s">
        <v>1907</v>
      </c>
      <c r="E13" s="62"/>
      <c r="F13" s="62"/>
      <c r="G13" s="62" t="s">
        <v>267</v>
      </c>
      <c r="H13" s="62"/>
      <c r="I13" s="62"/>
      <c r="J13" s="62"/>
      <c r="K13" s="62"/>
      <c r="L13" s="63" t="s">
        <v>1908</v>
      </c>
    </row>
    <row r="14" customFormat="false" ht="33" hidden="false" customHeight="false" outlineLevel="0" collapsed="false">
      <c r="A14" s="62"/>
      <c r="B14" s="62"/>
      <c r="C14" s="62"/>
      <c r="D14" s="63" t="s">
        <v>1468</v>
      </c>
      <c r="E14" s="62"/>
      <c r="F14" s="62"/>
      <c r="G14" s="62" t="s">
        <v>1909</v>
      </c>
      <c r="H14" s="62"/>
      <c r="I14" s="62"/>
      <c r="J14" s="62"/>
      <c r="K14" s="62"/>
      <c r="L14" s="62" t="s">
        <v>864</v>
      </c>
    </row>
    <row r="15" customFormat="false" ht="33" hidden="false" customHeight="false" outlineLevel="0" collapsed="false">
      <c r="A15" s="62"/>
      <c r="B15" s="62"/>
      <c r="C15" s="62"/>
      <c r="D15" s="63" t="s">
        <v>227</v>
      </c>
      <c r="E15" s="62"/>
      <c r="F15" s="62"/>
      <c r="G15" s="62"/>
      <c r="H15" s="62"/>
      <c r="I15" s="62"/>
      <c r="J15" s="62"/>
      <c r="K15" s="62"/>
      <c r="L15" s="62" t="s">
        <v>865</v>
      </c>
    </row>
    <row r="16" customFormat="false" ht="48.75" hidden="false" customHeight="false" outlineLevel="0" collapsed="false">
      <c r="A16" s="62"/>
      <c r="B16" s="62"/>
      <c r="C16" s="62"/>
      <c r="D16" s="63" t="s">
        <v>303</v>
      </c>
      <c r="E16" s="62"/>
      <c r="F16" s="62"/>
      <c r="G16" s="62"/>
      <c r="H16" s="62"/>
      <c r="I16" s="62"/>
      <c r="J16" s="62"/>
      <c r="K16" s="62"/>
      <c r="L16" s="63" t="s">
        <v>866</v>
      </c>
    </row>
    <row r="17" customFormat="false" ht="33" hidden="false" customHeight="false" outlineLevel="0" collapsed="false">
      <c r="A17" s="62"/>
      <c r="B17" s="62"/>
      <c r="C17" s="62"/>
      <c r="D17" s="62" t="s">
        <v>1910</v>
      </c>
      <c r="E17" s="62"/>
      <c r="F17" s="62"/>
      <c r="G17" s="62"/>
      <c r="H17" s="62"/>
      <c r="I17" s="62"/>
      <c r="J17" s="62"/>
      <c r="K17" s="62"/>
      <c r="L17" s="63" t="s">
        <v>867</v>
      </c>
    </row>
    <row r="18" customFormat="false" ht="17.25" hidden="false" customHeight="false" outlineLevel="0" collapsed="false">
      <c r="A18" s="62"/>
      <c r="B18" s="62"/>
      <c r="C18" s="62"/>
      <c r="D18" s="63" t="s">
        <v>233</v>
      </c>
      <c r="E18" s="62"/>
      <c r="F18" s="62"/>
      <c r="G18" s="62"/>
      <c r="H18" s="62"/>
      <c r="I18" s="62"/>
      <c r="J18" s="62"/>
      <c r="K18" s="62"/>
      <c r="L18" s="63" t="s">
        <v>838</v>
      </c>
    </row>
    <row r="19" customFormat="false" ht="33" hidden="false" customHeight="false" outlineLevel="0" collapsed="false">
      <c r="A19" s="62"/>
      <c r="B19" s="62"/>
      <c r="C19" s="62"/>
      <c r="D19" s="63" t="s">
        <v>1898</v>
      </c>
      <c r="E19" s="62"/>
      <c r="F19" s="62"/>
      <c r="G19" s="62"/>
      <c r="H19" s="62"/>
      <c r="I19" s="62"/>
      <c r="J19" s="62"/>
      <c r="K19" s="62"/>
      <c r="L19" s="62"/>
    </row>
    <row r="20" customFormat="false" ht="33" hidden="false" customHeight="false" outlineLevel="0" collapsed="false">
      <c r="A20" s="62"/>
      <c r="B20" s="62"/>
      <c r="C20" s="62"/>
      <c r="D20" s="63" t="s">
        <v>1902</v>
      </c>
      <c r="E20" s="62"/>
      <c r="F20" s="62"/>
      <c r="G20" s="62"/>
      <c r="H20" s="62"/>
      <c r="I20" s="62"/>
      <c r="J20" s="62"/>
      <c r="K20" s="62"/>
      <c r="L20" s="62"/>
    </row>
    <row r="21" customFormat="false" ht="17.25" hidden="false" customHeight="false" outlineLevel="0" collapsed="false">
      <c r="A21" s="62"/>
      <c r="B21" s="62"/>
      <c r="C21" s="62"/>
      <c r="D21" s="63" t="s">
        <v>1904</v>
      </c>
      <c r="E21" s="62"/>
      <c r="F21" s="62"/>
      <c r="G21" s="62"/>
      <c r="H21" s="62"/>
      <c r="I21" s="62"/>
      <c r="J21" s="62"/>
      <c r="K21" s="62"/>
      <c r="L21" s="62"/>
    </row>
    <row r="22" customFormat="false" ht="33" hidden="false" customHeight="false" outlineLevel="0" collapsed="false">
      <c r="A22" s="62"/>
      <c r="B22" s="62"/>
      <c r="C22" s="62"/>
      <c r="D22" s="62" t="s">
        <v>1911</v>
      </c>
      <c r="E22" s="62"/>
      <c r="F22" s="62"/>
      <c r="G22" s="62"/>
      <c r="H22" s="62"/>
      <c r="I22" s="62"/>
      <c r="J22" s="62"/>
      <c r="K22" s="62"/>
      <c r="L22" s="62"/>
    </row>
    <row r="23" customFormat="false" ht="33" hidden="false" customHeight="false" outlineLevel="0" collapsed="false">
      <c r="A23" s="62"/>
      <c r="B23" s="62"/>
      <c r="C23" s="62"/>
      <c r="D23" s="63" t="s">
        <v>1912</v>
      </c>
      <c r="E23" s="62"/>
      <c r="F23" s="62"/>
      <c r="G23" s="62"/>
      <c r="H23" s="62"/>
      <c r="I23" s="62"/>
      <c r="J23" s="62"/>
      <c r="K23" s="62"/>
      <c r="L23" s="62"/>
    </row>
    <row r="24" customFormat="false" ht="15.75" hidden="false" customHeight="false" outlineLevel="0" collapsed="false">
      <c r="A24" s="3" t="s">
        <v>211</v>
      </c>
    </row>
    <row r="31" customFormat="false" ht="15.75" hidden="false" customHeight="false" outlineLevel="0" collapsed="false">
      <c r="A31" s="65" t="s">
        <v>281</v>
      </c>
    </row>
  </sheetData>
  <hyperlinks>
    <hyperlink ref="M1" location="Index!A1" display="Index"/>
    <hyperlink ref="A24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"/>
    <col collapsed="false" customWidth="true" hidden="false" outlineLevel="0" max="12" min="12" style="0" width="17.29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354</v>
      </c>
      <c r="B4" s="62" t="n">
        <v>740</v>
      </c>
      <c r="C4" s="63" t="s">
        <v>1604</v>
      </c>
      <c r="D4" s="63" t="s">
        <v>1913</v>
      </c>
      <c r="E4" s="63" t="s">
        <v>766</v>
      </c>
      <c r="F4" s="62"/>
      <c r="G4" s="62" t="s">
        <v>1895</v>
      </c>
      <c r="H4" s="62"/>
      <c r="I4" s="62"/>
      <c r="J4" s="62"/>
      <c r="K4" s="62"/>
      <c r="L4" s="63" t="s">
        <v>1914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227</v>
      </c>
      <c r="E5" s="63" t="s">
        <v>770</v>
      </c>
      <c r="F5" s="62"/>
      <c r="G5" s="62" t="n">
        <v>11</v>
      </c>
      <c r="H5" s="62" t="s">
        <v>1915</v>
      </c>
      <c r="I5" s="62"/>
      <c r="J5" s="62"/>
      <c r="K5" s="62"/>
      <c r="L5" s="63" t="s">
        <v>1916</v>
      </c>
    </row>
    <row r="6" customFormat="false" ht="33" hidden="false" customHeight="false" outlineLevel="0" collapsed="false">
      <c r="A6" s="62" t="s">
        <v>1917</v>
      </c>
      <c r="B6" s="62"/>
      <c r="C6" s="62"/>
      <c r="D6" s="63" t="s">
        <v>240</v>
      </c>
      <c r="E6" s="63" t="s">
        <v>774</v>
      </c>
      <c r="F6" s="62"/>
      <c r="G6" s="62" t="n">
        <v>12</v>
      </c>
      <c r="H6" s="62" t="s">
        <v>290</v>
      </c>
      <c r="I6" s="62"/>
      <c r="J6" s="62"/>
      <c r="K6" s="62"/>
      <c r="L6" s="63" t="s">
        <v>1918</v>
      </c>
    </row>
    <row r="7" customFormat="false" ht="33" hidden="false" customHeight="false" outlineLevel="0" collapsed="false">
      <c r="A7" s="62"/>
      <c r="B7" s="62"/>
      <c r="C7" s="62"/>
      <c r="D7" s="62" t="s">
        <v>330</v>
      </c>
      <c r="E7" s="62"/>
      <c r="F7" s="62"/>
      <c r="G7" s="62" t="s">
        <v>586</v>
      </c>
      <c r="H7" s="62" t="s">
        <v>1919</v>
      </c>
      <c r="I7" s="62"/>
      <c r="J7" s="62"/>
      <c r="K7" s="62"/>
      <c r="L7" s="63" t="s">
        <v>1920</v>
      </c>
    </row>
    <row r="8" customFormat="false" ht="33" hidden="false" customHeight="false" outlineLevel="0" collapsed="false">
      <c r="A8" s="62"/>
      <c r="B8" s="62"/>
      <c r="C8" s="62"/>
      <c r="D8" s="63" t="s">
        <v>836</v>
      </c>
      <c r="E8" s="62"/>
      <c r="F8" s="62"/>
      <c r="G8" s="62" t="n">
        <v>19</v>
      </c>
      <c r="H8" s="62" t="s">
        <v>1921</v>
      </c>
      <c r="I8" s="62"/>
      <c r="J8" s="62"/>
      <c r="K8" s="62"/>
      <c r="L8" s="63" t="s">
        <v>1922</v>
      </c>
    </row>
    <row r="9" customFormat="false" ht="33" hidden="false" customHeight="false" outlineLevel="0" collapsed="false">
      <c r="A9" s="62"/>
      <c r="B9" s="62"/>
      <c r="C9" s="62"/>
      <c r="D9" s="63" t="s">
        <v>837</v>
      </c>
      <c r="E9" s="62"/>
      <c r="F9" s="62"/>
      <c r="G9" s="62" t="n">
        <v>20</v>
      </c>
      <c r="H9" s="62" t="s">
        <v>1923</v>
      </c>
      <c r="I9" s="62"/>
      <c r="J9" s="62"/>
      <c r="K9" s="62"/>
      <c r="L9" s="63" t="s">
        <v>1924</v>
      </c>
    </row>
    <row r="10" customFormat="false" ht="33" hidden="false" customHeight="false" outlineLevel="0" collapsed="false">
      <c r="A10" s="62"/>
      <c r="B10" s="62"/>
      <c r="C10" s="62"/>
      <c r="D10" s="63" t="s">
        <v>839</v>
      </c>
      <c r="E10" s="62"/>
      <c r="F10" s="62"/>
      <c r="G10" s="62" t="s">
        <v>1925</v>
      </c>
      <c r="H10" s="62"/>
      <c r="I10" s="62"/>
      <c r="J10" s="62"/>
      <c r="K10" s="62"/>
      <c r="L10" s="63" t="s">
        <v>1926</v>
      </c>
    </row>
    <row r="11" customFormat="false" ht="17.25" hidden="false" customHeight="false" outlineLevel="0" collapsed="false">
      <c r="A11" s="62"/>
      <c r="B11" s="62"/>
      <c r="C11" s="62"/>
      <c r="D11" s="62" t="s">
        <v>330</v>
      </c>
      <c r="E11" s="62"/>
      <c r="F11" s="62"/>
      <c r="G11" s="62" t="n">
        <v>16</v>
      </c>
      <c r="H11" s="62" t="s">
        <v>1927</v>
      </c>
      <c r="I11" s="62"/>
      <c r="J11" s="62"/>
      <c r="K11" s="62"/>
      <c r="L11" s="63" t="s">
        <v>944</v>
      </c>
    </row>
    <row r="12" customFormat="false" ht="33" hidden="false" customHeight="false" outlineLevel="0" collapsed="false">
      <c r="A12" s="62"/>
      <c r="B12" s="62"/>
      <c r="C12" s="62"/>
      <c r="D12" s="63" t="s">
        <v>1499</v>
      </c>
      <c r="E12" s="62"/>
      <c r="F12" s="62"/>
      <c r="G12" s="62" t="n">
        <v>17</v>
      </c>
      <c r="H12" s="62" t="s">
        <v>1064</v>
      </c>
      <c r="I12" s="62"/>
      <c r="J12" s="62"/>
      <c r="K12" s="62"/>
      <c r="L12" s="62" t="s">
        <v>1928</v>
      </c>
    </row>
    <row r="13" customFormat="false" ht="33" hidden="false" customHeight="false" outlineLevel="0" collapsed="false">
      <c r="A13" s="62"/>
      <c r="B13" s="62"/>
      <c r="C13" s="62"/>
      <c r="D13" s="63" t="s">
        <v>1471</v>
      </c>
      <c r="E13" s="62"/>
      <c r="F13" s="62"/>
      <c r="G13" s="62" t="n">
        <v>24</v>
      </c>
      <c r="H13" s="62" t="s">
        <v>1929</v>
      </c>
      <c r="I13" s="62"/>
      <c r="J13" s="62"/>
      <c r="K13" s="62"/>
      <c r="L13" s="62" t="s">
        <v>1930</v>
      </c>
    </row>
    <row r="14" customFormat="false" ht="33" hidden="false" customHeight="false" outlineLevel="0" collapsed="false">
      <c r="A14" s="62"/>
      <c r="B14" s="62"/>
      <c r="C14" s="62"/>
      <c r="D14" s="63" t="s">
        <v>839</v>
      </c>
      <c r="E14" s="62"/>
      <c r="F14" s="62"/>
      <c r="G14" s="62" t="n">
        <v>25</v>
      </c>
      <c r="H14" s="62" t="s">
        <v>1931</v>
      </c>
      <c r="I14" s="62"/>
      <c r="J14" s="62"/>
      <c r="K14" s="62"/>
      <c r="L14" s="62" t="s">
        <v>1932</v>
      </c>
    </row>
    <row r="15" customFormat="false" ht="17.25" hidden="false" customHeight="false" outlineLevel="0" collapsed="false">
      <c r="A15" s="62"/>
      <c r="B15" s="62"/>
      <c r="C15" s="62"/>
      <c r="D15" s="62" t="s">
        <v>330</v>
      </c>
      <c r="E15" s="62"/>
      <c r="F15" s="62"/>
      <c r="G15" s="62" t="s">
        <v>1818</v>
      </c>
      <c r="H15" s="62"/>
      <c r="I15" s="62"/>
      <c r="J15" s="62"/>
      <c r="K15" s="62"/>
      <c r="L15" s="63" t="s">
        <v>1933</v>
      </c>
    </row>
    <row r="16" customFormat="false" ht="33" hidden="false" customHeight="false" outlineLevel="0" collapsed="false">
      <c r="A16" s="62"/>
      <c r="B16" s="62"/>
      <c r="C16" s="62"/>
      <c r="D16" s="63" t="s">
        <v>233</v>
      </c>
      <c r="E16" s="62"/>
      <c r="F16" s="62"/>
      <c r="G16" s="62" t="n">
        <v>6</v>
      </c>
      <c r="H16" s="62" t="s">
        <v>1934</v>
      </c>
      <c r="I16" s="62"/>
      <c r="J16" s="62"/>
      <c r="K16" s="62"/>
      <c r="L16" s="63" t="s">
        <v>1935</v>
      </c>
    </row>
    <row r="17" customFormat="false" ht="33" hidden="false" customHeight="false" outlineLevel="0" collapsed="false">
      <c r="A17" s="62"/>
      <c r="B17" s="62"/>
      <c r="C17" s="62"/>
      <c r="D17" s="62"/>
      <c r="E17" s="62"/>
      <c r="F17" s="62"/>
      <c r="G17" s="64" t="n">
        <v>40725</v>
      </c>
      <c r="H17" s="62" t="s">
        <v>1919</v>
      </c>
      <c r="I17" s="62"/>
      <c r="J17" s="62"/>
      <c r="K17" s="62"/>
      <c r="L17" s="62" t="s">
        <v>1936</v>
      </c>
    </row>
    <row r="18" customFormat="false" ht="17.25" hidden="false" customHeight="false" outlineLevel="0" collapsed="false">
      <c r="A18" s="62"/>
      <c r="B18" s="62"/>
      <c r="C18" s="62"/>
      <c r="D18" s="62"/>
      <c r="E18" s="62"/>
      <c r="F18" s="62"/>
      <c r="G18" s="64" t="n">
        <v>40726</v>
      </c>
      <c r="H18" s="62" t="s">
        <v>1937</v>
      </c>
      <c r="I18" s="62"/>
      <c r="J18" s="62"/>
      <c r="K18" s="62"/>
      <c r="L18" s="62" t="s">
        <v>1938</v>
      </c>
    </row>
    <row r="19" customFormat="false" ht="33" hidden="false" customHeight="false" outlineLevel="0" collapsed="false">
      <c r="A19" s="62"/>
      <c r="B19" s="62"/>
      <c r="C19" s="62"/>
      <c r="D19" s="62"/>
      <c r="E19" s="62"/>
      <c r="F19" s="62"/>
      <c r="G19" s="62" t="n">
        <v>8</v>
      </c>
      <c r="H19" s="62" t="s">
        <v>1939</v>
      </c>
      <c r="I19" s="62"/>
      <c r="J19" s="62"/>
      <c r="K19" s="62"/>
      <c r="L19" s="62" t="s">
        <v>1940</v>
      </c>
    </row>
    <row r="20" customFormat="false" ht="33" hidden="false" customHeight="false" outlineLevel="0" collapsed="false">
      <c r="A20" s="62"/>
      <c r="B20" s="62"/>
      <c r="C20" s="62"/>
      <c r="D20" s="62"/>
      <c r="E20" s="62"/>
      <c r="F20" s="62"/>
      <c r="G20" s="62" t="n">
        <v>9</v>
      </c>
      <c r="H20" s="62" t="s">
        <v>1941</v>
      </c>
      <c r="I20" s="62"/>
      <c r="J20" s="62"/>
      <c r="K20" s="62"/>
      <c r="L20" s="62" t="s">
        <v>1942</v>
      </c>
    </row>
    <row r="21" customFormat="false" ht="33" hidden="false" customHeight="false" outlineLevel="0" collapsed="false">
      <c r="A21" s="62"/>
      <c r="B21" s="62"/>
      <c r="C21" s="62"/>
      <c r="D21" s="62"/>
      <c r="E21" s="62"/>
      <c r="F21" s="62"/>
      <c r="G21" s="62" t="n">
        <v>25</v>
      </c>
      <c r="H21" s="62" t="s">
        <v>1943</v>
      </c>
      <c r="I21" s="62"/>
      <c r="J21" s="62"/>
      <c r="K21" s="62"/>
      <c r="L21" s="62" t="s">
        <v>1944</v>
      </c>
    </row>
    <row r="22" customFormat="false" ht="33" hidden="false" customHeight="fals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 t="s">
        <v>1945</v>
      </c>
    </row>
    <row r="23" customFormat="false" ht="33" hidden="false" customHeight="false" outlineLevel="0" collapsed="false">
      <c r="A23" s="62"/>
      <c r="B23" s="62"/>
      <c r="C23" s="62"/>
      <c r="D23" s="62"/>
      <c r="E23" s="62"/>
      <c r="F23" s="62"/>
      <c r="G23" s="62" t="n">
        <v>303</v>
      </c>
      <c r="H23" s="62" t="s">
        <v>1946</v>
      </c>
      <c r="I23" s="62"/>
      <c r="J23" s="62"/>
      <c r="K23" s="62"/>
      <c r="L23" s="63" t="s">
        <v>1947</v>
      </c>
    </row>
    <row r="24" customFormat="false" ht="17.25" hidden="false" customHeight="false" outlineLevel="0" collapsed="false">
      <c r="A24" s="62"/>
      <c r="B24" s="62"/>
      <c r="C24" s="62"/>
      <c r="D24" s="62"/>
      <c r="E24" s="62"/>
      <c r="F24" s="62"/>
      <c r="G24" s="62"/>
      <c r="H24" s="63" t="s">
        <v>811</v>
      </c>
      <c r="I24" s="62"/>
      <c r="J24" s="62"/>
      <c r="K24" s="62"/>
      <c r="L24" s="63" t="s">
        <v>1948</v>
      </c>
    </row>
    <row r="25" customFormat="false" ht="33" hidden="false" customHeight="false" outlineLevel="0" collapsed="false">
      <c r="A25" s="62"/>
      <c r="B25" s="62"/>
      <c r="C25" s="62"/>
      <c r="D25" s="62"/>
      <c r="E25" s="62"/>
      <c r="F25" s="62"/>
      <c r="G25" s="62" t="n">
        <v>492</v>
      </c>
      <c r="H25" s="62" t="s">
        <v>813</v>
      </c>
      <c r="I25" s="62"/>
      <c r="J25" s="62"/>
      <c r="K25" s="62"/>
      <c r="L25" s="62" t="s">
        <v>1949</v>
      </c>
    </row>
    <row r="26" customFormat="false" ht="33" hidden="false" customHeight="false" outlineLevel="0" collapsed="false">
      <c r="A26" s="62"/>
      <c r="B26" s="62"/>
      <c r="C26" s="62"/>
      <c r="D26" s="62"/>
      <c r="E26" s="62"/>
      <c r="F26" s="62"/>
      <c r="G26" s="62"/>
      <c r="H26" s="63" t="s">
        <v>815</v>
      </c>
      <c r="I26" s="62"/>
      <c r="J26" s="62"/>
      <c r="K26" s="62"/>
      <c r="L26" s="63" t="s">
        <v>1950</v>
      </c>
    </row>
    <row r="27" customFormat="false" ht="33" hidden="false" customHeight="false" outlineLevel="0" collapsed="false">
      <c r="A27" s="62"/>
      <c r="B27" s="62"/>
      <c r="C27" s="62"/>
      <c r="D27" s="62"/>
      <c r="E27" s="62"/>
      <c r="F27" s="62"/>
      <c r="G27" s="62" t="s">
        <v>267</v>
      </c>
      <c r="H27" s="62" t="s">
        <v>268</v>
      </c>
      <c r="I27" s="62"/>
      <c r="J27" s="62"/>
      <c r="K27" s="62"/>
      <c r="L27" s="63" t="s">
        <v>1951</v>
      </c>
    </row>
    <row r="28" customFormat="false" ht="33" hidden="false" customHeight="false" outlineLevel="0" collapsed="false">
      <c r="A28" s="62"/>
      <c r="B28" s="62"/>
      <c r="C28" s="62"/>
      <c r="D28" s="62"/>
      <c r="E28" s="62"/>
      <c r="F28" s="62"/>
      <c r="G28" s="63" t="s">
        <v>1952</v>
      </c>
      <c r="H28" s="62" t="s">
        <v>1953</v>
      </c>
      <c r="I28" s="62"/>
      <c r="J28" s="62"/>
      <c r="K28" s="62"/>
      <c r="L28" s="62" t="s">
        <v>1954</v>
      </c>
    </row>
    <row r="29" customFormat="false" ht="48.75" hidden="false" customHeight="false" outlineLevel="0" collapsed="false">
      <c r="A29" s="62"/>
      <c r="B29" s="62"/>
      <c r="C29" s="62"/>
      <c r="D29" s="62"/>
      <c r="E29" s="62"/>
      <c r="F29" s="62"/>
      <c r="G29" s="63" t="s">
        <v>270</v>
      </c>
      <c r="H29" s="63" t="s">
        <v>821</v>
      </c>
      <c r="I29" s="62"/>
      <c r="J29" s="62"/>
      <c r="K29" s="62"/>
      <c r="L29" s="63" t="s">
        <v>1955</v>
      </c>
    </row>
    <row r="30" customFormat="false" ht="33" hidden="false" customHeight="false" outlineLevel="0" collapsed="false">
      <c r="A30" s="62"/>
      <c r="B30" s="62"/>
      <c r="C30" s="62"/>
      <c r="D30" s="62"/>
      <c r="E30" s="62"/>
      <c r="F30" s="62"/>
      <c r="G30" s="62" t="s">
        <v>267</v>
      </c>
      <c r="H30" s="62" t="s">
        <v>267</v>
      </c>
      <c r="I30" s="62"/>
      <c r="J30" s="62"/>
      <c r="K30" s="62"/>
      <c r="L30" s="62" t="s">
        <v>1956</v>
      </c>
    </row>
    <row r="31" customFormat="false" ht="33" hidden="false" customHeight="false" outlineLevel="0" collapsed="false">
      <c r="A31" s="62"/>
      <c r="B31" s="62"/>
      <c r="C31" s="62"/>
      <c r="D31" s="62"/>
      <c r="E31" s="62"/>
      <c r="F31" s="62"/>
      <c r="G31" s="62" t="s">
        <v>1957</v>
      </c>
      <c r="H31" s="64" t="n">
        <v>40545</v>
      </c>
      <c r="I31" s="62"/>
      <c r="J31" s="62"/>
      <c r="K31" s="62"/>
      <c r="L31" s="62" t="s">
        <v>1958</v>
      </c>
    </row>
    <row r="32" customFormat="false" ht="33" hidden="false" customHeight="false" outlineLevel="0" collapsed="false">
      <c r="A32" s="62"/>
      <c r="B32" s="62"/>
      <c r="C32" s="62"/>
      <c r="D32" s="62"/>
      <c r="E32" s="62"/>
      <c r="F32" s="62"/>
      <c r="G32" s="62" t="s">
        <v>267</v>
      </c>
      <c r="H32" s="62" t="s">
        <v>267</v>
      </c>
      <c r="I32" s="62"/>
      <c r="J32" s="62"/>
      <c r="K32" s="62"/>
      <c r="L32" s="62" t="s">
        <v>1959</v>
      </c>
    </row>
    <row r="33" customFormat="false" ht="33" hidden="false" customHeight="false" outlineLevel="0" collapsed="false">
      <c r="A33" s="62"/>
      <c r="B33" s="62"/>
      <c r="C33" s="62"/>
      <c r="D33" s="62"/>
      <c r="E33" s="62"/>
      <c r="F33" s="62"/>
      <c r="G33" s="62" t="s">
        <v>1960</v>
      </c>
      <c r="H33" s="62" t="s">
        <v>1961</v>
      </c>
      <c r="I33" s="62"/>
      <c r="J33" s="62"/>
      <c r="K33" s="62"/>
      <c r="L33" s="62"/>
    </row>
    <row r="34" customFormat="false" ht="33" hidden="false" customHeight="false" outlineLevel="0" collapsed="false">
      <c r="A34" s="62"/>
      <c r="B34" s="62"/>
      <c r="C34" s="62"/>
      <c r="D34" s="62"/>
      <c r="E34" s="62"/>
      <c r="F34" s="62"/>
      <c r="G34" s="62" t="s">
        <v>1962</v>
      </c>
      <c r="H34" s="62"/>
      <c r="I34" s="62"/>
      <c r="J34" s="62"/>
      <c r="K34" s="62"/>
      <c r="L34" s="62"/>
    </row>
    <row r="35" customFormat="false" ht="33" hidden="false" customHeight="false" outlineLevel="0" collapsed="false">
      <c r="A35" s="62"/>
      <c r="B35" s="62" t="n">
        <v>741</v>
      </c>
      <c r="C35" s="62"/>
      <c r="D35" s="62"/>
      <c r="E35" s="63" t="s">
        <v>1963</v>
      </c>
      <c r="F35" s="62"/>
      <c r="G35" s="62" t="s">
        <v>1818</v>
      </c>
      <c r="H35" s="62"/>
      <c r="I35" s="62"/>
      <c r="J35" s="62"/>
      <c r="K35" s="62"/>
      <c r="L35" s="62"/>
    </row>
    <row r="36" customFormat="false" ht="17.25" hidden="false" customHeight="false" outlineLevel="0" collapsed="false">
      <c r="A36" s="62"/>
      <c r="B36" s="62"/>
      <c r="C36" s="62"/>
      <c r="D36" s="62"/>
      <c r="E36" s="63" t="s">
        <v>237</v>
      </c>
      <c r="F36" s="62"/>
      <c r="G36" s="62" t="n">
        <v>12</v>
      </c>
      <c r="H36" s="62" t="s">
        <v>301</v>
      </c>
      <c r="I36" s="62"/>
      <c r="J36" s="62"/>
      <c r="K36" s="62"/>
      <c r="L36" s="62"/>
    </row>
    <row r="37" customFormat="false" ht="17.25" hidden="false" customHeight="false" outlineLevel="0" collapsed="false">
      <c r="A37" s="62"/>
      <c r="B37" s="62"/>
      <c r="C37" s="62"/>
      <c r="D37" s="62"/>
      <c r="E37" s="62"/>
      <c r="F37" s="62"/>
      <c r="G37" s="62" t="n">
        <v>13</v>
      </c>
      <c r="H37" s="62" t="s">
        <v>301</v>
      </c>
      <c r="I37" s="62"/>
      <c r="J37" s="62"/>
      <c r="K37" s="62"/>
      <c r="L37" s="62"/>
    </row>
    <row r="38" customFormat="false" ht="17.25" hidden="false" customHeight="false" outlineLevel="0" collapsed="false">
      <c r="A38" s="62"/>
      <c r="B38" s="62"/>
      <c r="C38" s="62"/>
      <c r="D38" s="62"/>
      <c r="E38" s="62"/>
      <c r="F38" s="62"/>
      <c r="G38" s="62" t="n">
        <v>14</v>
      </c>
      <c r="H38" s="62" t="s">
        <v>1449</v>
      </c>
      <c r="I38" s="62"/>
      <c r="J38" s="62"/>
      <c r="K38" s="62"/>
      <c r="L38" s="62"/>
    </row>
    <row r="39" customFormat="false" ht="17.25" hidden="false" customHeight="false" outlineLevel="0" collapsed="false">
      <c r="A39" s="62"/>
      <c r="B39" s="62"/>
      <c r="C39" s="62"/>
      <c r="D39" s="62"/>
      <c r="E39" s="62"/>
      <c r="F39" s="62"/>
      <c r="G39" s="62" t="n">
        <v>15</v>
      </c>
      <c r="H39" s="62" t="s">
        <v>1964</v>
      </c>
      <c r="I39" s="62"/>
      <c r="J39" s="62"/>
      <c r="K39" s="62"/>
      <c r="L39" s="62"/>
    </row>
    <row r="40" customFormat="false" ht="17.25" hidden="false" customHeight="false" outlineLevel="0" collapsed="false">
      <c r="A40" s="62"/>
      <c r="B40" s="62"/>
      <c r="C40" s="62"/>
      <c r="D40" s="62"/>
      <c r="E40" s="62"/>
      <c r="F40" s="62"/>
      <c r="G40" s="62"/>
      <c r="H40" s="62" t="s">
        <v>1965</v>
      </c>
      <c r="I40" s="62"/>
      <c r="J40" s="62"/>
      <c r="K40" s="62"/>
      <c r="L40" s="62"/>
    </row>
    <row r="41" customFormat="false" ht="33" hidden="false" customHeight="false" outlineLevel="0" collapsed="false">
      <c r="A41" s="62"/>
      <c r="B41" s="62"/>
      <c r="C41" s="62"/>
      <c r="D41" s="62"/>
      <c r="E41" s="62"/>
      <c r="F41" s="62"/>
      <c r="G41" s="62"/>
      <c r="H41" s="62" t="s">
        <v>1966</v>
      </c>
      <c r="I41" s="62"/>
      <c r="J41" s="62"/>
      <c r="K41" s="62"/>
      <c r="L41" s="62"/>
    </row>
    <row r="42" customFormat="false" ht="17.25" hidden="false" customHeight="false" outlineLevel="0" collapsed="false">
      <c r="A42" s="62"/>
      <c r="B42" s="62"/>
      <c r="C42" s="62"/>
      <c r="D42" s="62"/>
      <c r="E42" s="62"/>
      <c r="F42" s="62"/>
      <c r="G42" s="62"/>
      <c r="H42" s="63" t="s">
        <v>1967</v>
      </c>
      <c r="I42" s="62"/>
      <c r="J42" s="62"/>
      <c r="K42" s="62"/>
      <c r="L42" s="62"/>
    </row>
    <row r="43" customFormat="false" ht="17.25" hidden="false" customHeight="false" outlineLevel="0" collapsed="false">
      <c r="A43" s="62"/>
      <c r="B43" s="62"/>
      <c r="C43" s="62"/>
      <c r="D43" s="62"/>
      <c r="E43" s="62"/>
      <c r="F43" s="62"/>
      <c r="G43" s="62" t="n">
        <v>16</v>
      </c>
      <c r="H43" s="62" t="s">
        <v>1943</v>
      </c>
      <c r="I43" s="62"/>
      <c r="J43" s="62"/>
      <c r="K43" s="62"/>
      <c r="L43" s="62"/>
    </row>
    <row r="44" customFormat="false" ht="33" hidden="false" customHeight="false" outlineLevel="0" collapsed="false">
      <c r="A44" s="62"/>
      <c r="B44" s="62"/>
      <c r="C44" s="62"/>
      <c r="D44" s="62"/>
      <c r="E44" s="62"/>
      <c r="F44" s="62"/>
      <c r="G44" s="62" t="s">
        <v>267</v>
      </c>
      <c r="H44" s="62" t="s">
        <v>268</v>
      </c>
      <c r="I44" s="62"/>
      <c r="J44" s="62"/>
      <c r="K44" s="62"/>
      <c r="L44" s="62"/>
    </row>
    <row r="45" customFormat="false" ht="17.25" hidden="false" customHeight="false" outlineLevel="0" collapsed="false">
      <c r="A45" s="62"/>
      <c r="B45" s="62"/>
      <c r="C45" s="62"/>
      <c r="D45" s="62"/>
      <c r="E45" s="62"/>
      <c r="F45" s="62"/>
      <c r="G45" s="63" t="s">
        <v>1272</v>
      </c>
      <c r="H45" s="62" t="s">
        <v>1968</v>
      </c>
      <c r="I45" s="62"/>
      <c r="J45" s="62"/>
      <c r="K45" s="62"/>
      <c r="L45" s="62"/>
    </row>
    <row r="46" customFormat="false" ht="48.75" hidden="false" customHeight="false" outlineLevel="0" collapsed="false">
      <c r="A46" s="62"/>
      <c r="B46" s="62"/>
      <c r="C46" s="62"/>
      <c r="D46" s="62"/>
      <c r="E46" s="62"/>
      <c r="F46" s="62"/>
      <c r="G46" s="63" t="s">
        <v>270</v>
      </c>
      <c r="H46" s="63" t="s">
        <v>821</v>
      </c>
      <c r="I46" s="62"/>
      <c r="J46" s="62"/>
      <c r="K46" s="62"/>
      <c r="L46" s="62"/>
    </row>
    <row r="47" customFormat="false" ht="33" hidden="false" customHeight="false" outlineLevel="0" collapsed="false">
      <c r="A47" s="62"/>
      <c r="B47" s="62"/>
      <c r="C47" s="62"/>
      <c r="D47" s="62"/>
      <c r="E47" s="62"/>
      <c r="F47" s="62"/>
      <c r="G47" s="62" t="s">
        <v>267</v>
      </c>
      <c r="H47" s="62" t="s">
        <v>267</v>
      </c>
      <c r="I47" s="62"/>
      <c r="J47" s="62"/>
      <c r="K47" s="62"/>
      <c r="L47" s="62"/>
    </row>
    <row r="48" customFormat="false" ht="17.25" hidden="false" customHeight="false" outlineLevel="0" collapsed="false">
      <c r="A48" s="62"/>
      <c r="B48" s="62"/>
      <c r="C48" s="62"/>
      <c r="D48" s="62"/>
      <c r="E48" s="62"/>
      <c r="F48" s="62"/>
      <c r="G48" s="62" t="s">
        <v>1969</v>
      </c>
      <c r="H48" s="64" t="n">
        <v>40551</v>
      </c>
      <c r="I48" s="62"/>
      <c r="J48" s="62"/>
      <c r="K48" s="62"/>
      <c r="L48" s="62"/>
    </row>
    <row r="49" customFormat="false" ht="33" hidden="false" customHeight="false" outlineLevel="0" collapsed="false">
      <c r="A49" s="62"/>
      <c r="B49" s="62"/>
      <c r="C49" s="62"/>
      <c r="D49" s="62"/>
      <c r="E49" s="62"/>
      <c r="F49" s="62"/>
      <c r="G49" s="62" t="s">
        <v>267</v>
      </c>
      <c r="H49" s="62" t="s">
        <v>267</v>
      </c>
      <c r="I49" s="62"/>
      <c r="J49" s="62"/>
      <c r="K49" s="62"/>
      <c r="L49" s="62"/>
    </row>
    <row r="50" customFormat="false" ht="33" hidden="false" customHeight="false" outlineLevel="0" collapsed="false">
      <c r="A50" s="62"/>
      <c r="B50" s="62"/>
      <c r="C50" s="62"/>
      <c r="D50" s="62"/>
      <c r="E50" s="62"/>
      <c r="F50" s="62"/>
      <c r="G50" s="62" t="s">
        <v>1970</v>
      </c>
      <c r="H50" s="62" t="s">
        <v>1971</v>
      </c>
      <c r="I50" s="62"/>
      <c r="J50" s="62"/>
      <c r="K50" s="62"/>
      <c r="L50" s="62"/>
    </row>
    <row r="51" customFormat="false" ht="48.75" hidden="false" customHeight="false" outlineLevel="0" collapsed="false">
      <c r="A51" s="62"/>
      <c r="B51" s="62"/>
      <c r="C51" s="62"/>
      <c r="D51" s="62" t="s">
        <v>274</v>
      </c>
      <c r="E51" s="62" t="s">
        <v>275</v>
      </c>
      <c r="F51" s="62" t="s">
        <v>268</v>
      </c>
      <c r="G51" s="62" t="s">
        <v>267</v>
      </c>
      <c r="H51" s="62" t="s">
        <v>268</v>
      </c>
      <c r="I51" s="62" t="s">
        <v>276</v>
      </c>
      <c r="J51" s="62" t="s">
        <v>276</v>
      </c>
      <c r="K51" s="62"/>
      <c r="L51" s="62"/>
    </row>
    <row r="52" customFormat="false" ht="33" hidden="false" customHeight="false" outlineLevel="0" collapsed="false">
      <c r="A52" s="62"/>
      <c r="B52" s="62"/>
      <c r="C52" s="62"/>
      <c r="D52" s="63" t="s">
        <v>277</v>
      </c>
      <c r="E52" s="62"/>
      <c r="F52" s="62"/>
      <c r="G52" s="63" t="s">
        <v>1972</v>
      </c>
      <c r="H52" s="62" t="s">
        <v>1973</v>
      </c>
      <c r="I52" s="62"/>
      <c r="J52" s="62"/>
      <c r="K52" s="62"/>
      <c r="L52" s="62"/>
    </row>
    <row r="53" customFormat="false" ht="48.75" hidden="false" customHeight="false" outlineLevel="0" collapsed="false">
      <c r="A53" s="62"/>
      <c r="B53" s="62"/>
      <c r="C53" s="62"/>
      <c r="D53" s="62"/>
      <c r="E53" s="62"/>
      <c r="F53" s="62"/>
      <c r="G53" s="63" t="s">
        <v>270</v>
      </c>
      <c r="H53" s="63" t="s">
        <v>821</v>
      </c>
      <c r="I53" s="62"/>
      <c r="J53" s="62"/>
      <c r="K53" s="62"/>
      <c r="L53" s="62"/>
    </row>
    <row r="54" customFormat="false" ht="33" hidden="false" customHeight="false" outlineLevel="0" collapsed="false">
      <c r="A54" s="62"/>
      <c r="B54" s="62"/>
      <c r="C54" s="62"/>
      <c r="D54" s="62"/>
      <c r="E54" s="62"/>
      <c r="F54" s="62"/>
      <c r="G54" s="62" t="s">
        <v>267</v>
      </c>
      <c r="H54" s="62" t="s">
        <v>267</v>
      </c>
      <c r="I54" s="62"/>
      <c r="J54" s="62"/>
      <c r="K54" s="62"/>
      <c r="L54" s="62"/>
    </row>
    <row r="55" customFormat="false" ht="17.25" hidden="false" customHeight="false" outlineLevel="0" collapsed="false">
      <c r="A55" s="62"/>
      <c r="B55" s="62"/>
      <c r="C55" s="62"/>
      <c r="D55" s="62"/>
      <c r="E55" s="62"/>
      <c r="F55" s="62"/>
      <c r="G55" s="62" t="s">
        <v>1974</v>
      </c>
      <c r="H55" s="64" t="n">
        <v>40584</v>
      </c>
      <c r="I55" s="62"/>
      <c r="J55" s="62"/>
      <c r="K55" s="62"/>
      <c r="L55" s="62"/>
    </row>
    <row r="56" customFormat="false" ht="33" hidden="false" customHeight="false" outlineLevel="0" collapsed="false">
      <c r="A56" s="62"/>
      <c r="B56" s="62"/>
      <c r="C56" s="62"/>
      <c r="D56" s="62"/>
      <c r="E56" s="62"/>
      <c r="F56" s="62"/>
      <c r="G56" s="62" t="s">
        <v>267</v>
      </c>
      <c r="H56" s="62" t="s">
        <v>267</v>
      </c>
      <c r="I56" s="62"/>
      <c r="J56" s="62"/>
      <c r="K56" s="62"/>
      <c r="L56" s="62"/>
    </row>
    <row r="57" customFormat="false" ht="33" hidden="false" customHeight="false" outlineLevel="0" collapsed="false">
      <c r="A57" s="62"/>
      <c r="B57" s="62"/>
      <c r="C57" s="62"/>
      <c r="D57" s="62"/>
      <c r="E57" s="62"/>
      <c r="F57" s="62"/>
      <c r="G57" s="62" t="s">
        <v>1975</v>
      </c>
      <c r="H57" s="62" t="s">
        <v>1976</v>
      </c>
      <c r="I57" s="62"/>
      <c r="J57" s="62"/>
      <c r="K57" s="62"/>
      <c r="L57" s="62"/>
    </row>
    <row r="58" customFormat="false" ht="33" hidden="false" customHeight="false" outlineLevel="0" collapsed="false">
      <c r="A58" s="62"/>
      <c r="B58" s="62"/>
      <c r="C58" s="62"/>
      <c r="D58" s="62"/>
      <c r="E58" s="62"/>
      <c r="F58" s="62"/>
      <c r="G58" s="62" t="s">
        <v>1977</v>
      </c>
      <c r="H58" s="62"/>
      <c r="I58" s="62"/>
      <c r="J58" s="62"/>
      <c r="K58" s="62"/>
      <c r="L58" s="62"/>
    </row>
    <row r="59" customFormat="false" ht="15.75" hidden="false" customHeight="false" outlineLevel="0" collapsed="false">
      <c r="A59" s="3" t="s">
        <v>211</v>
      </c>
    </row>
    <row r="66" customFormat="false" ht="15.75" hidden="false" customHeight="false" outlineLevel="0" collapsed="false">
      <c r="A66" s="65" t="s">
        <v>281</v>
      </c>
    </row>
  </sheetData>
  <hyperlinks>
    <hyperlink ref="M1" location="Index!A1" display="Index"/>
    <hyperlink ref="A59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.29"/>
    <col collapsed="false" customWidth="true" hidden="false" outlineLevel="0" max="12" min="12" style="0" width="16.57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355</v>
      </c>
      <c r="B4" s="62" t="n">
        <v>742</v>
      </c>
      <c r="C4" s="63" t="s">
        <v>1604</v>
      </c>
      <c r="D4" s="63" t="s">
        <v>1913</v>
      </c>
      <c r="E4" s="63" t="s">
        <v>766</v>
      </c>
      <c r="F4" s="62"/>
      <c r="G4" s="62" t="s">
        <v>1925</v>
      </c>
      <c r="H4" s="62"/>
      <c r="I4" s="62"/>
      <c r="J4" s="62"/>
      <c r="K4" s="62"/>
      <c r="L4" s="63" t="s">
        <v>1978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227</v>
      </c>
      <c r="E5" s="63" t="s">
        <v>770</v>
      </c>
      <c r="F5" s="62"/>
      <c r="G5" s="62" t="s">
        <v>710</v>
      </c>
      <c r="H5" s="62" t="s">
        <v>887</v>
      </c>
      <c r="I5" s="62"/>
      <c r="J5" s="62"/>
      <c r="K5" s="62"/>
      <c r="L5" s="62" t="s">
        <v>1979</v>
      </c>
    </row>
    <row r="6" customFormat="false" ht="33" hidden="false" customHeight="false" outlineLevel="0" collapsed="false">
      <c r="A6" s="62" t="s">
        <v>1917</v>
      </c>
      <c r="B6" s="62"/>
      <c r="C6" s="62"/>
      <c r="D6" s="63" t="s">
        <v>240</v>
      </c>
      <c r="E6" s="63" t="s">
        <v>774</v>
      </c>
      <c r="F6" s="62"/>
      <c r="G6" s="62" t="s">
        <v>609</v>
      </c>
      <c r="H6" s="62" t="s">
        <v>1980</v>
      </c>
      <c r="I6" s="62"/>
      <c r="J6" s="62"/>
      <c r="K6" s="62"/>
      <c r="L6" s="63" t="s">
        <v>1981</v>
      </c>
    </row>
    <row r="7" customFormat="false" ht="48.75" hidden="false" customHeight="false" outlineLevel="0" collapsed="false">
      <c r="A7" s="62"/>
      <c r="B7" s="62"/>
      <c r="C7" s="62"/>
      <c r="D7" s="62" t="s">
        <v>330</v>
      </c>
      <c r="E7" s="62"/>
      <c r="F7" s="62"/>
      <c r="G7" s="62" t="s">
        <v>267</v>
      </c>
      <c r="H7" s="62" t="s">
        <v>268</v>
      </c>
      <c r="I7" s="62"/>
      <c r="J7" s="62"/>
      <c r="K7" s="62"/>
      <c r="L7" s="63" t="s">
        <v>1982</v>
      </c>
    </row>
    <row r="8" customFormat="false" ht="33" hidden="false" customHeight="false" outlineLevel="0" collapsed="false">
      <c r="A8" s="62"/>
      <c r="B8" s="62"/>
      <c r="C8" s="62"/>
      <c r="D8" s="63" t="s">
        <v>1499</v>
      </c>
      <c r="E8" s="62"/>
      <c r="F8" s="62"/>
      <c r="G8" s="63" t="s">
        <v>320</v>
      </c>
      <c r="H8" s="102" t="s">
        <v>1983</v>
      </c>
      <c r="I8" s="62"/>
      <c r="J8" s="62"/>
      <c r="K8" s="62"/>
      <c r="L8" s="63" t="s">
        <v>1984</v>
      </c>
    </row>
    <row r="9" customFormat="false" ht="33" hidden="false" customHeight="false" outlineLevel="0" collapsed="false">
      <c r="A9" s="62"/>
      <c r="B9" s="62"/>
      <c r="C9" s="62"/>
      <c r="D9" s="63" t="s">
        <v>1471</v>
      </c>
      <c r="E9" s="62"/>
      <c r="F9" s="62"/>
      <c r="G9" s="63" t="s">
        <v>270</v>
      </c>
      <c r="H9" s="62"/>
      <c r="I9" s="62"/>
      <c r="J9" s="62"/>
      <c r="K9" s="62"/>
      <c r="L9" s="63" t="s">
        <v>1985</v>
      </c>
    </row>
    <row r="10" customFormat="false" ht="33" hidden="false" customHeight="false" outlineLevel="0" collapsed="false">
      <c r="A10" s="62"/>
      <c r="B10" s="62"/>
      <c r="C10" s="62"/>
      <c r="D10" s="63" t="s">
        <v>839</v>
      </c>
      <c r="E10" s="62"/>
      <c r="F10" s="62"/>
      <c r="G10" s="62" t="s">
        <v>267</v>
      </c>
      <c r="H10" s="62"/>
      <c r="I10" s="62"/>
      <c r="J10" s="62"/>
      <c r="K10" s="62"/>
      <c r="L10" s="63" t="s">
        <v>1986</v>
      </c>
    </row>
    <row r="11" customFormat="false" ht="17.25" hidden="false" customHeight="false" outlineLevel="0" collapsed="false">
      <c r="A11" s="62"/>
      <c r="B11" s="62"/>
      <c r="C11" s="62"/>
      <c r="D11" s="62" t="s">
        <v>330</v>
      </c>
      <c r="E11" s="62"/>
      <c r="F11" s="62"/>
      <c r="G11" s="102" t="s">
        <v>1983</v>
      </c>
      <c r="H11" s="62"/>
      <c r="I11" s="62"/>
      <c r="J11" s="62"/>
      <c r="K11" s="62"/>
      <c r="L11" s="63" t="s">
        <v>1987</v>
      </c>
    </row>
    <row r="12" customFormat="false" ht="33" hidden="false" customHeight="false" outlineLevel="0" collapsed="false">
      <c r="A12" s="62"/>
      <c r="B12" s="62"/>
      <c r="C12" s="62"/>
      <c r="D12" s="63" t="s">
        <v>836</v>
      </c>
      <c r="E12" s="62"/>
      <c r="F12" s="62"/>
      <c r="G12" s="62" t="s">
        <v>267</v>
      </c>
      <c r="H12" s="62"/>
      <c r="I12" s="62"/>
      <c r="J12" s="62"/>
      <c r="K12" s="62"/>
      <c r="L12" s="62" t="s">
        <v>1988</v>
      </c>
    </row>
    <row r="13" customFormat="false" ht="33" hidden="false" customHeight="false" outlineLevel="0" collapsed="false">
      <c r="A13" s="62"/>
      <c r="B13" s="62"/>
      <c r="C13" s="62"/>
      <c r="D13" s="63" t="s">
        <v>837</v>
      </c>
      <c r="E13" s="62"/>
      <c r="F13" s="62"/>
      <c r="G13" s="62" t="s">
        <v>287</v>
      </c>
      <c r="H13" s="62"/>
      <c r="I13" s="62"/>
      <c r="J13" s="62"/>
      <c r="K13" s="62"/>
      <c r="L13" s="62" t="s">
        <v>1989</v>
      </c>
    </row>
    <row r="14" customFormat="false" ht="33" hidden="false" customHeight="false" outlineLevel="0" collapsed="false">
      <c r="A14" s="62"/>
      <c r="B14" s="62"/>
      <c r="C14" s="62"/>
      <c r="D14" s="63" t="s">
        <v>839</v>
      </c>
      <c r="E14" s="62"/>
      <c r="F14" s="62"/>
      <c r="G14" s="62"/>
      <c r="H14" s="62"/>
      <c r="I14" s="62"/>
      <c r="J14" s="62"/>
      <c r="K14" s="62"/>
      <c r="L14" s="62" t="s">
        <v>1990</v>
      </c>
    </row>
    <row r="15" customFormat="false" ht="17.25" hidden="false" customHeight="false" outlineLevel="0" collapsed="false">
      <c r="A15" s="62"/>
      <c r="B15" s="62"/>
      <c r="C15" s="62"/>
      <c r="D15" s="62" t="s">
        <v>1991</v>
      </c>
      <c r="E15" s="62"/>
      <c r="F15" s="62"/>
      <c r="G15" s="62"/>
      <c r="H15" s="62"/>
      <c r="I15" s="62"/>
      <c r="J15" s="62"/>
      <c r="K15" s="62"/>
      <c r="L15" s="63" t="s">
        <v>1992</v>
      </c>
    </row>
    <row r="16" customFormat="false" ht="33" hidden="false" customHeight="false" outlineLevel="0" collapsed="false">
      <c r="A16" s="62"/>
      <c r="B16" s="62"/>
      <c r="C16" s="62"/>
      <c r="D16" s="63" t="s">
        <v>255</v>
      </c>
      <c r="E16" s="62"/>
      <c r="F16" s="62"/>
      <c r="G16" s="62"/>
      <c r="H16" s="62"/>
      <c r="I16" s="62"/>
      <c r="J16" s="62"/>
      <c r="K16" s="62"/>
      <c r="L16" s="63" t="s">
        <v>1993</v>
      </c>
    </row>
    <row r="17" customFormat="false" ht="33" hidden="false" customHeight="false" outlineLevel="0" collapsed="false">
      <c r="A17" s="62"/>
      <c r="B17" s="62"/>
      <c r="C17" s="62"/>
      <c r="D17" s="63" t="s">
        <v>1994</v>
      </c>
      <c r="E17" s="62"/>
      <c r="F17" s="62"/>
      <c r="G17" s="62"/>
      <c r="H17" s="62"/>
      <c r="I17" s="62"/>
      <c r="J17" s="62"/>
      <c r="K17" s="62"/>
      <c r="L17" s="62" t="s">
        <v>1995</v>
      </c>
    </row>
    <row r="18" customFormat="false" ht="33" hidden="false" customHeight="false" outlineLevel="0" collapsed="false">
      <c r="A18" s="62"/>
      <c r="B18" s="62"/>
      <c r="C18" s="62"/>
      <c r="D18" s="63" t="s">
        <v>1996</v>
      </c>
      <c r="E18" s="62"/>
      <c r="F18" s="62"/>
      <c r="G18" s="62"/>
      <c r="H18" s="62"/>
      <c r="I18" s="62"/>
      <c r="J18" s="62"/>
      <c r="K18" s="62"/>
      <c r="L18" s="62" t="s">
        <v>1997</v>
      </c>
    </row>
    <row r="19" customFormat="false" ht="33" hidden="false" customHeight="false" outlineLevel="0" collapsed="false">
      <c r="A19" s="62"/>
      <c r="B19" s="62"/>
      <c r="C19" s="62"/>
      <c r="D19" s="62" t="s">
        <v>1998</v>
      </c>
      <c r="E19" s="62"/>
      <c r="F19" s="62"/>
      <c r="G19" s="62"/>
      <c r="H19" s="62"/>
      <c r="I19" s="62"/>
      <c r="J19" s="62"/>
      <c r="K19" s="62"/>
      <c r="L19" s="62" t="s">
        <v>1999</v>
      </c>
    </row>
    <row r="20" customFormat="false" ht="33" hidden="false" customHeight="false" outlineLevel="0" collapsed="false">
      <c r="A20" s="62"/>
      <c r="B20" s="62"/>
      <c r="C20" s="62"/>
      <c r="D20" s="63" t="s">
        <v>2000</v>
      </c>
      <c r="E20" s="62"/>
      <c r="F20" s="62"/>
      <c r="G20" s="62"/>
      <c r="H20" s="62"/>
      <c r="I20" s="62"/>
      <c r="J20" s="62"/>
      <c r="K20" s="62"/>
      <c r="L20" s="63" t="s">
        <v>2001</v>
      </c>
    </row>
    <row r="21" customFormat="false" ht="33" hidden="false" customHeight="false" outlineLevel="0" collapsed="false">
      <c r="A21" s="62"/>
      <c r="B21" s="62"/>
      <c r="C21" s="62"/>
      <c r="D21" s="63" t="s">
        <v>2002</v>
      </c>
      <c r="E21" s="62"/>
      <c r="F21" s="62"/>
      <c r="G21" s="62"/>
      <c r="H21" s="62"/>
      <c r="I21" s="62"/>
      <c r="J21" s="62"/>
      <c r="K21" s="62"/>
      <c r="L21" s="63" t="s">
        <v>2003</v>
      </c>
    </row>
    <row r="22" customFormat="false" ht="33" hidden="false" customHeight="false" outlineLevel="0" collapsed="false">
      <c r="A22" s="62"/>
      <c r="B22" s="62"/>
      <c r="C22" s="62"/>
      <c r="D22" s="63" t="s">
        <v>2004</v>
      </c>
      <c r="E22" s="62"/>
      <c r="F22" s="62"/>
      <c r="G22" s="62"/>
      <c r="H22" s="62"/>
      <c r="I22" s="62"/>
      <c r="J22" s="62"/>
      <c r="K22" s="62"/>
      <c r="L22" s="63" t="s">
        <v>2005</v>
      </c>
    </row>
    <row r="23" customFormat="false" ht="33" hidden="false" customHeight="false" outlineLevel="0" collapsed="false">
      <c r="A23" s="62"/>
      <c r="B23" s="62"/>
      <c r="C23" s="62"/>
      <c r="D23" s="62" t="s">
        <v>1998</v>
      </c>
      <c r="E23" s="62"/>
      <c r="F23" s="62"/>
      <c r="G23" s="62"/>
      <c r="H23" s="62"/>
      <c r="I23" s="62"/>
      <c r="J23" s="62"/>
      <c r="K23" s="62"/>
      <c r="L23" s="62" t="s">
        <v>2006</v>
      </c>
    </row>
    <row r="24" customFormat="false" ht="33" hidden="false" customHeight="false" outlineLevel="0" collapsed="false">
      <c r="A24" s="62"/>
      <c r="B24" s="62"/>
      <c r="C24" s="62"/>
      <c r="D24" s="63" t="s">
        <v>2007</v>
      </c>
      <c r="E24" s="62"/>
      <c r="F24" s="62"/>
      <c r="G24" s="62"/>
      <c r="H24" s="62"/>
      <c r="I24" s="62"/>
      <c r="J24" s="62"/>
      <c r="K24" s="62"/>
      <c r="L24" s="63" t="s">
        <v>2008</v>
      </c>
    </row>
    <row r="25" customFormat="false" ht="33" hidden="false" customHeight="false" outlineLevel="0" collapsed="false">
      <c r="A25" s="62"/>
      <c r="B25" s="62"/>
      <c r="C25" s="62"/>
      <c r="D25" s="63" t="s">
        <v>2009</v>
      </c>
      <c r="E25" s="62"/>
      <c r="F25" s="62"/>
      <c r="G25" s="62"/>
      <c r="H25" s="62"/>
      <c r="I25" s="62"/>
      <c r="J25" s="62"/>
      <c r="K25" s="62"/>
      <c r="L25" s="62"/>
    </row>
    <row r="26" customFormat="false" ht="17.25" hidden="false" customHeight="false" outlineLevel="0" collapsed="false">
      <c r="A26" s="62"/>
      <c r="B26" s="62"/>
      <c r="C26" s="62"/>
      <c r="D26" s="63" t="s">
        <v>2010</v>
      </c>
      <c r="E26" s="62"/>
      <c r="F26" s="62"/>
      <c r="G26" s="62"/>
      <c r="H26" s="62"/>
      <c r="I26" s="62"/>
      <c r="J26" s="62"/>
      <c r="K26" s="62"/>
      <c r="L26" s="62"/>
    </row>
    <row r="27" customFormat="false" ht="17.25" hidden="false" customHeight="false" outlineLevel="0" collapsed="false">
      <c r="A27" s="62"/>
      <c r="B27" s="62"/>
      <c r="C27" s="62"/>
      <c r="D27" s="62" t="s">
        <v>1998</v>
      </c>
      <c r="E27" s="62"/>
      <c r="F27" s="62"/>
      <c r="G27" s="62"/>
      <c r="H27" s="62"/>
      <c r="I27" s="62"/>
      <c r="J27" s="62"/>
      <c r="K27" s="62"/>
      <c r="L27" s="62"/>
    </row>
    <row r="28" customFormat="false" ht="17.25" hidden="false" customHeight="false" outlineLevel="0" collapsed="false">
      <c r="A28" s="62"/>
      <c r="B28" s="62"/>
      <c r="C28" s="62"/>
      <c r="D28" s="63" t="s">
        <v>233</v>
      </c>
      <c r="E28" s="62"/>
      <c r="F28" s="62"/>
      <c r="G28" s="62"/>
      <c r="H28" s="62"/>
      <c r="I28" s="62"/>
      <c r="J28" s="62"/>
      <c r="K28" s="62"/>
      <c r="L28" s="62"/>
    </row>
    <row r="29" customFormat="false" ht="33" hidden="false" customHeight="false" outlineLevel="0" collapsed="false">
      <c r="A29" s="62"/>
      <c r="B29" s="62"/>
      <c r="C29" s="62"/>
      <c r="D29" s="63" t="s">
        <v>2011</v>
      </c>
      <c r="E29" s="62"/>
      <c r="F29" s="62"/>
      <c r="G29" s="62"/>
      <c r="H29" s="62"/>
      <c r="I29" s="62"/>
      <c r="J29" s="62"/>
      <c r="K29" s="62"/>
      <c r="L29" s="62"/>
    </row>
    <row r="30" customFormat="false" ht="33" hidden="false" customHeight="false" outlineLevel="0" collapsed="false">
      <c r="A30" s="62"/>
      <c r="B30" s="62"/>
      <c r="C30" s="62"/>
      <c r="D30" s="63" t="s">
        <v>2012</v>
      </c>
      <c r="E30" s="62"/>
      <c r="F30" s="62"/>
      <c r="G30" s="62"/>
      <c r="H30" s="62"/>
      <c r="I30" s="62"/>
      <c r="J30" s="62"/>
      <c r="K30" s="62"/>
      <c r="L30" s="62"/>
    </row>
    <row r="31" customFormat="false" ht="17.25" hidden="false" customHeight="false" outlineLevel="0" collapsed="false">
      <c r="A31" s="62"/>
      <c r="B31" s="62"/>
      <c r="C31" s="62"/>
      <c r="D31" s="63" t="s">
        <v>2013</v>
      </c>
      <c r="E31" s="62"/>
      <c r="F31" s="62"/>
      <c r="G31" s="62"/>
      <c r="H31" s="62"/>
      <c r="I31" s="62"/>
      <c r="J31" s="62"/>
      <c r="K31" s="62"/>
      <c r="L31" s="62"/>
    </row>
    <row r="32" customFormat="false" ht="17.25" hidden="false" customHeight="false" outlineLevel="0" collapsed="false">
      <c r="A32" s="62"/>
      <c r="B32" s="62"/>
      <c r="C32" s="62"/>
      <c r="D32" s="62" t="s">
        <v>1998</v>
      </c>
      <c r="E32" s="62"/>
      <c r="F32" s="62"/>
      <c r="G32" s="62"/>
      <c r="H32" s="62"/>
      <c r="I32" s="62"/>
      <c r="J32" s="62"/>
      <c r="K32" s="62"/>
      <c r="L32" s="62"/>
    </row>
    <row r="33" customFormat="false" ht="17.25" hidden="false" customHeight="false" outlineLevel="0" collapsed="false">
      <c r="A33" s="62"/>
      <c r="B33" s="62"/>
      <c r="C33" s="62"/>
      <c r="D33" s="63" t="s">
        <v>2014</v>
      </c>
      <c r="E33" s="62"/>
      <c r="F33" s="62"/>
      <c r="G33" s="62"/>
      <c r="H33" s="62"/>
      <c r="I33" s="62"/>
      <c r="J33" s="62"/>
      <c r="K33" s="62"/>
      <c r="L33" s="62"/>
    </row>
    <row r="34" customFormat="false" ht="15.75" hidden="false" customHeight="false" outlineLevel="0" collapsed="false">
      <c r="A34" s="3" t="s">
        <v>211</v>
      </c>
    </row>
    <row r="41" customFormat="false" ht="15.75" hidden="false" customHeight="false" outlineLevel="0" collapsed="false">
      <c r="A41" s="65" t="s">
        <v>281</v>
      </c>
    </row>
  </sheetData>
  <hyperlinks>
    <hyperlink ref="M1" location="Index!A1" display="Index"/>
    <hyperlink ref="A34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.71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356</v>
      </c>
      <c r="B4" s="62" t="n">
        <v>743</v>
      </c>
      <c r="C4" s="63" t="s">
        <v>1604</v>
      </c>
      <c r="D4" s="63" t="s">
        <v>2015</v>
      </c>
      <c r="E4" s="63" t="s">
        <v>876</v>
      </c>
      <c r="F4" s="62"/>
      <c r="G4" s="62" t="s">
        <v>1828</v>
      </c>
      <c r="H4" s="62"/>
      <c r="I4" s="62"/>
      <c r="J4" s="62"/>
      <c r="K4" s="62"/>
      <c r="L4" s="62"/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227</v>
      </c>
      <c r="E5" s="62"/>
      <c r="F5" s="62"/>
      <c r="G5" s="62" t="s">
        <v>717</v>
      </c>
      <c r="H5" s="62" t="s">
        <v>2016</v>
      </c>
      <c r="I5" s="62"/>
      <c r="J5" s="62"/>
      <c r="K5" s="62"/>
      <c r="L5" s="62"/>
    </row>
    <row r="6" customFormat="false" ht="33" hidden="false" customHeight="false" outlineLevel="0" collapsed="false">
      <c r="A6" s="62" t="s">
        <v>2017</v>
      </c>
      <c r="B6" s="62"/>
      <c r="C6" s="62"/>
      <c r="D6" s="63" t="s">
        <v>240</v>
      </c>
      <c r="E6" s="62"/>
      <c r="F6" s="62"/>
      <c r="G6" s="62"/>
      <c r="H6" s="62" t="s">
        <v>1549</v>
      </c>
      <c r="I6" s="62"/>
      <c r="J6" s="62"/>
      <c r="K6" s="62"/>
      <c r="L6" s="62"/>
    </row>
    <row r="7" customFormat="false" ht="17.25" hidden="false" customHeight="false" outlineLevel="0" collapsed="false">
      <c r="A7" s="62"/>
      <c r="B7" s="62"/>
      <c r="C7" s="62"/>
      <c r="D7" s="63" t="s">
        <v>233</v>
      </c>
      <c r="E7" s="62"/>
      <c r="F7" s="62"/>
      <c r="G7" s="62"/>
      <c r="H7" s="62"/>
      <c r="I7" s="62"/>
      <c r="J7" s="62"/>
      <c r="K7" s="62"/>
      <c r="L7" s="62"/>
    </row>
    <row r="8" customFormat="false" ht="33" hidden="false" customHeight="false" outlineLevel="0" collapsed="false">
      <c r="A8" s="62"/>
      <c r="B8" s="62"/>
      <c r="C8" s="62"/>
      <c r="D8" s="62"/>
      <c r="E8" s="62"/>
      <c r="F8" s="62" t="s">
        <v>792</v>
      </c>
      <c r="G8" s="62"/>
      <c r="H8" s="62" t="s">
        <v>1884</v>
      </c>
      <c r="I8" s="62"/>
      <c r="J8" s="62"/>
      <c r="K8" s="62"/>
      <c r="L8" s="62"/>
    </row>
    <row r="9" customFormat="false" ht="33" hidden="false" customHeight="false" outlineLevel="0" collapsed="false">
      <c r="A9" s="62"/>
      <c r="B9" s="62"/>
      <c r="C9" s="62"/>
      <c r="D9" s="62"/>
      <c r="E9" s="62"/>
      <c r="F9" s="62"/>
      <c r="G9" s="62" t="n">
        <v>18</v>
      </c>
      <c r="H9" s="62" t="s">
        <v>2018</v>
      </c>
      <c r="I9" s="62"/>
      <c r="J9" s="62"/>
      <c r="K9" s="62"/>
      <c r="L9" s="62"/>
    </row>
    <row r="10" customFormat="false" ht="33" hidden="false" customHeight="false" outlineLevel="0" collapsed="false">
      <c r="A10" s="62"/>
      <c r="B10" s="62"/>
      <c r="C10" s="62"/>
      <c r="D10" s="62"/>
      <c r="E10" s="62"/>
      <c r="F10" s="62"/>
      <c r="G10" s="62" t="n">
        <v>23</v>
      </c>
      <c r="H10" s="62" t="s">
        <v>2019</v>
      </c>
      <c r="I10" s="62"/>
      <c r="J10" s="62"/>
      <c r="K10" s="62"/>
      <c r="L10" s="62"/>
    </row>
    <row r="11" customFormat="false" ht="33" hidden="false" customHeight="false" outlineLevel="0" collapsed="false">
      <c r="A11" s="62"/>
      <c r="B11" s="62"/>
      <c r="C11" s="62"/>
      <c r="D11" s="62"/>
      <c r="E11" s="62"/>
      <c r="F11" s="62"/>
      <c r="G11" s="62" t="s">
        <v>267</v>
      </c>
      <c r="H11" s="62" t="s">
        <v>268</v>
      </c>
      <c r="I11" s="62"/>
      <c r="J11" s="62"/>
      <c r="K11" s="62"/>
      <c r="L11" s="62"/>
    </row>
    <row r="12" customFormat="false" ht="17.25" hidden="false" customHeight="false" outlineLevel="0" collapsed="false">
      <c r="A12" s="62"/>
      <c r="B12" s="62"/>
      <c r="C12" s="62"/>
      <c r="D12" s="62"/>
      <c r="E12" s="62"/>
      <c r="F12" s="62"/>
      <c r="G12" s="63" t="s">
        <v>1251</v>
      </c>
      <c r="H12" s="62" t="s">
        <v>2020</v>
      </c>
      <c r="I12" s="62"/>
      <c r="J12" s="62"/>
      <c r="K12" s="62"/>
      <c r="L12" s="62"/>
    </row>
    <row r="13" customFormat="false" ht="48.75" hidden="false" customHeight="false" outlineLevel="0" collapsed="false">
      <c r="A13" s="62"/>
      <c r="B13" s="62"/>
      <c r="C13" s="62"/>
      <c r="D13" s="62"/>
      <c r="E13" s="62"/>
      <c r="F13" s="62"/>
      <c r="G13" s="63" t="s">
        <v>270</v>
      </c>
      <c r="H13" s="63" t="s">
        <v>821</v>
      </c>
      <c r="I13" s="62"/>
      <c r="J13" s="62"/>
      <c r="K13" s="62"/>
      <c r="L13" s="62"/>
    </row>
    <row r="14" customFormat="false" ht="33" hidden="false" customHeight="false" outlineLevel="0" collapsed="false">
      <c r="A14" s="62"/>
      <c r="B14" s="62"/>
      <c r="C14" s="62"/>
      <c r="D14" s="62"/>
      <c r="E14" s="62"/>
      <c r="F14" s="62"/>
      <c r="G14" s="62" t="s">
        <v>267</v>
      </c>
      <c r="H14" s="62" t="s">
        <v>267</v>
      </c>
      <c r="I14" s="62"/>
      <c r="J14" s="62"/>
      <c r="K14" s="62"/>
      <c r="L14" s="62"/>
    </row>
    <row r="15" customFormat="false" ht="17.25" hidden="false" customHeight="false" outlineLevel="0" collapsed="false">
      <c r="A15" s="62"/>
      <c r="B15" s="62"/>
      <c r="C15" s="62"/>
      <c r="D15" s="62"/>
      <c r="E15" s="62"/>
      <c r="F15" s="62"/>
      <c r="G15" s="62" t="s">
        <v>2021</v>
      </c>
      <c r="H15" s="62" t="s">
        <v>421</v>
      </c>
      <c r="I15" s="62"/>
      <c r="J15" s="62"/>
      <c r="K15" s="62"/>
      <c r="L15" s="62"/>
    </row>
    <row r="16" customFormat="false" ht="33" hidden="false" customHeight="false" outlineLevel="0" collapsed="false">
      <c r="A16" s="62"/>
      <c r="B16" s="62"/>
      <c r="C16" s="62"/>
      <c r="D16" s="62"/>
      <c r="E16" s="62"/>
      <c r="F16" s="62"/>
      <c r="G16" s="62" t="s">
        <v>267</v>
      </c>
      <c r="H16" s="62" t="s">
        <v>267</v>
      </c>
      <c r="I16" s="62"/>
      <c r="J16" s="62"/>
      <c r="K16" s="62"/>
      <c r="L16" s="62"/>
    </row>
    <row r="17" customFormat="false" ht="33" hidden="false" customHeight="false" outlineLevel="0" collapsed="false">
      <c r="A17" s="62"/>
      <c r="B17" s="62"/>
      <c r="C17" s="62"/>
      <c r="D17" s="62"/>
      <c r="E17" s="62"/>
      <c r="F17" s="62"/>
      <c r="G17" s="62" t="s">
        <v>2018</v>
      </c>
      <c r="H17" s="62" t="s">
        <v>1572</v>
      </c>
      <c r="I17" s="62"/>
      <c r="J17" s="62"/>
      <c r="K17" s="62"/>
      <c r="L17" s="62"/>
    </row>
    <row r="18" customFormat="false" ht="33" hidden="false" customHeight="false" outlineLevel="0" collapsed="false">
      <c r="A18" s="62"/>
      <c r="B18" s="62"/>
      <c r="C18" s="62"/>
      <c r="D18" s="62"/>
      <c r="E18" s="62"/>
      <c r="F18" s="62"/>
      <c r="G18" s="62" t="s">
        <v>2022</v>
      </c>
      <c r="H18" s="62"/>
      <c r="I18" s="62"/>
      <c r="J18" s="62"/>
      <c r="K18" s="62"/>
      <c r="L18" s="62"/>
    </row>
    <row r="19" customFormat="false" ht="15.75" hidden="false" customHeight="false" outlineLevel="0" collapsed="false">
      <c r="A19" s="3" t="s">
        <v>211</v>
      </c>
    </row>
    <row r="26" customFormat="false" ht="15.75" hidden="false" customHeight="false" outlineLevel="0" collapsed="false">
      <c r="A26" s="65" t="s">
        <v>281</v>
      </c>
    </row>
  </sheetData>
  <hyperlinks>
    <hyperlink ref="M1" location="Index!A1" display="Index"/>
    <hyperlink ref="A19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5.14"/>
    <col collapsed="false" customWidth="true" hidden="false" outlineLevel="0" max="12" min="12" style="0" width="13.29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358</v>
      </c>
      <c r="B4" s="62" t="n">
        <v>745</v>
      </c>
      <c r="C4" s="63" t="s">
        <v>1604</v>
      </c>
      <c r="D4" s="63" t="s">
        <v>1471</v>
      </c>
      <c r="E4" s="63" t="s">
        <v>876</v>
      </c>
      <c r="F4" s="62"/>
      <c r="G4" s="62" t="s">
        <v>2023</v>
      </c>
      <c r="H4" s="62"/>
      <c r="I4" s="62"/>
      <c r="J4" s="62"/>
      <c r="K4" s="62"/>
      <c r="L4" s="63" t="s">
        <v>838</v>
      </c>
    </row>
    <row r="5" customFormat="false" ht="48.75" hidden="false" customHeight="false" outlineLevel="0" collapsed="false">
      <c r="A5" s="62" t="s">
        <v>231</v>
      </c>
      <c r="B5" s="62"/>
      <c r="C5" s="62"/>
      <c r="D5" s="63" t="s">
        <v>227</v>
      </c>
      <c r="E5" s="62"/>
      <c r="F5" s="62"/>
      <c r="G5" s="64" t="n">
        <v>40634</v>
      </c>
      <c r="H5" s="62" t="s">
        <v>1896</v>
      </c>
      <c r="I5" s="62"/>
      <c r="J5" s="62"/>
      <c r="K5" s="62"/>
      <c r="L5" s="63" t="s">
        <v>2024</v>
      </c>
    </row>
    <row r="6" customFormat="false" ht="48.75" hidden="false" customHeight="false" outlineLevel="0" collapsed="false">
      <c r="A6" s="62" t="n">
        <v>333</v>
      </c>
      <c r="B6" s="62"/>
      <c r="C6" s="62"/>
      <c r="D6" s="63" t="s">
        <v>240</v>
      </c>
      <c r="E6" s="62"/>
      <c r="F6" s="62"/>
      <c r="G6" s="64" t="n">
        <v>40726</v>
      </c>
      <c r="H6" s="62" t="s">
        <v>1896</v>
      </c>
      <c r="I6" s="62"/>
      <c r="J6" s="62"/>
      <c r="K6" s="62"/>
      <c r="L6" s="63" t="s">
        <v>2025</v>
      </c>
    </row>
    <row r="7" customFormat="false" ht="33" hidden="false" customHeight="false" outlineLevel="0" collapsed="false">
      <c r="A7" s="62"/>
      <c r="B7" s="62"/>
      <c r="C7" s="62"/>
      <c r="D7" s="62" t="s">
        <v>964</v>
      </c>
      <c r="E7" s="62"/>
      <c r="F7" s="62"/>
      <c r="G7" s="62" t="n">
        <v>9</v>
      </c>
      <c r="H7" s="62" t="s">
        <v>1449</v>
      </c>
      <c r="I7" s="62"/>
      <c r="J7" s="62"/>
      <c r="K7" s="62"/>
      <c r="L7" s="63" t="s">
        <v>851</v>
      </c>
    </row>
    <row r="8" customFormat="false" ht="33" hidden="false" customHeight="false" outlineLevel="0" collapsed="false">
      <c r="A8" s="62"/>
      <c r="B8" s="62"/>
      <c r="C8" s="62"/>
      <c r="D8" s="63" t="s">
        <v>2026</v>
      </c>
      <c r="E8" s="62"/>
      <c r="F8" s="62"/>
      <c r="G8" s="62" t="s">
        <v>267</v>
      </c>
      <c r="H8" s="62" t="s">
        <v>268</v>
      </c>
      <c r="I8" s="62"/>
      <c r="J8" s="62"/>
      <c r="K8" s="62"/>
      <c r="L8" s="63" t="s">
        <v>2027</v>
      </c>
    </row>
    <row r="9" customFormat="false" ht="33" hidden="false" customHeight="false" outlineLevel="0" collapsed="false">
      <c r="A9" s="62"/>
      <c r="B9" s="62"/>
      <c r="C9" s="62"/>
      <c r="D9" s="63" t="s">
        <v>2028</v>
      </c>
      <c r="E9" s="62"/>
      <c r="F9" s="62"/>
      <c r="G9" s="63" t="s">
        <v>269</v>
      </c>
      <c r="H9" s="62" t="s">
        <v>2029</v>
      </c>
      <c r="I9" s="62"/>
      <c r="J9" s="62"/>
      <c r="K9" s="62"/>
      <c r="L9" s="63" t="s">
        <v>2030</v>
      </c>
    </row>
    <row r="10" customFormat="false" ht="33" hidden="false" customHeight="false" outlineLevel="0" collapsed="false">
      <c r="A10" s="62"/>
      <c r="B10" s="62"/>
      <c r="C10" s="62"/>
      <c r="D10" s="63" t="s">
        <v>1883</v>
      </c>
      <c r="E10" s="62"/>
      <c r="F10" s="62"/>
      <c r="G10" s="63" t="s">
        <v>270</v>
      </c>
      <c r="H10" s="62"/>
      <c r="I10" s="62"/>
      <c r="J10" s="62"/>
      <c r="K10" s="62"/>
      <c r="L10" s="63" t="s">
        <v>2031</v>
      </c>
    </row>
    <row r="11" customFormat="false" ht="33" hidden="false" customHeight="false" outlineLevel="0" collapsed="false">
      <c r="A11" s="62"/>
      <c r="B11" s="62"/>
      <c r="C11" s="62"/>
      <c r="D11" s="63" t="s">
        <v>240</v>
      </c>
      <c r="E11" s="62"/>
      <c r="F11" s="62"/>
      <c r="G11" s="62" t="s">
        <v>267</v>
      </c>
      <c r="H11" s="62"/>
      <c r="I11" s="62"/>
      <c r="J11" s="62"/>
      <c r="K11" s="62"/>
      <c r="L11" s="63" t="s">
        <v>2032</v>
      </c>
    </row>
    <row r="12" customFormat="false" ht="33" hidden="false" customHeight="false" outlineLevel="0" collapsed="false">
      <c r="A12" s="62"/>
      <c r="B12" s="62"/>
      <c r="C12" s="62"/>
      <c r="D12" s="63" t="s">
        <v>244</v>
      </c>
      <c r="E12" s="62"/>
      <c r="F12" s="62"/>
      <c r="G12" s="62" t="s">
        <v>2029</v>
      </c>
      <c r="H12" s="62"/>
      <c r="I12" s="62"/>
      <c r="J12" s="62"/>
      <c r="K12" s="62"/>
      <c r="L12" s="62" t="s">
        <v>2033</v>
      </c>
    </row>
    <row r="13" customFormat="false" ht="33" hidden="false" customHeight="false" outlineLevel="0" collapsed="false">
      <c r="A13" s="62"/>
      <c r="B13" s="62"/>
      <c r="C13" s="62"/>
      <c r="D13" s="62" t="s">
        <v>964</v>
      </c>
      <c r="E13" s="62"/>
      <c r="F13" s="62"/>
      <c r="G13" s="62" t="s">
        <v>267</v>
      </c>
      <c r="H13" s="62"/>
      <c r="I13" s="62"/>
      <c r="J13" s="62"/>
      <c r="K13" s="62"/>
      <c r="L13" s="63" t="s">
        <v>2034</v>
      </c>
    </row>
    <row r="14" customFormat="false" ht="17.25" hidden="false" customHeight="false" outlineLevel="0" collapsed="false">
      <c r="A14" s="62"/>
      <c r="B14" s="62"/>
      <c r="C14" s="62"/>
      <c r="D14" s="63" t="s">
        <v>233</v>
      </c>
      <c r="E14" s="62"/>
      <c r="F14" s="62"/>
      <c r="G14" s="62" t="s">
        <v>1449</v>
      </c>
      <c r="H14" s="62"/>
      <c r="I14" s="62"/>
      <c r="J14" s="62"/>
      <c r="K14" s="62"/>
      <c r="L14" s="63" t="s">
        <v>2035</v>
      </c>
    </row>
    <row r="15" customFormat="false" ht="33" hidden="false" customHeight="false" outlineLevel="0" collapsed="false">
      <c r="A15" s="62"/>
      <c r="B15" s="62"/>
      <c r="C15" s="62"/>
      <c r="D15" s="62"/>
      <c r="E15" s="62"/>
      <c r="F15" s="62"/>
      <c r="G15" s="62" t="s">
        <v>959</v>
      </c>
      <c r="H15" s="62"/>
      <c r="I15" s="62"/>
      <c r="J15" s="62"/>
      <c r="K15" s="62"/>
      <c r="L15" s="63" t="s">
        <v>2036</v>
      </c>
    </row>
    <row r="16" customFormat="false" ht="48.75" hidden="false" customHeight="false" outlineLevel="0" collapsed="false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 t="s">
        <v>2037</v>
      </c>
    </row>
    <row r="17" customFormat="false" ht="33" hidden="false" customHeight="false" outlineLevel="0" collapsed="false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 t="s">
        <v>2038</v>
      </c>
    </row>
    <row r="18" customFormat="false" ht="33" hidden="false" customHeight="false" outlineLevel="0" collapsed="false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3" t="s">
        <v>2039</v>
      </c>
    </row>
    <row r="19" customFormat="false" ht="48.75" hidden="false" customHeight="false" outlineLevel="0" collapsed="false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 t="s">
        <v>2040</v>
      </c>
    </row>
    <row r="20" customFormat="false" ht="33" hidden="false" customHeight="false" outlineLevel="0" collapsed="false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 t="s">
        <v>2041</v>
      </c>
    </row>
    <row r="21" customFormat="false" ht="33" hidden="false" customHeight="false" outlineLevel="0" collapsed="false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3" t="s">
        <v>2042</v>
      </c>
    </row>
    <row r="22" customFormat="false" ht="33" hidden="false" customHeight="fals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3" t="s">
        <v>2043</v>
      </c>
    </row>
    <row r="23" customFormat="false" ht="48.75" hidden="false" customHeight="false" outlineLevel="0" collapsed="false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 t="s">
        <v>2044</v>
      </c>
    </row>
    <row r="24" customFormat="false" ht="33" hidden="false" customHeight="false" outlineLevel="0" collapsed="false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 t="s">
        <v>2045</v>
      </c>
    </row>
    <row r="25" customFormat="false" ht="33" hidden="false" customHeight="false" outlineLevel="0" collapsed="false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 t="s">
        <v>2046</v>
      </c>
    </row>
    <row r="26" customFormat="false" ht="48.75" hidden="false" customHeight="false" outlineLevel="0" collapsed="false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3" t="s">
        <v>2047</v>
      </c>
    </row>
    <row r="27" customFormat="false" ht="33" hidden="false" customHeight="false" outlineLevel="0" collapsed="false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3" t="s">
        <v>2048</v>
      </c>
    </row>
    <row r="28" customFormat="false" ht="33" hidden="false" customHeight="false" outlineLevel="0" collapsed="false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 t="s">
        <v>2049</v>
      </c>
    </row>
    <row r="29" customFormat="false" ht="33" hidden="false" customHeight="false" outlineLevel="0" collapsed="false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 t="s">
        <v>2050</v>
      </c>
    </row>
    <row r="30" customFormat="false" ht="48.75" hidden="false" customHeight="false" outlineLevel="0" collapsed="false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 t="s">
        <v>1751</v>
      </c>
    </row>
    <row r="31" customFormat="false" ht="48.75" hidden="false" customHeight="false" outlineLevel="0" collapsed="false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3" t="s">
        <v>1752</v>
      </c>
    </row>
    <row r="32" customFormat="false" ht="17.25" hidden="false" customHeight="false" outlineLevel="0" collapsed="false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3" t="s">
        <v>838</v>
      </c>
    </row>
    <row r="33" customFormat="false" ht="33" hidden="false" customHeight="false" outlineLevel="0" collapsed="false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 t="s">
        <v>2051</v>
      </c>
    </row>
    <row r="34" customFormat="false" ht="48.75" hidden="false" customHeight="fals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 t="s">
        <v>2052</v>
      </c>
    </row>
    <row r="35" customFormat="false" ht="48.75" hidden="false" customHeight="false" outlineLevel="0" collapsed="false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 t="s">
        <v>2053</v>
      </c>
    </row>
    <row r="36" customFormat="false" ht="48.75" hidden="false" customHeight="false" outlineLevel="0" collapsed="false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 t="s">
        <v>2054</v>
      </c>
    </row>
    <row r="37" customFormat="false" ht="48.75" hidden="false" customHeight="false" outlineLevel="0" collapsed="false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 t="s">
        <v>2055</v>
      </c>
    </row>
    <row r="38" customFormat="false" ht="17.25" hidden="false" customHeight="false" outlineLevel="0" collapsed="false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 t="s">
        <v>206</v>
      </c>
    </row>
    <row r="39" customFormat="false" ht="33" hidden="false" customHeight="false" outlineLevel="0" collapsed="false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 t="s">
        <v>2056</v>
      </c>
    </row>
    <row r="40" customFormat="false" ht="48.75" hidden="false" customHeight="fals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 t="s">
        <v>2057</v>
      </c>
    </row>
    <row r="41" customFormat="false" ht="17.25" hidden="false" customHeight="fals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 t="s">
        <v>2058</v>
      </c>
    </row>
    <row r="42" customFormat="false" ht="33" hidden="false" customHeight="fals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 t="s">
        <v>2059</v>
      </c>
    </row>
    <row r="43" customFormat="false" ht="17.25" hidden="false" customHeight="fals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 t="s">
        <v>2060</v>
      </c>
    </row>
    <row r="44" customFormat="false" ht="33" hidden="false" customHeight="false" outlineLevel="0" collapsed="false">
      <c r="A44" s="62"/>
      <c r="B44" s="62" t="n">
        <v>746</v>
      </c>
      <c r="C44" s="62"/>
      <c r="D44" s="62"/>
      <c r="E44" s="63" t="s">
        <v>262</v>
      </c>
      <c r="F44" s="62"/>
      <c r="G44" s="62" t="s">
        <v>2023</v>
      </c>
      <c r="H44" s="62"/>
      <c r="I44" s="62"/>
      <c r="J44" s="62"/>
      <c r="K44" s="62"/>
      <c r="L44" s="62"/>
    </row>
    <row r="45" customFormat="false" ht="33" hidden="false" customHeight="false" outlineLevel="0" collapsed="false">
      <c r="A45" s="62"/>
      <c r="B45" s="62"/>
      <c r="C45" s="62"/>
      <c r="D45" s="62"/>
      <c r="E45" s="63" t="s">
        <v>2061</v>
      </c>
      <c r="F45" s="62"/>
      <c r="G45" s="62" t="n">
        <v>3</v>
      </c>
      <c r="H45" s="62" t="s">
        <v>771</v>
      </c>
      <c r="I45" s="62"/>
      <c r="J45" s="62"/>
      <c r="K45" s="62"/>
      <c r="L45" s="62"/>
    </row>
    <row r="46" customFormat="false" ht="17.25" hidden="false" customHeight="false" outlineLevel="0" collapsed="false">
      <c r="A46" s="62"/>
      <c r="B46" s="62"/>
      <c r="C46" s="62"/>
      <c r="D46" s="62"/>
      <c r="E46" s="63" t="s">
        <v>237</v>
      </c>
      <c r="F46" s="62"/>
      <c r="G46" s="62" t="n">
        <v>8</v>
      </c>
      <c r="H46" s="62" t="s">
        <v>1449</v>
      </c>
      <c r="I46" s="62"/>
      <c r="J46" s="62"/>
      <c r="K46" s="62"/>
      <c r="L46" s="62"/>
    </row>
    <row r="47" customFormat="false" ht="33" hidden="false" customHeight="false" outlineLevel="0" collapsed="false">
      <c r="A47" s="62"/>
      <c r="B47" s="62"/>
      <c r="C47" s="62"/>
      <c r="D47" s="62"/>
      <c r="E47" s="63" t="s">
        <v>1545</v>
      </c>
      <c r="F47" s="62"/>
      <c r="G47" s="62" t="s">
        <v>267</v>
      </c>
      <c r="H47" s="62" t="s">
        <v>268</v>
      </c>
      <c r="I47" s="62"/>
      <c r="J47" s="62"/>
      <c r="K47" s="62"/>
      <c r="L47" s="62"/>
    </row>
    <row r="48" customFormat="false" ht="33" hidden="false" customHeight="false" outlineLevel="0" collapsed="false">
      <c r="A48" s="62"/>
      <c r="B48" s="62"/>
      <c r="C48" s="62"/>
      <c r="D48" s="62"/>
      <c r="E48" s="63" t="s">
        <v>1883</v>
      </c>
      <c r="F48" s="62"/>
      <c r="G48" s="63" t="s">
        <v>320</v>
      </c>
      <c r="H48" s="62" t="s">
        <v>961</v>
      </c>
      <c r="I48" s="62"/>
      <c r="J48" s="62"/>
      <c r="K48" s="62"/>
      <c r="L48" s="62"/>
    </row>
    <row r="49" customFormat="false" ht="33" hidden="false" customHeight="false" outlineLevel="0" collapsed="false">
      <c r="A49" s="62"/>
      <c r="B49" s="62"/>
      <c r="C49" s="62"/>
      <c r="D49" s="62"/>
      <c r="E49" s="63" t="s">
        <v>282</v>
      </c>
      <c r="F49" s="62"/>
      <c r="G49" s="63" t="s">
        <v>270</v>
      </c>
      <c r="H49" s="62"/>
      <c r="I49" s="62"/>
      <c r="J49" s="62"/>
      <c r="K49" s="62"/>
      <c r="L49" s="62"/>
    </row>
    <row r="50" customFormat="false" ht="33" hidden="false" customHeight="false" outlineLevel="0" collapsed="false">
      <c r="A50" s="62"/>
      <c r="B50" s="62"/>
      <c r="C50" s="62"/>
      <c r="D50" s="62"/>
      <c r="E50" s="63" t="s">
        <v>236</v>
      </c>
      <c r="F50" s="62"/>
      <c r="G50" s="62" t="s">
        <v>267</v>
      </c>
      <c r="H50" s="62"/>
      <c r="I50" s="62"/>
      <c r="J50" s="62"/>
      <c r="K50" s="62"/>
      <c r="L50" s="62"/>
    </row>
    <row r="51" customFormat="false" ht="17.25" hidden="false" customHeight="false" outlineLevel="0" collapsed="false">
      <c r="A51" s="62"/>
      <c r="B51" s="62"/>
      <c r="C51" s="62"/>
      <c r="D51" s="62"/>
      <c r="E51" s="62" t="s">
        <v>964</v>
      </c>
      <c r="F51" s="62"/>
      <c r="G51" s="62" t="s">
        <v>961</v>
      </c>
      <c r="H51" s="62"/>
      <c r="I51" s="62"/>
      <c r="J51" s="62"/>
      <c r="K51" s="62"/>
      <c r="L51" s="62"/>
    </row>
    <row r="52" customFormat="false" ht="33" hidden="false" customHeight="false" outlineLevel="0" collapsed="false">
      <c r="A52" s="62"/>
      <c r="B52" s="62"/>
      <c r="C52" s="62"/>
      <c r="D52" s="62"/>
      <c r="E52" s="63" t="s">
        <v>233</v>
      </c>
      <c r="F52" s="62"/>
      <c r="G52" s="62" t="s">
        <v>267</v>
      </c>
      <c r="H52" s="62"/>
      <c r="I52" s="62"/>
      <c r="J52" s="62"/>
      <c r="K52" s="62"/>
      <c r="L52" s="62"/>
    </row>
    <row r="53" customFormat="false" ht="33" hidden="false" customHeight="false" outlineLevel="0" collapsed="false">
      <c r="A53" s="62"/>
      <c r="B53" s="62"/>
      <c r="C53" s="62"/>
      <c r="D53" s="62"/>
      <c r="E53" s="63" t="s">
        <v>1552</v>
      </c>
      <c r="F53" s="62"/>
      <c r="G53" s="62" t="s">
        <v>1449</v>
      </c>
      <c r="H53" s="62"/>
      <c r="I53" s="62"/>
      <c r="J53" s="62"/>
      <c r="K53" s="62"/>
      <c r="L53" s="62"/>
    </row>
    <row r="54" customFormat="false" ht="33" hidden="false" customHeight="false" outlineLevel="0" collapsed="false">
      <c r="A54" s="62"/>
      <c r="B54" s="62"/>
      <c r="C54" s="62"/>
      <c r="D54" s="62"/>
      <c r="E54" s="62"/>
      <c r="F54" s="62"/>
      <c r="G54" s="62" t="s">
        <v>771</v>
      </c>
      <c r="H54" s="62"/>
      <c r="I54" s="62"/>
      <c r="J54" s="62"/>
      <c r="K54" s="62"/>
      <c r="L54" s="62"/>
    </row>
    <row r="55" customFormat="false" ht="33" hidden="false" customHeight="false" outlineLevel="0" collapsed="false">
      <c r="A55" s="62"/>
      <c r="B55" s="62" t="n">
        <v>747</v>
      </c>
      <c r="C55" s="62"/>
      <c r="D55" s="62"/>
      <c r="E55" s="63" t="s">
        <v>262</v>
      </c>
      <c r="F55" s="62"/>
      <c r="G55" s="62" t="s">
        <v>2023</v>
      </c>
      <c r="H55" s="62"/>
      <c r="I55" s="62"/>
      <c r="J55" s="62"/>
      <c r="K55" s="62"/>
      <c r="L55" s="62"/>
    </row>
    <row r="56" customFormat="false" ht="33" hidden="false" customHeight="false" outlineLevel="0" collapsed="false">
      <c r="A56" s="62"/>
      <c r="B56" s="62"/>
      <c r="C56" s="62"/>
      <c r="D56" s="62"/>
      <c r="E56" s="63" t="s">
        <v>237</v>
      </c>
      <c r="F56" s="62"/>
      <c r="G56" s="64" t="n">
        <v>40577</v>
      </c>
      <c r="H56" s="62" t="s">
        <v>2062</v>
      </c>
      <c r="I56" s="62"/>
      <c r="J56" s="62"/>
      <c r="K56" s="62"/>
      <c r="L56" s="62"/>
    </row>
    <row r="57" customFormat="false" ht="17.25" hidden="false" customHeight="false" outlineLevel="0" collapsed="false">
      <c r="A57" s="62"/>
      <c r="B57" s="62"/>
      <c r="C57" s="62"/>
      <c r="D57" s="62"/>
      <c r="E57" s="63" t="s">
        <v>909</v>
      </c>
      <c r="F57" s="62"/>
      <c r="G57" s="62"/>
      <c r="H57" s="62"/>
      <c r="I57" s="62"/>
      <c r="J57" s="62"/>
      <c r="K57" s="62"/>
      <c r="L57" s="62"/>
    </row>
    <row r="58" customFormat="false" ht="33" hidden="false" customHeight="false" outlineLevel="0" collapsed="false">
      <c r="A58" s="62"/>
      <c r="B58" s="62"/>
      <c r="C58" s="62"/>
      <c r="D58" s="62"/>
      <c r="E58" s="63" t="s">
        <v>1651</v>
      </c>
      <c r="F58" s="62"/>
      <c r="G58" s="62"/>
      <c r="H58" s="62"/>
      <c r="I58" s="62"/>
      <c r="J58" s="62"/>
      <c r="K58" s="62"/>
      <c r="L58" s="62"/>
    </row>
    <row r="59" customFormat="false" ht="48.75" hidden="false" customHeight="false" outlineLevel="0" collapsed="false">
      <c r="A59" s="62"/>
      <c r="B59" s="62"/>
      <c r="C59" s="62"/>
      <c r="D59" s="62"/>
      <c r="E59" s="63" t="s">
        <v>250</v>
      </c>
      <c r="F59" s="62"/>
      <c r="G59" s="62"/>
      <c r="H59" s="62"/>
      <c r="I59" s="62"/>
      <c r="J59" s="62"/>
      <c r="K59" s="62"/>
      <c r="L59" s="62"/>
    </row>
    <row r="60" customFormat="false" ht="33" hidden="false" customHeight="false" outlineLevel="0" collapsed="false">
      <c r="A60" s="62"/>
      <c r="B60" s="62"/>
      <c r="C60" s="62"/>
      <c r="D60" s="62"/>
      <c r="E60" s="63" t="s">
        <v>247</v>
      </c>
      <c r="F60" s="62"/>
      <c r="G60" s="62"/>
      <c r="H60" s="62"/>
      <c r="I60" s="62"/>
      <c r="J60" s="62"/>
      <c r="K60" s="62"/>
      <c r="L60" s="62"/>
    </row>
    <row r="61" customFormat="false" ht="33" hidden="false" customHeight="false" outlineLevel="0" collapsed="false">
      <c r="A61" s="62"/>
      <c r="B61" s="62"/>
      <c r="C61" s="62"/>
      <c r="D61" s="62"/>
      <c r="E61" s="63" t="s">
        <v>303</v>
      </c>
      <c r="F61" s="62"/>
      <c r="G61" s="62"/>
      <c r="H61" s="62"/>
      <c r="I61" s="62"/>
      <c r="J61" s="62"/>
      <c r="K61" s="62"/>
      <c r="L61" s="62"/>
    </row>
    <row r="62" customFormat="false" ht="33" hidden="false" customHeight="false" outlineLevel="0" collapsed="false">
      <c r="A62" s="62"/>
      <c r="B62" s="62"/>
      <c r="C62" s="62"/>
      <c r="D62" s="62"/>
      <c r="E62" s="63" t="s">
        <v>244</v>
      </c>
      <c r="F62" s="62"/>
      <c r="G62" s="62"/>
      <c r="H62" s="62"/>
      <c r="I62" s="62"/>
      <c r="J62" s="62"/>
      <c r="K62" s="62"/>
      <c r="L62" s="62"/>
    </row>
    <row r="63" customFormat="false" ht="17.25" hidden="false" customHeight="false" outlineLevel="0" collapsed="false">
      <c r="A63" s="62"/>
      <c r="B63" s="62"/>
      <c r="C63" s="62"/>
      <c r="D63" s="62"/>
      <c r="E63" s="62" t="s">
        <v>328</v>
      </c>
      <c r="F63" s="62"/>
      <c r="G63" s="62"/>
      <c r="H63" s="62"/>
      <c r="I63" s="62"/>
      <c r="J63" s="62"/>
      <c r="K63" s="62"/>
      <c r="L63" s="62"/>
    </row>
    <row r="64" customFormat="false" ht="33" hidden="false" customHeight="false" outlineLevel="0" collapsed="false">
      <c r="A64" s="62"/>
      <c r="B64" s="62"/>
      <c r="C64" s="62"/>
      <c r="D64" s="62"/>
      <c r="E64" s="63" t="s">
        <v>919</v>
      </c>
      <c r="F64" s="62"/>
      <c r="G64" s="62"/>
      <c r="H64" s="62"/>
      <c r="I64" s="62"/>
      <c r="J64" s="62"/>
      <c r="K64" s="62"/>
      <c r="L64" s="62"/>
    </row>
    <row r="65" customFormat="false" ht="64.5" hidden="false" customHeight="false" outlineLevel="0" collapsed="false">
      <c r="A65" s="62"/>
      <c r="B65" s="62"/>
      <c r="C65" s="62"/>
      <c r="D65" s="62"/>
      <c r="E65" s="63" t="s">
        <v>2063</v>
      </c>
      <c r="F65" s="62"/>
      <c r="G65" s="62"/>
      <c r="H65" s="62"/>
      <c r="I65" s="62"/>
      <c r="J65" s="62"/>
      <c r="K65" s="62"/>
      <c r="L65" s="62"/>
    </row>
    <row r="66" customFormat="false" ht="48.75" hidden="false" customHeight="false" outlineLevel="0" collapsed="false">
      <c r="A66" s="62"/>
      <c r="B66" s="62"/>
      <c r="C66" s="62"/>
      <c r="D66" s="62"/>
      <c r="E66" s="63" t="s">
        <v>2064</v>
      </c>
      <c r="F66" s="62"/>
      <c r="G66" s="62"/>
      <c r="H66" s="62"/>
      <c r="I66" s="62"/>
      <c r="J66" s="62"/>
      <c r="K66" s="62"/>
      <c r="L66" s="62"/>
    </row>
    <row r="67" customFormat="false" ht="33" hidden="false" customHeight="false" outlineLevel="0" collapsed="false">
      <c r="A67" s="62"/>
      <c r="B67" s="62"/>
      <c r="C67" s="62"/>
      <c r="D67" s="62"/>
      <c r="E67" s="63" t="s">
        <v>2065</v>
      </c>
      <c r="F67" s="62"/>
      <c r="G67" s="62"/>
      <c r="H67" s="62"/>
      <c r="I67" s="62"/>
      <c r="J67" s="62"/>
      <c r="K67" s="62"/>
      <c r="L67" s="62"/>
    </row>
    <row r="68" customFormat="false" ht="48.75" hidden="false" customHeight="false" outlineLevel="0" collapsed="false">
      <c r="A68" s="62"/>
      <c r="B68" s="62"/>
      <c r="C68" s="62"/>
      <c r="D68" s="62"/>
      <c r="E68" s="63" t="s">
        <v>2066</v>
      </c>
      <c r="F68" s="62"/>
      <c r="G68" s="62"/>
      <c r="H68" s="62"/>
      <c r="I68" s="62"/>
      <c r="J68" s="62"/>
      <c r="K68" s="62"/>
      <c r="L68" s="62"/>
    </row>
    <row r="69" customFormat="false" ht="33" hidden="false" customHeight="false" outlineLevel="0" collapsed="false">
      <c r="A69" s="62"/>
      <c r="B69" s="62"/>
      <c r="C69" s="62"/>
      <c r="D69" s="62"/>
      <c r="E69" s="63" t="s">
        <v>246</v>
      </c>
      <c r="F69" s="62"/>
      <c r="G69" s="62"/>
      <c r="H69" s="62"/>
      <c r="I69" s="62"/>
      <c r="J69" s="62"/>
      <c r="K69" s="62"/>
      <c r="L69" s="62"/>
    </row>
    <row r="70" customFormat="false" ht="33" hidden="false" customHeight="false" outlineLevel="0" collapsed="false">
      <c r="A70" s="62"/>
      <c r="B70" s="62"/>
      <c r="C70" s="62"/>
      <c r="D70" s="62"/>
      <c r="E70" s="63" t="s">
        <v>2067</v>
      </c>
      <c r="F70" s="62"/>
      <c r="G70" s="62"/>
      <c r="H70" s="62"/>
      <c r="I70" s="62"/>
      <c r="J70" s="62"/>
      <c r="K70" s="62"/>
      <c r="L70" s="62"/>
    </row>
    <row r="71" customFormat="false" ht="33" hidden="false" customHeight="false" outlineLevel="0" collapsed="false">
      <c r="A71" s="62"/>
      <c r="B71" s="62"/>
      <c r="C71" s="62"/>
      <c r="D71" s="62"/>
      <c r="E71" s="63" t="s">
        <v>917</v>
      </c>
      <c r="F71" s="62"/>
      <c r="G71" s="62"/>
      <c r="H71" s="62"/>
      <c r="I71" s="62"/>
      <c r="J71" s="62"/>
      <c r="K71" s="62"/>
      <c r="L71" s="62"/>
    </row>
    <row r="72" customFormat="false" ht="17.25" hidden="false" customHeight="false" outlineLevel="0" collapsed="false">
      <c r="A72" s="62"/>
      <c r="B72" s="62"/>
      <c r="C72" s="62"/>
      <c r="D72" s="62"/>
      <c r="E72" s="62" t="s">
        <v>330</v>
      </c>
      <c r="F72" s="62"/>
      <c r="G72" s="62"/>
      <c r="H72" s="62"/>
      <c r="I72" s="62"/>
      <c r="J72" s="62"/>
      <c r="K72" s="62"/>
      <c r="L72" s="62"/>
    </row>
    <row r="73" customFormat="false" ht="33" hidden="false" customHeight="false" outlineLevel="0" collapsed="false">
      <c r="A73" s="62"/>
      <c r="B73" s="62"/>
      <c r="C73" s="62"/>
      <c r="D73" s="62"/>
      <c r="E73" s="63" t="s">
        <v>919</v>
      </c>
      <c r="F73" s="62"/>
      <c r="G73" s="62"/>
      <c r="H73" s="62"/>
      <c r="I73" s="62"/>
      <c r="J73" s="62"/>
      <c r="K73" s="62"/>
      <c r="L73" s="62"/>
    </row>
    <row r="74" customFormat="false" ht="17.25" hidden="false" customHeight="false" outlineLevel="0" collapsed="false">
      <c r="A74" s="62"/>
      <c r="B74" s="62"/>
      <c r="C74" s="62"/>
      <c r="D74" s="62"/>
      <c r="E74" s="63" t="s">
        <v>920</v>
      </c>
      <c r="F74" s="62"/>
      <c r="G74" s="62"/>
      <c r="H74" s="62"/>
      <c r="I74" s="62"/>
      <c r="J74" s="62"/>
      <c r="K74" s="62"/>
      <c r="L74" s="62"/>
    </row>
    <row r="75" customFormat="false" ht="33" hidden="false" customHeight="false" outlineLevel="0" collapsed="false">
      <c r="A75" s="62"/>
      <c r="B75" s="62"/>
      <c r="C75" s="62"/>
      <c r="D75" s="62"/>
      <c r="E75" s="63" t="s">
        <v>919</v>
      </c>
      <c r="F75" s="62"/>
      <c r="G75" s="62"/>
      <c r="H75" s="62"/>
      <c r="I75" s="62"/>
      <c r="J75" s="62"/>
      <c r="K75" s="62"/>
      <c r="L75" s="62"/>
    </row>
    <row r="76" customFormat="false" ht="48.75" hidden="false" customHeight="false" outlineLevel="0" collapsed="false">
      <c r="A76" s="62"/>
      <c r="B76" s="62"/>
      <c r="C76" s="62"/>
      <c r="D76" s="62" t="s">
        <v>274</v>
      </c>
      <c r="E76" s="62" t="s">
        <v>275</v>
      </c>
      <c r="F76" s="62" t="s">
        <v>268</v>
      </c>
      <c r="G76" s="62" t="s">
        <v>267</v>
      </c>
      <c r="H76" s="62" t="s">
        <v>268</v>
      </c>
      <c r="I76" s="62" t="s">
        <v>276</v>
      </c>
      <c r="J76" s="62" t="s">
        <v>276</v>
      </c>
      <c r="K76" s="62"/>
      <c r="L76" s="62"/>
    </row>
    <row r="77" customFormat="false" ht="33" hidden="false" customHeight="false" outlineLevel="0" collapsed="false">
      <c r="A77" s="62"/>
      <c r="B77" s="62"/>
      <c r="C77" s="62"/>
      <c r="D77" s="63" t="s">
        <v>277</v>
      </c>
      <c r="E77" s="62"/>
      <c r="F77" s="62"/>
      <c r="G77" s="63" t="s">
        <v>1272</v>
      </c>
      <c r="H77" s="62" t="s">
        <v>2068</v>
      </c>
      <c r="I77" s="62"/>
      <c r="J77" s="62"/>
      <c r="K77" s="62"/>
      <c r="L77" s="62"/>
    </row>
    <row r="78" customFormat="false" ht="33" hidden="false" customHeight="false" outlineLevel="0" collapsed="false">
      <c r="A78" s="62"/>
      <c r="B78" s="62"/>
      <c r="C78" s="62"/>
      <c r="D78" s="62"/>
      <c r="E78" s="62"/>
      <c r="F78" s="62"/>
      <c r="G78" s="63" t="s">
        <v>270</v>
      </c>
      <c r="H78" s="62"/>
      <c r="I78" s="62"/>
      <c r="J78" s="62"/>
      <c r="K78" s="62"/>
      <c r="L78" s="62"/>
    </row>
    <row r="79" customFormat="false" ht="33" hidden="false" customHeight="false" outlineLevel="0" collapsed="false">
      <c r="A79" s="62"/>
      <c r="B79" s="62"/>
      <c r="C79" s="62"/>
      <c r="D79" s="62"/>
      <c r="E79" s="62"/>
      <c r="F79" s="62"/>
      <c r="G79" s="62" t="s">
        <v>267</v>
      </c>
      <c r="H79" s="62"/>
      <c r="I79" s="62"/>
      <c r="J79" s="62"/>
      <c r="K79" s="62"/>
      <c r="L79" s="62"/>
    </row>
    <row r="80" customFormat="false" ht="17.25" hidden="false" customHeight="false" outlineLevel="0" collapsed="false">
      <c r="A80" s="62"/>
      <c r="B80" s="62"/>
      <c r="C80" s="62"/>
      <c r="D80" s="62"/>
      <c r="E80" s="62"/>
      <c r="F80" s="62"/>
      <c r="G80" s="62" t="s">
        <v>2068</v>
      </c>
      <c r="H80" s="62"/>
      <c r="I80" s="62"/>
      <c r="J80" s="62"/>
      <c r="K80" s="62"/>
      <c r="L80" s="62"/>
    </row>
    <row r="81" customFormat="false" ht="33" hidden="false" customHeight="false" outlineLevel="0" collapsed="false">
      <c r="A81" s="62"/>
      <c r="B81" s="62"/>
      <c r="C81" s="62"/>
      <c r="D81" s="62"/>
      <c r="E81" s="62"/>
      <c r="F81" s="62"/>
      <c r="G81" s="62" t="s">
        <v>267</v>
      </c>
      <c r="H81" s="62"/>
      <c r="I81" s="62"/>
      <c r="J81" s="62"/>
      <c r="K81" s="62"/>
      <c r="L81" s="62"/>
    </row>
    <row r="82" customFormat="false" ht="33" hidden="false" customHeight="false" outlineLevel="0" collapsed="false">
      <c r="A82" s="62"/>
      <c r="B82" s="62"/>
      <c r="C82" s="62"/>
      <c r="D82" s="62"/>
      <c r="E82" s="62"/>
      <c r="F82" s="62"/>
      <c r="G82" s="62" t="s">
        <v>2069</v>
      </c>
      <c r="H82" s="62"/>
      <c r="I82" s="62"/>
      <c r="J82" s="62"/>
      <c r="K82" s="62"/>
      <c r="L82" s="62"/>
    </row>
    <row r="83" customFormat="false" ht="33" hidden="false" customHeight="false" outlineLevel="0" collapsed="false">
      <c r="A83" s="62"/>
      <c r="B83" s="62"/>
      <c r="C83" s="62"/>
      <c r="D83" s="62"/>
      <c r="E83" s="62"/>
      <c r="F83" s="62"/>
      <c r="G83" s="62" t="s">
        <v>2070</v>
      </c>
      <c r="H83" s="62"/>
      <c r="I83" s="62"/>
      <c r="J83" s="62"/>
      <c r="K83" s="62"/>
      <c r="L83" s="62"/>
    </row>
    <row r="84" customFormat="false" ht="15.75" hidden="false" customHeight="false" outlineLevel="0" collapsed="false">
      <c r="A84" s="3" t="s">
        <v>211</v>
      </c>
    </row>
    <row r="91" customFormat="false" ht="15.75" hidden="false" customHeight="false" outlineLevel="0" collapsed="false">
      <c r="A91" s="65" t="s">
        <v>281</v>
      </c>
    </row>
  </sheetData>
  <hyperlinks>
    <hyperlink ref="M1" location="Index!A1" display="Index"/>
    <hyperlink ref="A84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"/>
    <col collapsed="false" customWidth="true" hidden="false" outlineLevel="0" max="12" min="12" style="0" width="15.71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359</v>
      </c>
      <c r="B4" s="62" t="n">
        <v>748</v>
      </c>
      <c r="C4" s="63" t="s">
        <v>1604</v>
      </c>
      <c r="D4" s="63" t="s">
        <v>1471</v>
      </c>
      <c r="E4" s="63" t="s">
        <v>876</v>
      </c>
      <c r="F4" s="62"/>
      <c r="G4" s="62" t="s">
        <v>2023</v>
      </c>
      <c r="H4" s="62"/>
      <c r="I4" s="62"/>
      <c r="J4" s="62"/>
      <c r="K4" s="62"/>
      <c r="L4" s="62" t="s">
        <v>2071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227</v>
      </c>
      <c r="E5" s="62"/>
      <c r="F5" s="62"/>
      <c r="G5" s="62" t="n">
        <v>10</v>
      </c>
      <c r="H5" s="62" t="s">
        <v>2072</v>
      </c>
      <c r="I5" s="62"/>
      <c r="J5" s="62"/>
      <c r="K5" s="62"/>
      <c r="L5" s="63" t="s">
        <v>2060</v>
      </c>
    </row>
    <row r="6" customFormat="false" ht="17.25" hidden="false" customHeight="false" outlineLevel="0" collapsed="false">
      <c r="A6" s="62" t="n">
        <v>334</v>
      </c>
      <c r="B6" s="62"/>
      <c r="C6" s="62"/>
      <c r="D6" s="63" t="s">
        <v>240</v>
      </c>
      <c r="E6" s="62"/>
      <c r="F6" s="62"/>
      <c r="G6" s="62"/>
      <c r="H6" s="62"/>
      <c r="I6" s="62"/>
      <c r="J6" s="62"/>
      <c r="K6" s="62"/>
      <c r="L6" s="63" t="s">
        <v>838</v>
      </c>
    </row>
    <row r="7" customFormat="false" ht="33" hidden="false" customHeight="false" outlineLevel="0" collapsed="false">
      <c r="A7" s="62"/>
      <c r="B7" s="62"/>
      <c r="C7" s="62"/>
      <c r="D7" s="62" t="s">
        <v>2073</v>
      </c>
      <c r="E7" s="62"/>
      <c r="F7" s="62"/>
      <c r="G7" s="62"/>
      <c r="H7" s="62"/>
      <c r="I7" s="62"/>
      <c r="J7" s="62"/>
      <c r="K7" s="62"/>
      <c r="L7" s="63" t="s">
        <v>2074</v>
      </c>
    </row>
    <row r="8" customFormat="false" ht="33" hidden="false" customHeight="false" outlineLevel="0" collapsed="false">
      <c r="A8" s="62"/>
      <c r="B8" s="62"/>
      <c r="C8" s="62"/>
      <c r="D8" s="63" t="s">
        <v>2075</v>
      </c>
      <c r="E8" s="62"/>
      <c r="F8" s="62"/>
      <c r="G8" s="62"/>
      <c r="H8" s="62"/>
      <c r="I8" s="62"/>
      <c r="J8" s="62"/>
      <c r="K8" s="62"/>
      <c r="L8" s="62" t="s">
        <v>2076</v>
      </c>
    </row>
    <row r="9" customFormat="false" ht="33" hidden="false" customHeight="false" outlineLevel="0" collapsed="false">
      <c r="A9" s="62"/>
      <c r="B9" s="62"/>
      <c r="C9" s="62"/>
      <c r="D9" s="63" t="s">
        <v>2077</v>
      </c>
      <c r="E9" s="62"/>
      <c r="F9" s="62"/>
      <c r="G9" s="62"/>
      <c r="H9" s="62"/>
      <c r="I9" s="62"/>
      <c r="J9" s="62"/>
      <c r="K9" s="62"/>
      <c r="L9" s="63" t="s">
        <v>2078</v>
      </c>
    </row>
    <row r="10" customFormat="false" ht="33" hidden="false" customHeight="false" outlineLevel="0" collapsed="false">
      <c r="A10" s="62"/>
      <c r="B10" s="62"/>
      <c r="C10" s="62"/>
      <c r="D10" s="63" t="s">
        <v>240</v>
      </c>
      <c r="E10" s="62"/>
      <c r="F10" s="62"/>
      <c r="G10" s="62"/>
      <c r="H10" s="62"/>
      <c r="I10" s="62"/>
      <c r="J10" s="62"/>
      <c r="K10" s="62"/>
      <c r="L10" s="63" t="s">
        <v>2079</v>
      </c>
    </row>
    <row r="11" customFormat="false" ht="33" hidden="false" customHeight="false" outlineLevel="0" collapsed="false">
      <c r="A11" s="62"/>
      <c r="B11" s="62"/>
      <c r="C11" s="62"/>
      <c r="D11" s="62" t="s">
        <v>2080</v>
      </c>
      <c r="E11" s="62"/>
      <c r="F11" s="62"/>
      <c r="G11" s="62"/>
      <c r="H11" s="62"/>
      <c r="I11" s="62"/>
      <c r="J11" s="62"/>
      <c r="K11" s="62"/>
      <c r="L11" s="63" t="s">
        <v>2081</v>
      </c>
    </row>
    <row r="12" customFormat="false" ht="33" hidden="false" customHeight="false" outlineLevel="0" collapsed="false">
      <c r="A12" s="62"/>
      <c r="B12" s="62"/>
      <c r="C12" s="62"/>
      <c r="D12" s="63" t="s">
        <v>2026</v>
      </c>
      <c r="E12" s="62"/>
      <c r="F12" s="62"/>
      <c r="G12" s="62"/>
      <c r="H12" s="62"/>
      <c r="I12" s="62"/>
      <c r="J12" s="62"/>
      <c r="K12" s="62"/>
      <c r="L12" s="63" t="s">
        <v>2082</v>
      </c>
    </row>
    <row r="13" customFormat="false" ht="33" hidden="false" customHeight="false" outlineLevel="0" collapsed="false">
      <c r="A13" s="62"/>
      <c r="B13" s="62"/>
      <c r="C13" s="62"/>
      <c r="D13" s="63" t="s">
        <v>2028</v>
      </c>
      <c r="E13" s="62"/>
      <c r="F13" s="62"/>
      <c r="G13" s="62"/>
      <c r="H13" s="62"/>
      <c r="I13" s="62"/>
      <c r="J13" s="62"/>
      <c r="K13" s="62"/>
      <c r="L13" s="62" t="s">
        <v>2083</v>
      </c>
    </row>
    <row r="14" customFormat="false" ht="48.75" hidden="false" customHeight="false" outlineLevel="0" collapsed="false">
      <c r="A14" s="62"/>
      <c r="B14" s="62"/>
      <c r="C14" s="62"/>
      <c r="D14" s="63" t="s">
        <v>1883</v>
      </c>
      <c r="E14" s="62"/>
      <c r="F14" s="62"/>
      <c r="G14" s="62"/>
      <c r="H14" s="62"/>
      <c r="I14" s="62"/>
      <c r="J14" s="62"/>
      <c r="K14" s="62"/>
      <c r="L14" s="63" t="s">
        <v>2084</v>
      </c>
    </row>
    <row r="15" customFormat="false" ht="33" hidden="false" customHeight="false" outlineLevel="0" collapsed="false">
      <c r="A15" s="62"/>
      <c r="B15" s="62"/>
      <c r="C15" s="62"/>
      <c r="D15" s="63" t="s">
        <v>240</v>
      </c>
      <c r="E15" s="62"/>
      <c r="F15" s="62"/>
      <c r="G15" s="62"/>
      <c r="H15" s="62"/>
      <c r="I15" s="62"/>
      <c r="J15" s="62"/>
      <c r="K15" s="62"/>
      <c r="L15" s="63" t="s">
        <v>2085</v>
      </c>
    </row>
    <row r="16" customFormat="false" ht="33" hidden="false" customHeight="false" outlineLevel="0" collapsed="false">
      <c r="A16" s="62"/>
      <c r="B16" s="62"/>
      <c r="C16" s="62"/>
      <c r="D16" s="63" t="s">
        <v>244</v>
      </c>
      <c r="E16" s="62"/>
      <c r="F16" s="62"/>
      <c r="G16" s="62"/>
      <c r="H16" s="62"/>
      <c r="I16" s="62"/>
      <c r="J16" s="62"/>
      <c r="K16" s="62"/>
      <c r="L16" s="62" t="s">
        <v>2086</v>
      </c>
    </row>
    <row r="17" customFormat="false" ht="33" hidden="false" customHeight="false" outlineLevel="0" collapsed="false">
      <c r="A17" s="62"/>
      <c r="B17" s="62"/>
      <c r="C17" s="62"/>
      <c r="D17" s="62" t="s">
        <v>964</v>
      </c>
      <c r="E17" s="62"/>
      <c r="F17" s="62"/>
      <c r="G17" s="62"/>
      <c r="H17" s="62"/>
      <c r="I17" s="62"/>
      <c r="J17" s="62"/>
      <c r="K17" s="62"/>
      <c r="L17" s="63" t="s">
        <v>2087</v>
      </c>
    </row>
    <row r="18" customFormat="false" ht="33" hidden="false" customHeight="false" outlineLevel="0" collapsed="false">
      <c r="A18" s="62"/>
      <c r="B18" s="62"/>
      <c r="C18" s="62"/>
      <c r="D18" s="63" t="s">
        <v>233</v>
      </c>
      <c r="E18" s="62"/>
      <c r="F18" s="62"/>
      <c r="G18" s="62"/>
      <c r="H18" s="62"/>
      <c r="I18" s="62"/>
      <c r="J18" s="62"/>
      <c r="K18" s="62"/>
      <c r="L18" s="63" t="s">
        <v>2088</v>
      </c>
    </row>
    <row r="19" customFormat="false" ht="33" hidden="false" customHeight="false" outlineLevel="0" collapsed="false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 t="s">
        <v>2089</v>
      </c>
    </row>
    <row r="20" customFormat="false" ht="33" hidden="false" customHeight="false" outlineLevel="0" collapsed="false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 t="s">
        <v>2090</v>
      </c>
    </row>
    <row r="21" customFormat="false" ht="17.25" hidden="false" customHeight="false" outlineLevel="0" collapsed="false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3" t="s">
        <v>2091</v>
      </c>
    </row>
    <row r="22" customFormat="false" ht="33" hidden="false" customHeight="false" outlineLevel="0" collapsed="false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3" t="s">
        <v>2092</v>
      </c>
    </row>
    <row r="23" customFormat="false" ht="33" hidden="false" customHeight="false" outlineLevel="0" collapsed="false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 t="s">
        <v>2093</v>
      </c>
    </row>
    <row r="24" customFormat="false" ht="33" hidden="false" customHeight="false" outlineLevel="0" collapsed="false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 t="s">
        <v>2094</v>
      </c>
    </row>
    <row r="25" customFormat="false" ht="33" hidden="false" customHeight="false" outlineLevel="0" collapsed="false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 t="s">
        <v>2095</v>
      </c>
    </row>
    <row r="26" customFormat="false" ht="33" hidden="false" customHeight="false" outlineLevel="0" collapsed="false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 t="s">
        <v>2096</v>
      </c>
    </row>
    <row r="27" customFormat="false" ht="48.75" hidden="false" customHeight="false" outlineLevel="0" collapsed="false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3" t="s">
        <v>2097</v>
      </c>
    </row>
    <row r="28" customFormat="false" ht="33" hidden="false" customHeight="false" outlineLevel="0" collapsed="false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3" t="s">
        <v>2098</v>
      </c>
    </row>
    <row r="29" customFormat="false" ht="33" hidden="false" customHeight="false" outlineLevel="0" collapsed="false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3" t="s">
        <v>2099</v>
      </c>
    </row>
    <row r="30" customFormat="false" ht="33" hidden="false" customHeight="false" outlineLevel="0" collapsed="false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 t="s">
        <v>2100</v>
      </c>
    </row>
    <row r="31" customFormat="false" ht="33" hidden="false" customHeight="false" outlineLevel="0" collapsed="false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3" t="s">
        <v>2101</v>
      </c>
    </row>
    <row r="32" customFormat="false" ht="17.25" hidden="false" customHeight="false" outlineLevel="0" collapsed="false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3" t="s">
        <v>2102</v>
      </c>
    </row>
    <row r="33" customFormat="false" ht="17.25" hidden="false" customHeight="false" outlineLevel="0" collapsed="false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 t="s">
        <v>838</v>
      </c>
    </row>
    <row r="34" customFormat="false" ht="15.75" hidden="false" customHeight="false" outlineLevel="0" collapsed="false">
      <c r="A34" s="3" t="s">
        <v>211</v>
      </c>
    </row>
    <row r="41" customFormat="false" ht="15.75" hidden="false" customHeight="false" outlineLevel="0" collapsed="false">
      <c r="A41" s="65" t="s">
        <v>281</v>
      </c>
    </row>
  </sheetData>
  <hyperlinks>
    <hyperlink ref="M1" location="Index!A1" display="Index"/>
    <hyperlink ref="A34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3.15"/>
    <col collapsed="false" customWidth="true" hidden="false" outlineLevel="0" max="12" min="12" style="0" width="14.42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362</v>
      </c>
      <c r="B4" s="62" t="n">
        <v>751</v>
      </c>
      <c r="C4" s="63" t="s">
        <v>1604</v>
      </c>
      <c r="D4" s="63" t="s">
        <v>1471</v>
      </c>
      <c r="E4" s="63" t="s">
        <v>876</v>
      </c>
      <c r="F4" s="62"/>
      <c r="G4" s="62" t="s">
        <v>2103</v>
      </c>
      <c r="H4" s="62"/>
      <c r="I4" s="62"/>
      <c r="J4" s="62"/>
      <c r="K4" s="62"/>
      <c r="L4" s="63" t="s">
        <v>2104</v>
      </c>
    </row>
    <row r="5" customFormat="false" ht="33" hidden="false" customHeight="false" outlineLevel="0" collapsed="false">
      <c r="A5" s="62" t="s">
        <v>231</v>
      </c>
      <c r="B5" s="62"/>
      <c r="C5" s="62"/>
      <c r="D5" s="63" t="s">
        <v>227</v>
      </c>
      <c r="E5" s="62"/>
      <c r="F5" s="62"/>
      <c r="G5" s="62" t="n">
        <v>12</v>
      </c>
      <c r="H5" s="62" t="s">
        <v>1493</v>
      </c>
      <c r="I5" s="62"/>
      <c r="J5" s="62"/>
      <c r="K5" s="62"/>
      <c r="L5" s="62" t="s">
        <v>2105</v>
      </c>
    </row>
    <row r="6" customFormat="false" ht="33" hidden="false" customHeight="false" outlineLevel="0" collapsed="false">
      <c r="A6" s="62" t="n">
        <v>337</v>
      </c>
      <c r="B6" s="62"/>
      <c r="C6" s="62"/>
      <c r="D6" s="63" t="s">
        <v>240</v>
      </c>
      <c r="E6" s="62"/>
      <c r="F6" s="62"/>
      <c r="G6" s="62" t="s">
        <v>730</v>
      </c>
      <c r="H6" s="62" t="s">
        <v>1923</v>
      </c>
      <c r="I6" s="62"/>
      <c r="J6" s="62"/>
      <c r="K6" s="62"/>
      <c r="L6" s="63" t="s">
        <v>2106</v>
      </c>
    </row>
    <row r="7" customFormat="false" ht="33" hidden="false" customHeight="false" outlineLevel="0" collapsed="false">
      <c r="A7" s="62"/>
      <c r="B7" s="62"/>
      <c r="C7" s="62"/>
      <c r="D7" s="62" t="s">
        <v>2107</v>
      </c>
      <c r="E7" s="62"/>
      <c r="F7" s="62"/>
      <c r="G7" s="62" t="s">
        <v>732</v>
      </c>
      <c r="H7" s="62" t="s">
        <v>1543</v>
      </c>
      <c r="I7" s="62"/>
      <c r="J7" s="62"/>
      <c r="K7" s="62"/>
      <c r="L7" s="63" t="s">
        <v>2108</v>
      </c>
    </row>
    <row r="8" customFormat="false" ht="33" hidden="false" customHeight="false" outlineLevel="0" collapsed="false">
      <c r="A8" s="62"/>
      <c r="B8" s="62"/>
      <c r="C8" s="62"/>
      <c r="D8" s="63" t="s">
        <v>2075</v>
      </c>
      <c r="E8" s="62"/>
      <c r="F8" s="62"/>
      <c r="G8" s="62" t="n">
        <v>22</v>
      </c>
      <c r="H8" s="62" t="s">
        <v>771</v>
      </c>
      <c r="I8" s="62"/>
      <c r="J8" s="62"/>
      <c r="K8" s="62"/>
      <c r="L8" s="62" t="s">
        <v>2109</v>
      </c>
    </row>
    <row r="9" customFormat="false" ht="33" hidden="false" customHeight="false" outlineLevel="0" collapsed="false">
      <c r="A9" s="62"/>
      <c r="B9" s="62"/>
      <c r="C9" s="62"/>
      <c r="D9" s="63" t="s">
        <v>2077</v>
      </c>
      <c r="E9" s="62"/>
      <c r="F9" s="62"/>
      <c r="G9" s="62" t="s">
        <v>2023</v>
      </c>
      <c r="H9" s="62"/>
      <c r="I9" s="62"/>
      <c r="J9" s="62"/>
      <c r="K9" s="62"/>
      <c r="L9" s="62" t="s">
        <v>2110</v>
      </c>
    </row>
    <row r="10" customFormat="false" ht="33" hidden="false" customHeight="false" outlineLevel="0" collapsed="false">
      <c r="A10" s="62"/>
      <c r="B10" s="62"/>
      <c r="C10" s="62"/>
      <c r="D10" s="63" t="s">
        <v>240</v>
      </c>
      <c r="E10" s="62"/>
      <c r="F10" s="62"/>
      <c r="G10" s="64" t="n">
        <v>40575</v>
      </c>
      <c r="H10" s="62" t="s">
        <v>2111</v>
      </c>
      <c r="I10" s="62"/>
      <c r="J10" s="62"/>
      <c r="K10" s="62"/>
      <c r="L10" s="62" t="s">
        <v>2112</v>
      </c>
    </row>
    <row r="11" customFormat="false" ht="33" hidden="false" customHeight="false" outlineLevel="0" collapsed="false">
      <c r="A11" s="62"/>
      <c r="B11" s="62"/>
      <c r="C11" s="62"/>
      <c r="D11" s="62" t="s">
        <v>2113</v>
      </c>
      <c r="E11" s="62"/>
      <c r="F11" s="62"/>
      <c r="G11" s="62" t="s">
        <v>1828</v>
      </c>
      <c r="H11" s="62"/>
      <c r="I11" s="62"/>
      <c r="J11" s="62"/>
      <c r="K11" s="62"/>
      <c r="L11" s="63" t="s">
        <v>2114</v>
      </c>
    </row>
    <row r="12" customFormat="false" ht="33" hidden="false" customHeight="false" outlineLevel="0" collapsed="false">
      <c r="A12" s="62"/>
      <c r="B12" s="62"/>
      <c r="C12" s="62"/>
      <c r="D12" s="63" t="s">
        <v>2115</v>
      </c>
      <c r="E12" s="62"/>
      <c r="F12" s="62"/>
      <c r="G12" s="62" t="s">
        <v>736</v>
      </c>
      <c r="H12" s="62" t="s">
        <v>907</v>
      </c>
      <c r="I12" s="62"/>
      <c r="J12" s="62"/>
      <c r="K12" s="62"/>
      <c r="L12" s="63" t="s">
        <v>2116</v>
      </c>
    </row>
    <row r="13" customFormat="false" ht="33" hidden="false" customHeight="false" outlineLevel="0" collapsed="false">
      <c r="A13" s="62"/>
      <c r="B13" s="62"/>
      <c r="C13" s="62"/>
      <c r="D13" s="63" t="s">
        <v>1253</v>
      </c>
      <c r="E13" s="62"/>
      <c r="F13" s="62"/>
      <c r="G13" s="62" t="s">
        <v>1842</v>
      </c>
      <c r="H13" s="62"/>
      <c r="I13" s="62"/>
      <c r="J13" s="62"/>
      <c r="K13" s="62"/>
      <c r="L13" s="63" t="s">
        <v>2117</v>
      </c>
    </row>
    <row r="14" customFormat="false" ht="33" hidden="false" customHeight="false" outlineLevel="0" collapsed="false">
      <c r="A14" s="62"/>
      <c r="B14" s="62"/>
      <c r="C14" s="62"/>
      <c r="D14" s="63" t="s">
        <v>236</v>
      </c>
      <c r="E14" s="62"/>
      <c r="F14" s="62"/>
      <c r="G14" s="62" t="n">
        <v>3</v>
      </c>
      <c r="H14" s="62" t="s">
        <v>1564</v>
      </c>
      <c r="I14" s="62"/>
      <c r="J14" s="62"/>
      <c r="K14" s="62"/>
      <c r="L14" s="63" t="s">
        <v>2118</v>
      </c>
    </row>
    <row r="15" customFormat="false" ht="33" hidden="false" customHeight="false" outlineLevel="0" collapsed="false">
      <c r="A15" s="62"/>
      <c r="B15" s="62"/>
      <c r="C15" s="62"/>
      <c r="D15" s="62" t="s">
        <v>2119</v>
      </c>
      <c r="E15" s="62"/>
      <c r="F15" s="62"/>
      <c r="G15" s="64" t="n">
        <v>40726</v>
      </c>
      <c r="H15" s="62" t="s">
        <v>2120</v>
      </c>
      <c r="I15" s="62"/>
      <c r="J15" s="62"/>
      <c r="K15" s="62"/>
      <c r="L15" s="63" t="s">
        <v>2121</v>
      </c>
    </row>
    <row r="16" customFormat="false" ht="33" hidden="false" customHeight="false" outlineLevel="0" collapsed="false">
      <c r="A16" s="62"/>
      <c r="B16" s="62"/>
      <c r="C16" s="62"/>
      <c r="D16" s="63" t="s">
        <v>2026</v>
      </c>
      <c r="E16" s="62"/>
      <c r="F16" s="62"/>
      <c r="G16" s="62" t="n">
        <v>8</v>
      </c>
      <c r="H16" s="62" t="s">
        <v>2122</v>
      </c>
      <c r="I16" s="62"/>
      <c r="J16" s="62"/>
      <c r="K16" s="62"/>
      <c r="L16" s="63" t="s">
        <v>838</v>
      </c>
    </row>
    <row r="17" customFormat="false" ht="33" hidden="false" customHeight="false" outlineLevel="0" collapsed="false">
      <c r="A17" s="62"/>
      <c r="B17" s="62"/>
      <c r="C17" s="62"/>
      <c r="D17" s="63" t="s">
        <v>2028</v>
      </c>
      <c r="E17" s="62"/>
      <c r="F17" s="62"/>
      <c r="G17" s="62" t="s">
        <v>267</v>
      </c>
      <c r="H17" s="62" t="s">
        <v>268</v>
      </c>
      <c r="I17" s="62"/>
      <c r="J17" s="62"/>
      <c r="K17" s="62"/>
      <c r="L17" s="63" t="s">
        <v>2074</v>
      </c>
    </row>
    <row r="18" customFormat="false" ht="33" hidden="false" customHeight="false" outlineLevel="0" collapsed="false">
      <c r="A18" s="62"/>
      <c r="B18" s="62"/>
      <c r="C18" s="62"/>
      <c r="D18" s="63" t="s">
        <v>1883</v>
      </c>
      <c r="E18" s="62"/>
      <c r="F18" s="62"/>
      <c r="G18" s="63" t="s">
        <v>2123</v>
      </c>
      <c r="H18" s="62" t="s">
        <v>2124</v>
      </c>
      <c r="I18" s="62"/>
      <c r="J18" s="62"/>
      <c r="K18" s="62"/>
      <c r="L18" s="62" t="s">
        <v>2076</v>
      </c>
    </row>
    <row r="19" customFormat="false" ht="33" hidden="false" customHeight="false" outlineLevel="0" collapsed="false">
      <c r="A19" s="62"/>
      <c r="B19" s="62"/>
      <c r="C19" s="62"/>
      <c r="D19" s="63" t="s">
        <v>240</v>
      </c>
      <c r="E19" s="62"/>
      <c r="F19" s="62"/>
      <c r="G19" s="63" t="s">
        <v>270</v>
      </c>
      <c r="H19" s="62"/>
      <c r="I19" s="62"/>
      <c r="J19" s="62"/>
      <c r="K19" s="62"/>
      <c r="L19" s="63" t="s">
        <v>2078</v>
      </c>
    </row>
    <row r="20" customFormat="false" ht="33" hidden="false" customHeight="false" outlineLevel="0" collapsed="false">
      <c r="A20" s="62"/>
      <c r="B20" s="62"/>
      <c r="C20" s="62"/>
      <c r="D20" s="63" t="s">
        <v>244</v>
      </c>
      <c r="E20" s="62"/>
      <c r="F20" s="62"/>
      <c r="G20" s="62" t="s">
        <v>267</v>
      </c>
      <c r="H20" s="62"/>
      <c r="I20" s="62"/>
      <c r="J20" s="62"/>
      <c r="K20" s="62"/>
      <c r="L20" s="63" t="s">
        <v>2079</v>
      </c>
    </row>
    <row r="21" customFormat="false" ht="33" hidden="false" customHeight="false" outlineLevel="0" collapsed="false">
      <c r="A21" s="62"/>
      <c r="B21" s="62"/>
      <c r="C21" s="62"/>
      <c r="D21" s="62" t="s">
        <v>2125</v>
      </c>
      <c r="E21" s="62"/>
      <c r="F21" s="62"/>
      <c r="G21" s="62" t="s">
        <v>2124</v>
      </c>
      <c r="H21" s="62"/>
      <c r="I21" s="62"/>
      <c r="J21" s="62"/>
      <c r="K21" s="62"/>
      <c r="L21" s="63" t="s">
        <v>2081</v>
      </c>
    </row>
    <row r="22" customFormat="false" ht="33" hidden="false" customHeight="false" outlineLevel="0" collapsed="false">
      <c r="A22" s="62"/>
      <c r="B22" s="62"/>
      <c r="C22" s="62"/>
      <c r="D22" s="63" t="s">
        <v>1846</v>
      </c>
      <c r="E22" s="62"/>
      <c r="F22" s="62"/>
      <c r="G22" s="62" t="s">
        <v>267</v>
      </c>
      <c r="H22" s="62"/>
      <c r="I22" s="62"/>
      <c r="J22" s="62"/>
      <c r="K22" s="62"/>
      <c r="L22" s="63" t="s">
        <v>2082</v>
      </c>
    </row>
    <row r="23" customFormat="false" ht="33" hidden="false" customHeight="false" outlineLevel="0" collapsed="false">
      <c r="A23" s="62"/>
      <c r="B23" s="62"/>
      <c r="C23" s="62"/>
      <c r="D23" s="63" t="s">
        <v>1849</v>
      </c>
      <c r="E23" s="62"/>
      <c r="F23" s="62"/>
      <c r="G23" s="62" t="s">
        <v>2126</v>
      </c>
      <c r="H23" s="62"/>
      <c r="I23" s="62"/>
      <c r="J23" s="62"/>
      <c r="K23" s="62"/>
      <c r="L23" s="62" t="s">
        <v>2083</v>
      </c>
    </row>
    <row r="24" customFormat="false" ht="48.75" hidden="false" customHeight="false" outlineLevel="0" collapsed="false">
      <c r="A24" s="62"/>
      <c r="B24" s="62"/>
      <c r="C24" s="62"/>
      <c r="D24" s="63" t="s">
        <v>255</v>
      </c>
      <c r="E24" s="62"/>
      <c r="F24" s="62"/>
      <c r="G24" s="62" t="s">
        <v>2127</v>
      </c>
      <c r="H24" s="62"/>
      <c r="I24" s="62"/>
      <c r="J24" s="62"/>
      <c r="K24" s="62"/>
      <c r="L24" s="63" t="s">
        <v>2084</v>
      </c>
    </row>
    <row r="25" customFormat="false" ht="33" hidden="false" customHeight="false" outlineLevel="0" collapsed="false">
      <c r="A25" s="62"/>
      <c r="B25" s="62"/>
      <c r="C25" s="62"/>
      <c r="D25" s="63" t="s">
        <v>240</v>
      </c>
      <c r="E25" s="62"/>
      <c r="F25" s="62"/>
      <c r="G25" s="62"/>
      <c r="H25" s="62"/>
      <c r="I25" s="62"/>
      <c r="J25" s="62"/>
      <c r="K25" s="62"/>
      <c r="L25" s="63" t="s">
        <v>2085</v>
      </c>
    </row>
    <row r="26" customFormat="false" ht="33" hidden="false" customHeight="false" outlineLevel="0" collapsed="false">
      <c r="A26" s="62"/>
      <c r="B26" s="62"/>
      <c r="C26" s="62"/>
      <c r="D26" s="63" t="s">
        <v>244</v>
      </c>
      <c r="E26" s="62"/>
      <c r="F26" s="62"/>
      <c r="G26" s="62"/>
      <c r="H26" s="62"/>
      <c r="I26" s="62"/>
      <c r="J26" s="62"/>
      <c r="K26" s="62"/>
      <c r="L26" s="62" t="s">
        <v>2086</v>
      </c>
    </row>
    <row r="27" customFormat="false" ht="33" hidden="false" customHeight="false" outlineLevel="0" collapsed="false">
      <c r="A27" s="62"/>
      <c r="B27" s="62"/>
      <c r="C27" s="62"/>
      <c r="D27" s="62" t="s">
        <v>2128</v>
      </c>
      <c r="E27" s="62"/>
      <c r="F27" s="62"/>
      <c r="G27" s="62"/>
      <c r="H27" s="62"/>
      <c r="I27" s="62"/>
      <c r="J27" s="62"/>
      <c r="K27" s="62"/>
      <c r="L27" s="63" t="s">
        <v>2087</v>
      </c>
    </row>
    <row r="28" customFormat="false" ht="33" hidden="false" customHeight="false" outlineLevel="0" collapsed="false">
      <c r="A28" s="62"/>
      <c r="B28" s="62"/>
      <c r="C28" s="62"/>
      <c r="D28" s="63" t="s">
        <v>2129</v>
      </c>
      <c r="E28" s="62"/>
      <c r="F28" s="62"/>
      <c r="G28" s="62"/>
      <c r="H28" s="62"/>
      <c r="I28" s="62"/>
      <c r="J28" s="62"/>
      <c r="K28" s="62"/>
      <c r="L28" s="63" t="s">
        <v>2088</v>
      </c>
    </row>
    <row r="29" customFormat="false" ht="33" hidden="false" customHeight="false" outlineLevel="0" collapsed="false">
      <c r="A29" s="62"/>
      <c r="B29" s="62"/>
      <c r="C29" s="62"/>
      <c r="D29" s="63" t="s">
        <v>255</v>
      </c>
      <c r="E29" s="62"/>
      <c r="F29" s="62"/>
      <c r="G29" s="62"/>
      <c r="H29" s="62"/>
      <c r="I29" s="62"/>
      <c r="J29" s="62"/>
      <c r="K29" s="62"/>
      <c r="L29" s="62" t="s">
        <v>2089</v>
      </c>
    </row>
    <row r="30" customFormat="false" ht="33" hidden="false" customHeight="false" outlineLevel="0" collapsed="false">
      <c r="A30" s="62"/>
      <c r="B30" s="62"/>
      <c r="C30" s="62"/>
      <c r="D30" s="63" t="s">
        <v>2130</v>
      </c>
      <c r="E30" s="62"/>
      <c r="F30" s="62"/>
      <c r="G30" s="62"/>
      <c r="H30" s="62"/>
      <c r="I30" s="62"/>
      <c r="J30" s="62"/>
      <c r="K30" s="62"/>
      <c r="L30" s="62" t="s">
        <v>2090</v>
      </c>
    </row>
    <row r="31" customFormat="false" ht="17.25" hidden="false" customHeight="false" outlineLevel="0" collapsed="false">
      <c r="A31" s="62"/>
      <c r="B31" s="62"/>
      <c r="C31" s="62"/>
      <c r="D31" s="62" t="s">
        <v>2131</v>
      </c>
      <c r="E31" s="62"/>
      <c r="F31" s="62"/>
      <c r="G31" s="62"/>
      <c r="H31" s="62"/>
      <c r="I31" s="62"/>
      <c r="J31" s="62"/>
      <c r="K31" s="62"/>
      <c r="L31" s="63" t="s">
        <v>2091</v>
      </c>
    </row>
    <row r="32" customFormat="false" ht="33" hidden="false" customHeight="false" outlineLevel="0" collapsed="false">
      <c r="A32" s="62"/>
      <c r="B32" s="62"/>
      <c r="C32" s="62"/>
      <c r="D32" s="63" t="s">
        <v>233</v>
      </c>
      <c r="E32" s="62"/>
      <c r="F32" s="62"/>
      <c r="G32" s="62"/>
      <c r="H32" s="62"/>
      <c r="I32" s="62"/>
      <c r="J32" s="62"/>
      <c r="K32" s="62"/>
      <c r="L32" s="63" t="s">
        <v>2092</v>
      </c>
    </row>
    <row r="33" customFormat="false" ht="33" hidden="false" customHeight="false" outlineLevel="0" collapsed="false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 t="s">
        <v>2093</v>
      </c>
    </row>
    <row r="34" customFormat="false" ht="33" hidden="false" customHeight="fals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 t="s">
        <v>2094</v>
      </c>
    </row>
    <row r="35" customFormat="false" ht="33" hidden="false" customHeight="false" outlineLevel="0" collapsed="false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 t="s">
        <v>2095</v>
      </c>
    </row>
    <row r="36" customFormat="false" ht="33" hidden="false" customHeight="false" outlineLevel="0" collapsed="false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 t="s">
        <v>2096</v>
      </c>
    </row>
    <row r="37" customFormat="false" ht="48.75" hidden="false" customHeight="false" outlineLevel="0" collapsed="false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 t="s">
        <v>2097</v>
      </c>
    </row>
    <row r="38" customFormat="false" ht="33" hidden="false" customHeight="false" outlineLevel="0" collapsed="false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 t="s">
        <v>2098</v>
      </c>
    </row>
    <row r="39" customFormat="false" ht="33" hidden="false" customHeight="false" outlineLevel="0" collapsed="false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 t="s">
        <v>2099</v>
      </c>
    </row>
    <row r="40" customFormat="false" ht="33" hidden="false" customHeight="fals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 t="s">
        <v>2100</v>
      </c>
    </row>
    <row r="41" customFormat="false" ht="48.75" hidden="false" customHeight="fals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 t="s">
        <v>2101</v>
      </c>
    </row>
    <row r="42" customFormat="false" ht="17.25" hidden="false" customHeight="fals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 t="s">
        <v>2102</v>
      </c>
    </row>
    <row r="43" customFormat="false" ht="17.25" hidden="false" customHeight="fals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 t="s">
        <v>838</v>
      </c>
    </row>
    <row r="44" customFormat="false" ht="15.75" hidden="false" customHeight="false" outlineLevel="0" collapsed="false">
      <c r="A44" s="3" t="s">
        <v>211</v>
      </c>
    </row>
    <row r="51" customFormat="false" ht="15.75" hidden="false" customHeight="false" outlineLevel="0" collapsed="false">
      <c r="A51" s="65" t="s">
        <v>281</v>
      </c>
    </row>
  </sheetData>
  <hyperlinks>
    <hyperlink ref="M1" location="Index!A1" display="Index"/>
    <hyperlink ref="A44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6.43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394</v>
      </c>
      <c r="B4" s="62" t="n">
        <v>793</v>
      </c>
      <c r="C4" s="63" t="s">
        <v>1604</v>
      </c>
      <c r="D4" s="63" t="s">
        <v>2132</v>
      </c>
      <c r="E4" s="63" t="s">
        <v>876</v>
      </c>
      <c r="F4" s="62"/>
      <c r="G4" s="62" t="s">
        <v>2133</v>
      </c>
      <c r="H4" s="62"/>
      <c r="I4" s="62"/>
      <c r="J4" s="62"/>
      <c r="K4" s="62"/>
      <c r="L4" s="62"/>
    </row>
    <row r="5" customFormat="false" ht="17.25" hidden="false" customHeight="false" outlineLevel="0" collapsed="false">
      <c r="A5" s="62" t="s">
        <v>231</v>
      </c>
      <c r="B5" s="62"/>
      <c r="C5" s="62"/>
      <c r="D5" s="63" t="s">
        <v>1007</v>
      </c>
      <c r="E5" s="62"/>
      <c r="F5" s="62"/>
      <c r="G5" s="62" t="n">
        <v>16</v>
      </c>
      <c r="H5" s="62" t="s">
        <v>301</v>
      </c>
      <c r="I5" s="62"/>
      <c r="J5" s="62"/>
      <c r="K5" s="62"/>
      <c r="L5" s="62"/>
    </row>
    <row r="6" customFormat="false" ht="33" hidden="false" customHeight="false" outlineLevel="0" collapsed="false">
      <c r="A6" s="62" t="n">
        <v>369</v>
      </c>
      <c r="B6" s="62"/>
      <c r="C6" s="62"/>
      <c r="D6" s="63" t="s">
        <v>1262</v>
      </c>
      <c r="E6" s="62"/>
      <c r="F6" s="62"/>
      <c r="G6" s="62" t="n">
        <v>17</v>
      </c>
      <c r="H6" s="62" t="s">
        <v>771</v>
      </c>
      <c r="I6" s="62"/>
      <c r="J6" s="62"/>
      <c r="K6" s="62"/>
      <c r="L6" s="62"/>
    </row>
    <row r="7" customFormat="false" ht="17.25" hidden="false" customHeight="false" outlineLevel="0" collapsed="false">
      <c r="A7" s="62"/>
      <c r="B7" s="62"/>
      <c r="C7" s="62"/>
      <c r="D7" s="62" t="s">
        <v>330</v>
      </c>
      <c r="E7" s="62"/>
      <c r="F7" s="62"/>
      <c r="G7" s="62" t="n">
        <v>25</v>
      </c>
      <c r="H7" s="62" t="s">
        <v>301</v>
      </c>
      <c r="I7" s="62"/>
      <c r="J7" s="62"/>
      <c r="K7" s="62"/>
      <c r="L7" s="62"/>
    </row>
    <row r="8" customFormat="false" ht="33" hidden="false" customHeight="false" outlineLevel="0" collapsed="false">
      <c r="A8" s="62"/>
      <c r="B8" s="62"/>
      <c r="C8" s="62"/>
      <c r="D8" s="63" t="s">
        <v>1883</v>
      </c>
      <c r="E8" s="62"/>
      <c r="F8" s="62"/>
      <c r="G8" s="62" t="s">
        <v>267</v>
      </c>
      <c r="H8" s="62" t="s">
        <v>268</v>
      </c>
      <c r="I8" s="62"/>
      <c r="J8" s="62"/>
      <c r="K8" s="62"/>
      <c r="L8" s="62"/>
    </row>
    <row r="9" customFormat="false" ht="17.25" hidden="false" customHeight="false" outlineLevel="0" collapsed="false">
      <c r="A9" s="62"/>
      <c r="B9" s="62"/>
      <c r="C9" s="62"/>
      <c r="D9" s="63" t="s">
        <v>2134</v>
      </c>
      <c r="E9" s="62"/>
      <c r="F9" s="62"/>
      <c r="G9" s="63" t="s">
        <v>269</v>
      </c>
      <c r="H9" s="62" t="s">
        <v>925</v>
      </c>
      <c r="I9" s="62"/>
      <c r="J9" s="62"/>
      <c r="K9" s="62"/>
      <c r="L9" s="62"/>
    </row>
    <row r="10" customFormat="false" ht="33" hidden="false" customHeight="false" outlineLevel="0" collapsed="false">
      <c r="A10" s="62"/>
      <c r="B10" s="62"/>
      <c r="C10" s="62"/>
      <c r="D10" s="63" t="s">
        <v>2135</v>
      </c>
      <c r="E10" s="62"/>
      <c r="F10" s="62"/>
      <c r="G10" s="63" t="s">
        <v>270</v>
      </c>
      <c r="H10" s="62"/>
      <c r="I10" s="62"/>
      <c r="J10" s="62"/>
      <c r="K10" s="62"/>
      <c r="L10" s="62"/>
    </row>
    <row r="11" customFormat="false" ht="33" hidden="false" customHeight="false" outlineLevel="0" collapsed="false">
      <c r="A11" s="62"/>
      <c r="B11" s="62"/>
      <c r="C11" s="62"/>
      <c r="D11" s="62" t="s">
        <v>330</v>
      </c>
      <c r="E11" s="62"/>
      <c r="F11" s="62"/>
      <c r="G11" s="62" t="s">
        <v>267</v>
      </c>
      <c r="H11" s="62"/>
      <c r="I11" s="62"/>
      <c r="J11" s="62"/>
      <c r="K11" s="62"/>
      <c r="L11" s="62"/>
    </row>
    <row r="12" customFormat="false" ht="33" hidden="false" customHeight="false" outlineLevel="0" collapsed="false">
      <c r="A12" s="62"/>
      <c r="B12" s="62"/>
      <c r="C12" s="62"/>
      <c r="D12" s="63" t="s">
        <v>1913</v>
      </c>
      <c r="E12" s="62"/>
      <c r="F12" s="62"/>
      <c r="G12" s="62" t="s">
        <v>925</v>
      </c>
      <c r="H12" s="62"/>
      <c r="I12" s="62"/>
      <c r="J12" s="62"/>
      <c r="K12" s="62"/>
      <c r="L12" s="62"/>
    </row>
    <row r="13" customFormat="false" ht="33" hidden="false" customHeight="false" outlineLevel="0" collapsed="false">
      <c r="A13" s="62"/>
      <c r="B13" s="62"/>
      <c r="C13" s="62"/>
      <c r="D13" s="63" t="s">
        <v>227</v>
      </c>
      <c r="E13" s="62"/>
      <c r="F13" s="62"/>
      <c r="G13" s="62" t="s">
        <v>267</v>
      </c>
      <c r="H13" s="62"/>
      <c r="I13" s="62"/>
      <c r="J13" s="62"/>
      <c r="K13" s="62"/>
      <c r="L13" s="62"/>
    </row>
    <row r="14" customFormat="false" ht="33" hidden="false" customHeight="false" outlineLevel="0" collapsed="false">
      <c r="A14" s="62"/>
      <c r="B14" s="62"/>
      <c r="C14" s="62"/>
      <c r="D14" s="63" t="s">
        <v>240</v>
      </c>
      <c r="E14" s="62"/>
      <c r="F14" s="62"/>
      <c r="G14" s="62" t="s">
        <v>1246</v>
      </c>
      <c r="H14" s="62"/>
      <c r="I14" s="62"/>
      <c r="J14" s="62"/>
      <c r="K14" s="62"/>
      <c r="L14" s="62"/>
    </row>
    <row r="15" customFormat="false" ht="33" hidden="false" customHeight="false" outlineLevel="0" collapsed="false">
      <c r="A15" s="62"/>
      <c r="B15" s="62"/>
      <c r="C15" s="62"/>
      <c r="D15" s="62" t="s">
        <v>330</v>
      </c>
      <c r="E15" s="62"/>
      <c r="F15" s="62"/>
      <c r="G15" s="62" t="s">
        <v>771</v>
      </c>
      <c r="H15" s="62"/>
      <c r="I15" s="62"/>
      <c r="J15" s="62"/>
      <c r="K15" s="62"/>
      <c r="L15" s="62"/>
    </row>
    <row r="16" customFormat="false" ht="17.25" hidden="false" customHeight="false" outlineLevel="0" collapsed="false">
      <c r="A16" s="62"/>
      <c r="B16" s="62"/>
      <c r="C16" s="62"/>
      <c r="D16" s="63" t="s">
        <v>233</v>
      </c>
      <c r="E16" s="62"/>
      <c r="F16" s="62"/>
      <c r="G16" s="62"/>
      <c r="H16" s="62"/>
      <c r="I16" s="62"/>
      <c r="J16" s="62"/>
      <c r="K16" s="62"/>
      <c r="L16" s="62"/>
    </row>
    <row r="17" customFormat="false" ht="15.75" hidden="false" customHeight="false" outlineLevel="0" collapsed="false">
      <c r="A17" s="3" t="s">
        <v>211</v>
      </c>
    </row>
    <row r="24" customFormat="false" ht="15.75" hidden="false" customHeight="false" outlineLevel="0" collapsed="false">
      <c r="A24" s="65" t="s">
        <v>281</v>
      </c>
    </row>
  </sheetData>
  <hyperlinks>
    <hyperlink ref="M1" location="Index!A1" display="Index"/>
    <hyperlink ref="A17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8.42"/>
    <col collapsed="false" customWidth="true" hidden="false" outlineLevel="0" max="12" min="12" style="0" width="20.71"/>
  </cols>
  <sheetData>
    <row r="1" customFormat="false" ht="15" hidden="false" customHeight="false" outlineLevel="0" collapsed="false">
      <c r="A1" s="20" t="s">
        <v>213</v>
      </c>
      <c r="M1" s="3" t="s">
        <v>82</v>
      </c>
    </row>
    <row r="2" customFormat="false" ht="30.75" hidden="false" customHeight="false" outlineLevel="0" collapsed="false">
      <c r="A2" s="57" t="s">
        <v>202</v>
      </c>
      <c r="B2" s="58" t="s">
        <v>762</v>
      </c>
      <c r="C2" s="57" t="s">
        <v>204</v>
      </c>
      <c r="D2" s="59" t="n">
        <v>315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406</v>
      </c>
      <c r="B4" s="62" t="n">
        <v>812</v>
      </c>
      <c r="C4" s="63" t="s">
        <v>2136</v>
      </c>
      <c r="D4" s="63" t="s">
        <v>2115</v>
      </c>
      <c r="E4" s="63" t="s">
        <v>2137</v>
      </c>
      <c r="F4" s="62"/>
      <c r="G4" s="62" t="s">
        <v>2138</v>
      </c>
      <c r="H4" s="62"/>
      <c r="I4" s="63" t="s">
        <v>2139</v>
      </c>
      <c r="J4" s="62"/>
      <c r="K4" s="62"/>
      <c r="L4" s="63" t="s">
        <v>2140</v>
      </c>
    </row>
    <row r="5" customFormat="false" ht="17.25" hidden="false" customHeight="false" outlineLevel="0" collapsed="false">
      <c r="A5" s="62" t="s">
        <v>231</v>
      </c>
      <c r="B5" s="62"/>
      <c r="C5" s="62"/>
      <c r="D5" s="63" t="s">
        <v>1621</v>
      </c>
      <c r="E5" s="63" t="s">
        <v>233</v>
      </c>
      <c r="F5" s="62"/>
      <c r="G5" s="62" t="n">
        <v>8</v>
      </c>
      <c r="H5" s="62" t="s">
        <v>798</v>
      </c>
      <c r="I5" s="62"/>
      <c r="J5" s="62"/>
      <c r="K5" s="62"/>
      <c r="L5" s="63" t="s">
        <v>2141</v>
      </c>
    </row>
    <row r="6" customFormat="false" ht="17.25" hidden="false" customHeight="false" outlineLevel="0" collapsed="false">
      <c r="A6" s="62" t="n">
        <v>380</v>
      </c>
      <c r="B6" s="62"/>
      <c r="C6" s="62"/>
      <c r="D6" s="63" t="s">
        <v>2142</v>
      </c>
      <c r="E6" s="63" t="s">
        <v>237</v>
      </c>
      <c r="F6" s="62"/>
      <c r="G6" s="62" t="n">
        <v>13</v>
      </c>
      <c r="H6" s="62" t="s">
        <v>798</v>
      </c>
      <c r="I6" s="62"/>
      <c r="J6" s="62"/>
      <c r="K6" s="62"/>
      <c r="L6" s="63" t="s">
        <v>2143</v>
      </c>
    </row>
    <row r="7" customFormat="false" ht="33" hidden="false" customHeight="false" outlineLevel="0" collapsed="false">
      <c r="A7" s="62"/>
      <c r="B7" s="62"/>
      <c r="C7" s="62"/>
      <c r="D7" s="62" t="s">
        <v>2144</v>
      </c>
      <c r="E7" s="62"/>
      <c r="F7" s="62"/>
      <c r="G7" s="62" t="n">
        <v>18</v>
      </c>
      <c r="H7" s="62" t="s">
        <v>2145</v>
      </c>
      <c r="I7" s="62"/>
      <c r="J7" s="62"/>
      <c r="K7" s="62"/>
      <c r="L7" s="63" t="s">
        <v>2146</v>
      </c>
    </row>
    <row r="8" customFormat="false" ht="33" hidden="false" customHeight="false" outlineLevel="0" collapsed="false">
      <c r="A8" s="62"/>
      <c r="B8" s="62"/>
      <c r="C8" s="62"/>
      <c r="D8" s="63" t="s">
        <v>227</v>
      </c>
      <c r="E8" s="62"/>
      <c r="F8" s="62"/>
      <c r="G8" s="62" t="s">
        <v>267</v>
      </c>
      <c r="H8" s="62" t="s">
        <v>268</v>
      </c>
      <c r="I8" s="62"/>
      <c r="J8" s="62"/>
      <c r="K8" s="62"/>
      <c r="L8" s="62" t="s">
        <v>2147</v>
      </c>
    </row>
    <row r="9" customFormat="false" ht="33" hidden="false" customHeight="false" outlineLevel="0" collapsed="false">
      <c r="A9" s="62"/>
      <c r="B9" s="62"/>
      <c r="C9" s="62"/>
      <c r="D9" s="63" t="s">
        <v>1253</v>
      </c>
      <c r="E9" s="62"/>
      <c r="F9" s="62"/>
      <c r="G9" s="63" t="s">
        <v>269</v>
      </c>
      <c r="H9" s="62" t="s">
        <v>2148</v>
      </c>
      <c r="I9" s="62"/>
      <c r="J9" s="62"/>
      <c r="K9" s="62"/>
      <c r="L9" s="63" t="s">
        <v>2149</v>
      </c>
    </row>
    <row r="10" customFormat="false" ht="33" hidden="false" customHeight="false" outlineLevel="0" collapsed="false">
      <c r="A10" s="62"/>
      <c r="B10" s="62"/>
      <c r="C10" s="62"/>
      <c r="D10" s="63" t="s">
        <v>236</v>
      </c>
      <c r="E10" s="62"/>
      <c r="F10" s="62"/>
      <c r="G10" s="63" t="s">
        <v>270</v>
      </c>
      <c r="H10" s="62"/>
      <c r="I10" s="62"/>
      <c r="J10" s="62"/>
      <c r="K10" s="62"/>
      <c r="L10" s="63" t="s">
        <v>2150</v>
      </c>
    </row>
    <row r="11" customFormat="false" ht="33" hidden="false" customHeight="false" outlineLevel="0" collapsed="false">
      <c r="A11" s="62"/>
      <c r="B11" s="62"/>
      <c r="C11" s="62"/>
      <c r="D11" s="62" t="s">
        <v>2151</v>
      </c>
      <c r="E11" s="62"/>
      <c r="F11" s="62"/>
      <c r="G11" s="62" t="s">
        <v>267</v>
      </c>
      <c r="H11" s="62"/>
      <c r="I11" s="62"/>
      <c r="J11" s="62"/>
      <c r="K11" s="62"/>
      <c r="L11" s="63" t="s">
        <v>2152</v>
      </c>
    </row>
    <row r="12" customFormat="false" ht="17.25" hidden="false" customHeight="false" outlineLevel="0" collapsed="false">
      <c r="A12" s="62"/>
      <c r="B12" s="62"/>
      <c r="C12" s="62"/>
      <c r="D12" s="63" t="s">
        <v>2153</v>
      </c>
      <c r="E12" s="62"/>
      <c r="F12" s="62"/>
      <c r="G12" s="62" t="s">
        <v>2148</v>
      </c>
      <c r="H12" s="62"/>
      <c r="I12" s="62"/>
      <c r="J12" s="62"/>
      <c r="K12" s="62"/>
      <c r="L12" s="63" t="s">
        <v>2154</v>
      </c>
    </row>
    <row r="13" customFormat="false" ht="33" hidden="false" customHeight="false" outlineLevel="0" collapsed="false">
      <c r="A13" s="62"/>
      <c r="B13" s="62"/>
      <c r="C13" s="62"/>
      <c r="D13" s="63" t="s">
        <v>2155</v>
      </c>
      <c r="E13" s="62"/>
      <c r="F13" s="62"/>
      <c r="G13" s="62" t="s">
        <v>267</v>
      </c>
      <c r="H13" s="62"/>
      <c r="I13" s="62"/>
      <c r="J13" s="62"/>
      <c r="K13" s="62"/>
      <c r="L13" s="63" t="s">
        <v>2156</v>
      </c>
    </row>
    <row r="14" customFormat="false" ht="33" hidden="false" customHeight="false" outlineLevel="0" collapsed="false">
      <c r="A14" s="62"/>
      <c r="B14" s="62"/>
      <c r="C14" s="62"/>
      <c r="D14" s="63" t="s">
        <v>2157</v>
      </c>
      <c r="E14" s="62"/>
      <c r="F14" s="62"/>
      <c r="G14" s="62" t="s">
        <v>2158</v>
      </c>
      <c r="H14" s="62"/>
      <c r="I14" s="62"/>
      <c r="J14" s="62"/>
      <c r="K14" s="62"/>
      <c r="L14" s="63" t="s">
        <v>2159</v>
      </c>
    </row>
    <row r="15" customFormat="false" ht="33" hidden="false" customHeight="false" outlineLevel="0" collapsed="false">
      <c r="A15" s="62"/>
      <c r="B15" s="62"/>
      <c r="C15" s="62"/>
      <c r="D15" s="63" t="s">
        <v>1244</v>
      </c>
      <c r="E15" s="62"/>
      <c r="F15" s="62"/>
      <c r="G15" s="62" t="s">
        <v>2145</v>
      </c>
      <c r="H15" s="62"/>
      <c r="I15" s="62"/>
      <c r="J15" s="62"/>
      <c r="K15" s="62"/>
      <c r="L15" s="63" t="s">
        <v>838</v>
      </c>
    </row>
    <row r="16" customFormat="false" ht="17.25" hidden="false" customHeight="false" outlineLevel="0" collapsed="false">
      <c r="A16" s="62"/>
      <c r="B16" s="62"/>
      <c r="C16" s="62"/>
      <c r="D16" s="63" t="s">
        <v>2160</v>
      </c>
      <c r="E16" s="62"/>
      <c r="F16" s="62"/>
      <c r="G16" s="62"/>
      <c r="H16" s="62"/>
      <c r="I16" s="62"/>
      <c r="J16" s="62"/>
      <c r="K16" s="62"/>
      <c r="L16" s="62" t="s">
        <v>2161</v>
      </c>
    </row>
    <row r="17" customFormat="false" ht="33" hidden="false" customHeight="false" outlineLevel="0" collapsed="false">
      <c r="A17" s="62"/>
      <c r="B17" s="62"/>
      <c r="C17" s="62"/>
      <c r="D17" s="63" t="s">
        <v>356</v>
      </c>
      <c r="E17" s="62"/>
      <c r="F17" s="62"/>
      <c r="G17" s="62"/>
      <c r="H17" s="62"/>
      <c r="I17" s="62"/>
      <c r="J17" s="62"/>
      <c r="K17" s="62"/>
      <c r="L17" s="62" t="s">
        <v>2162</v>
      </c>
    </row>
    <row r="18" customFormat="false" ht="17.25" hidden="false" customHeight="false" outlineLevel="0" collapsed="false">
      <c r="A18" s="62"/>
      <c r="B18" s="62"/>
      <c r="C18" s="62"/>
      <c r="D18" s="62" t="s">
        <v>2163</v>
      </c>
      <c r="E18" s="62"/>
      <c r="F18" s="62"/>
      <c r="G18" s="62"/>
      <c r="H18" s="62"/>
      <c r="I18" s="62"/>
      <c r="J18" s="62"/>
      <c r="K18" s="62"/>
      <c r="L18" s="63" t="s">
        <v>2164</v>
      </c>
    </row>
    <row r="19" customFormat="false" ht="17.25" hidden="false" customHeight="false" outlineLevel="0" collapsed="false">
      <c r="A19" s="62"/>
      <c r="B19" s="62"/>
      <c r="C19" s="62"/>
      <c r="D19" s="63" t="s">
        <v>2165</v>
      </c>
      <c r="E19" s="62"/>
      <c r="F19" s="62"/>
      <c r="G19" s="62"/>
      <c r="H19" s="62"/>
      <c r="I19" s="62"/>
      <c r="J19" s="62"/>
      <c r="K19" s="62"/>
      <c r="L19" s="63" t="s">
        <v>2166</v>
      </c>
    </row>
    <row r="20" customFormat="false" ht="33" hidden="false" customHeight="false" outlineLevel="0" collapsed="false">
      <c r="A20" s="62"/>
      <c r="B20" s="62"/>
      <c r="C20" s="62"/>
      <c r="D20" s="63" t="s">
        <v>1280</v>
      </c>
      <c r="E20" s="62"/>
      <c r="F20" s="62"/>
      <c r="G20" s="62"/>
      <c r="H20" s="62"/>
      <c r="I20" s="62"/>
      <c r="J20" s="62"/>
      <c r="K20" s="62"/>
      <c r="L20" s="63" t="s">
        <v>2167</v>
      </c>
    </row>
    <row r="21" customFormat="false" ht="33" hidden="false" customHeight="false" outlineLevel="0" collapsed="false">
      <c r="A21" s="62"/>
      <c r="B21" s="62"/>
      <c r="C21" s="62"/>
      <c r="D21" s="63" t="s">
        <v>2160</v>
      </c>
      <c r="E21" s="62"/>
      <c r="F21" s="62"/>
      <c r="G21" s="62"/>
      <c r="H21" s="62"/>
      <c r="I21" s="62"/>
      <c r="J21" s="62"/>
      <c r="K21" s="62"/>
      <c r="L21" s="63" t="s">
        <v>2168</v>
      </c>
    </row>
    <row r="22" customFormat="false" ht="33" hidden="false" customHeight="false" outlineLevel="0" collapsed="false">
      <c r="A22" s="62"/>
      <c r="B22" s="62"/>
      <c r="C22" s="62"/>
      <c r="D22" s="62" t="s">
        <v>2169</v>
      </c>
      <c r="E22" s="62"/>
      <c r="F22" s="62"/>
      <c r="G22" s="62"/>
      <c r="H22" s="62"/>
      <c r="I22" s="62"/>
      <c r="J22" s="62"/>
      <c r="K22" s="62"/>
      <c r="L22" s="63" t="s">
        <v>2170</v>
      </c>
    </row>
    <row r="23" customFormat="false" ht="17.25" hidden="false" customHeight="false" outlineLevel="0" collapsed="false">
      <c r="A23" s="62"/>
      <c r="B23" s="62"/>
      <c r="C23" s="62"/>
      <c r="D23" s="63" t="s">
        <v>2171</v>
      </c>
      <c r="E23" s="62"/>
      <c r="F23" s="62"/>
      <c r="G23" s="62"/>
      <c r="H23" s="62"/>
      <c r="I23" s="62"/>
      <c r="J23" s="62"/>
      <c r="K23" s="62"/>
      <c r="L23" s="63" t="s">
        <v>2172</v>
      </c>
    </row>
    <row r="24" customFormat="false" ht="33" hidden="false" customHeight="false" outlineLevel="0" collapsed="false">
      <c r="A24" s="62"/>
      <c r="B24" s="62"/>
      <c r="C24" s="62"/>
      <c r="D24" s="63" t="s">
        <v>2173</v>
      </c>
      <c r="E24" s="62"/>
      <c r="F24" s="62"/>
      <c r="G24" s="62"/>
      <c r="H24" s="62"/>
      <c r="I24" s="62"/>
      <c r="J24" s="62"/>
      <c r="K24" s="62"/>
      <c r="L24" s="62" t="s">
        <v>2174</v>
      </c>
    </row>
    <row r="25" customFormat="false" ht="17.25" hidden="false" customHeight="false" outlineLevel="0" collapsed="false">
      <c r="A25" s="62"/>
      <c r="B25" s="62"/>
      <c r="C25" s="62"/>
      <c r="D25" s="63" t="s">
        <v>1043</v>
      </c>
      <c r="E25" s="62"/>
      <c r="F25" s="62"/>
      <c r="G25" s="62"/>
      <c r="H25" s="62"/>
      <c r="I25" s="62"/>
      <c r="J25" s="62"/>
      <c r="K25" s="62"/>
      <c r="L25" s="62" t="s">
        <v>2175</v>
      </c>
    </row>
    <row r="26" customFormat="false" ht="33" hidden="false" customHeight="false" outlineLevel="0" collapsed="false">
      <c r="A26" s="62"/>
      <c r="B26" s="62"/>
      <c r="C26" s="62"/>
      <c r="D26" s="63" t="s">
        <v>2176</v>
      </c>
      <c r="E26" s="62"/>
      <c r="F26" s="62"/>
      <c r="G26" s="62"/>
      <c r="H26" s="62"/>
      <c r="I26" s="62"/>
      <c r="J26" s="62"/>
      <c r="K26" s="62"/>
      <c r="L26" s="63" t="s">
        <v>2177</v>
      </c>
    </row>
    <row r="27" customFormat="false" ht="17.25" hidden="false" customHeight="false" outlineLevel="0" collapsed="false">
      <c r="A27" s="62"/>
      <c r="B27" s="62"/>
      <c r="C27" s="62"/>
      <c r="D27" s="63" t="s">
        <v>244</v>
      </c>
      <c r="E27" s="62"/>
      <c r="F27" s="62"/>
      <c r="G27" s="62"/>
      <c r="H27" s="62"/>
      <c r="I27" s="62"/>
      <c r="J27" s="62"/>
      <c r="K27" s="62"/>
      <c r="L27" s="63" t="s">
        <v>2178</v>
      </c>
    </row>
    <row r="28" customFormat="false" ht="33" hidden="false" customHeight="false" outlineLevel="0" collapsed="false">
      <c r="A28" s="62"/>
      <c r="B28" s="62"/>
      <c r="C28" s="62"/>
      <c r="D28" s="62" t="s">
        <v>2179</v>
      </c>
      <c r="E28" s="62"/>
      <c r="F28" s="62"/>
      <c r="G28" s="62"/>
      <c r="H28" s="62"/>
      <c r="I28" s="62"/>
      <c r="J28" s="62"/>
      <c r="K28" s="62"/>
      <c r="L28" s="63" t="s">
        <v>2180</v>
      </c>
    </row>
    <row r="29" customFormat="false" ht="33" hidden="false" customHeight="false" outlineLevel="0" collapsed="false">
      <c r="A29" s="62"/>
      <c r="B29" s="62"/>
      <c r="C29" s="62"/>
      <c r="D29" s="63" t="s">
        <v>826</v>
      </c>
      <c r="E29" s="62"/>
      <c r="F29" s="62"/>
      <c r="G29" s="62"/>
      <c r="H29" s="62"/>
      <c r="I29" s="62"/>
      <c r="J29" s="62"/>
      <c r="K29" s="62"/>
      <c r="L29" s="62" t="s">
        <v>2181</v>
      </c>
    </row>
    <row r="30" customFormat="false" ht="33" hidden="false" customHeight="false" outlineLevel="0" collapsed="false">
      <c r="A30" s="62"/>
      <c r="B30" s="62"/>
      <c r="C30" s="62"/>
      <c r="D30" s="63" t="s">
        <v>2182</v>
      </c>
      <c r="E30" s="62"/>
      <c r="F30" s="62"/>
      <c r="G30" s="62"/>
      <c r="H30" s="62"/>
      <c r="I30" s="62"/>
      <c r="J30" s="62"/>
      <c r="K30" s="62"/>
      <c r="L30" s="62" t="s">
        <v>2183</v>
      </c>
    </row>
    <row r="31" customFormat="false" ht="33" hidden="false" customHeight="false" outlineLevel="0" collapsed="false">
      <c r="A31" s="62"/>
      <c r="B31" s="62"/>
      <c r="C31" s="62"/>
      <c r="D31" s="63" t="s">
        <v>2184</v>
      </c>
      <c r="E31" s="62"/>
      <c r="F31" s="62"/>
      <c r="G31" s="62"/>
      <c r="H31" s="62"/>
      <c r="I31" s="62"/>
      <c r="J31" s="62"/>
      <c r="K31" s="62"/>
      <c r="L31" s="62" t="s">
        <v>2185</v>
      </c>
    </row>
    <row r="32" customFormat="false" ht="17.25" hidden="false" customHeight="false" outlineLevel="0" collapsed="false">
      <c r="A32" s="62"/>
      <c r="B32" s="62"/>
      <c r="C32" s="62"/>
      <c r="D32" s="62" t="s">
        <v>2186</v>
      </c>
      <c r="E32" s="62"/>
      <c r="F32" s="62"/>
      <c r="G32" s="62"/>
      <c r="H32" s="62"/>
      <c r="I32" s="62"/>
      <c r="J32" s="62"/>
      <c r="K32" s="62"/>
      <c r="L32" s="62" t="s">
        <v>2187</v>
      </c>
    </row>
    <row r="33" customFormat="false" ht="17.25" hidden="false" customHeight="false" outlineLevel="0" collapsed="false">
      <c r="A33" s="62"/>
      <c r="B33" s="62"/>
      <c r="C33" s="62"/>
      <c r="D33" s="63" t="s">
        <v>233</v>
      </c>
      <c r="E33" s="62"/>
      <c r="F33" s="62"/>
      <c r="G33" s="62"/>
      <c r="H33" s="62"/>
      <c r="I33" s="62"/>
      <c r="J33" s="62"/>
      <c r="K33" s="62"/>
      <c r="L33" s="62" t="s">
        <v>2188</v>
      </c>
    </row>
    <row r="34" customFormat="false" ht="33" hidden="false" customHeight="false" outlineLevel="0" collapsed="false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2189</v>
      </c>
    </row>
    <row r="35" customFormat="false" ht="17.25" hidden="false" customHeight="false" outlineLevel="0" collapsed="false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 t="s">
        <v>2172</v>
      </c>
    </row>
    <row r="36" customFormat="false" ht="33" hidden="false" customHeight="false" outlineLevel="0" collapsed="false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 t="s">
        <v>2190</v>
      </c>
    </row>
    <row r="37" customFormat="false" ht="33" hidden="false" customHeight="false" outlineLevel="0" collapsed="false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 t="s">
        <v>2191</v>
      </c>
    </row>
    <row r="38" customFormat="false" ht="33" hidden="false" customHeight="false" outlineLevel="0" collapsed="false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 t="s">
        <v>2192</v>
      </c>
    </row>
    <row r="39" customFormat="false" ht="17.25" hidden="false" customHeight="false" outlineLevel="0" collapsed="false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 t="s">
        <v>2172</v>
      </c>
    </row>
    <row r="40" customFormat="false" ht="33" hidden="false" customHeight="false" outlineLevel="0" collapsed="false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 t="s">
        <v>2193</v>
      </c>
    </row>
    <row r="41" customFormat="false" ht="17.25" hidden="false" customHeight="false" outlineLevel="0" collapsed="false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 t="s">
        <v>2194</v>
      </c>
    </row>
    <row r="42" customFormat="false" ht="17.25" hidden="false" customHeight="false" outlineLevel="0" collapsed="false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 t="s">
        <v>2195</v>
      </c>
    </row>
    <row r="43" customFormat="false" ht="33" hidden="false" customHeight="false" outlineLevel="0" collapsed="false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 t="s">
        <v>2196</v>
      </c>
    </row>
    <row r="44" customFormat="false" ht="33" hidden="false" customHeight="false" outlineLevel="0" collapsed="false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 t="s">
        <v>2197</v>
      </c>
    </row>
    <row r="45" customFormat="false" ht="17.25" hidden="false" customHeight="false" outlineLevel="0" collapsed="false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3" t="s">
        <v>2198</v>
      </c>
    </row>
    <row r="46" customFormat="false" ht="17.25" hidden="false" customHeight="false" outlineLevel="0" collapsed="false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3" t="s">
        <v>2199</v>
      </c>
    </row>
    <row r="47" customFormat="false" ht="17.25" hidden="false" customHeight="false" outlineLevel="0" collapsed="false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3" t="s">
        <v>2200</v>
      </c>
    </row>
    <row r="48" customFormat="false" ht="33" hidden="false" customHeight="false" outlineLevel="0" collapsed="false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 t="s">
        <v>2201</v>
      </c>
    </row>
    <row r="49" customFormat="false" ht="33" hidden="false" customHeight="false" outlineLevel="0" collapsed="false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 t="s">
        <v>2202</v>
      </c>
    </row>
    <row r="50" customFormat="false" ht="17.25" hidden="false" customHeight="false" outlineLevel="0" collapsed="false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3" t="s">
        <v>2203</v>
      </c>
    </row>
    <row r="51" customFormat="false" ht="17.25" hidden="false" customHeight="false" outlineLevel="0" collapsed="false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3" t="s">
        <v>838</v>
      </c>
    </row>
    <row r="52" customFormat="false" ht="17.25" hidden="false" customHeight="false" outlineLevel="0" collapsed="false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3" t="s">
        <v>838</v>
      </c>
    </row>
    <row r="53" customFormat="false" ht="17.25" hidden="false" customHeight="fals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3" t="s">
        <v>1120</v>
      </c>
    </row>
    <row r="54" customFormat="false" ht="17.25" hidden="false" customHeight="fals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3" t="s">
        <v>2204</v>
      </c>
    </row>
    <row r="55" customFormat="false" ht="17.25" hidden="false" customHeight="fals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3" t="s">
        <v>2205</v>
      </c>
    </row>
    <row r="56" customFormat="false" ht="17.25" hidden="false" customHeight="fals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3" t="s">
        <v>2206</v>
      </c>
    </row>
    <row r="57" customFormat="false" ht="17.25" hidden="false" customHeight="false" outlineLevel="0" collapsed="false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3" t="s">
        <v>2207</v>
      </c>
    </row>
    <row r="58" customFormat="false" ht="17.25" hidden="false" customHeight="false" outlineLevel="0" collapsed="false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3" t="s">
        <v>2208</v>
      </c>
    </row>
    <row r="59" customFormat="false" ht="17.25" hidden="false" customHeight="fals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3" t="s">
        <v>2209</v>
      </c>
    </row>
    <row r="60" customFormat="false" ht="17.25" hidden="false" customHeight="false" outlineLevel="0" collapsed="false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3" t="s">
        <v>838</v>
      </c>
    </row>
    <row r="61" customFormat="false" ht="17.25" hidden="false" customHeight="false" outlineLevel="0" collapsed="false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3" t="s">
        <v>838</v>
      </c>
    </row>
    <row r="62" customFormat="false" ht="33" hidden="false" customHeight="false" outlineLevel="0" collapsed="false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3" t="s">
        <v>2210</v>
      </c>
    </row>
    <row r="63" customFormat="false" ht="33" hidden="false" customHeight="false" outlineLevel="0" collapsed="false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 t="s">
        <v>2211</v>
      </c>
    </row>
    <row r="64" customFormat="false" ht="33" hidden="false" customHeight="false" outlineLevel="0" collapsed="false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3" t="s">
        <v>2212</v>
      </c>
    </row>
    <row r="65" customFormat="false" ht="17.25" hidden="false" customHeight="false" outlineLevel="0" collapsed="false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3" t="s">
        <v>2213</v>
      </c>
    </row>
    <row r="66" customFormat="false" ht="17.25" hidden="false" customHeight="false" outlineLevel="0" collapsed="false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3" t="s">
        <v>2214</v>
      </c>
    </row>
    <row r="67" customFormat="false" ht="17.25" hidden="false" customHeight="false" outlineLevel="0" collapsed="false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 t="s">
        <v>1586</v>
      </c>
    </row>
    <row r="68" customFormat="false" ht="33" hidden="false" customHeight="false" outlineLevel="0" collapsed="false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3" t="s">
        <v>2215</v>
      </c>
    </row>
    <row r="69" customFormat="false" ht="17.25" hidden="false" customHeight="false" outlineLevel="0" collapsed="false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 t="s">
        <v>2216</v>
      </c>
    </row>
    <row r="70" customFormat="false" ht="17.25" hidden="false" customHeight="false" outlineLevel="0" collapsed="false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3" t="s">
        <v>2217</v>
      </c>
    </row>
    <row r="71" customFormat="false" ht="17.25" hidden="false" customHeight="false" outlineLevel="0" collapsed="false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 t="s">
        <v>2218</v>
      </c>
    </row>
    <row r="72" customFormat="false" ht="33" hidden="false" customHeight="false" outlineLevel="0" collapsed="false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3" t="s">
        <v>2219</v>
      </c>
    </row>
    <row r="73" customFormat="false" ht="17.25" hidden="false" customHeight="false" outlineLevel="0" collapsed="false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 t="n">
        <f aca="false">-7/2-14/1-15-16-17/2</f>
        <v>-57</v>
      </c>
    </row>
    <row r="74" customFormat="false" ht="17.25" hidden="false" customHeight="false" outlineLevel="0" collapsed="false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 t="s">
        <v>2220</v>
      </c>
    </row>
    <row r="75" customFormat="false" ht="33" hidden="false" customHeight="false" outlineLevel="0" collapsed="false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 t="s">
        <v>2221</v>
      </c>
    </row>
    <row r="76" customFormat="false" ht="17.25" hidden="false" customHeight="false" outlineLevel="0" collapsed="false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3" t="s">
        <v>2222</v>
      </c>
    </row>
    <row r="77" customFormat="false" ht="33" hidden="false" customHeight="false" outlineLevel="0" collapsed="false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3" t="s">
        <v>2223</v>
      </c>
    </row>
    <row r="78" customFormat="false" ht="17.25" hidden="false" customHeight="false" outlineLevel="0" collapsed="false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 t="s">
        <v>2224</v>
      </c>
    </row>
    <row r="79" customFormat="false" ht="33" hidden="false" customHeight="false" outlineLevel="0" collapsed="false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 t="s">
        <v>2225</v>
      </c>
    </row>
    <row r="80" customFormat="false" ht="17.25" hidden="false" customHeight="false" outlineLevel="0" collapsed="false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 t="s">
        <v>2226</v>
      </c>
    </row>
    <row r="81" customFormat="false" ht="33" hidden="false" customHeight="false" outlineLevel="0" collapsed="false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3" t="s">
        <v>2227</v>
      </c>
    </row>
    <row r="82" customFormat="false" ht="33" hidden="false" customHeight="false" outlineLevel="0" collapsed="false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 t="s">
        <v>2228</v>
      </c>
    </row>
    <row r="83" customFormat="false" ht="33" hidden="false" customHeight="false" outlineLevel="0" collapsed="false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 t="s">
        <v>2229</v>
      </c>
    </row>
    <row r="84" customFormat="false" ht="33" hidden="false" customHeight="false" outlineLevel="0" collapsed="false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 t="s">
        <v>2230</v>
      </c>
    </row>
    <row r="85" customFormat="false" ht="33" hidden="false" customHeight="false" outlineLevel="0" collapsed="false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 t="s">
        <v>2231</v>
      </c>
    </row>
    <row r="86" customFormat="false" ht="17.25" hidden="false" customHeight="false" outlineLevel="0" collapsed="false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 t="s">
        <v>2232</v>
      </c>
    </row>
    <row r="87" customFormat="false" ht="17.25" hidden="false" customHeight="false" outlineLevel="0" collapsed="false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 t="s">
        <v>2233</v>
      </c>
    </row>
    <row r="88" customFormat="false" ht="17.25" hidden="false" customHeight="false" outlineLevel="0" collapsed="false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3" t="s">
        <v>2234</v>
      </c>
    </row>
    <row r="89" customFormat="false" ht="17.25" hidden="false" customHeight="false" outlineLevel="0" collapsed="false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 t="s">
        <v>2235</v>
      </c>
    </row>
    <row r="90" customFormat="false" ht="17.25" hidden="false" customHeight="false" outlineLevel="0" collapsed="false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3" t="s">
        <v>2236</v>
      </c>
    </row>
    <row r="91" customFormat="false" ht="33" hidden="false" customHeight="false" outlineLevel="0" collapsed="false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3" t="s">
        <v>2237</v>
      </c>
    </row>
    <row r="92" customFormat="false" ht="33" hidden="false" customHeight="false" outlineLevel="0" collapsed="false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 t="s">
        <v>2238</v>
      </c>
    </row>
    <row r="93" customFormat="false" ht="33" hidden="false" customHeight="false" outlineLevel="0" collapsed="false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 t="s">
        <v>2239</v>
      </c>
    </row>
    <row r="94" customFormat="false" ht="17.25" hidden="false" customHeight="false" outlineLevel="0" collapsed="false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3" t="s">
        <v>2240</v>
      </c>
    </row>
    <row r="95" customFormat="false" ht="33" hidden="false" customHeight="false" outlineLevel="0" collapsed="false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3" t="s">
        <v>2241</v>
      </c>
    </row>
    <row r="96" customFormat="false" ht="33" hidden="false" customHeight="false" outlineLevel="0" collapsed="false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 t="s">
        <v>2242</v>
      </c>
    </row>
    <row r="97" customFormat="false" ht="17.25" hidden="false" customHeight="false" outlineLevel="0" collapsed="false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 t="s">
        <v>2243</v>
      </c>
    </row>
    <row r="98" customFormat="false" ht="33" hidden="false" customHeight="false" outlineLevel="0" collapsed="false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 t="s">
        <v>2244</v>
      </c>
    </row>
    <row r="99" customFormat="false" ht="17.25" hidden="false" customHeight="false" outlineLevel="0" collapsed="false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 t="s">
        <v>2245</v>
      </c>
    </row>
    <row r="100" customFormat="false" ht="33" hidden="false" customHeight="false" outlineLevel="0" collapsed="false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3" t="s">
        <v>2246</v>
      </c>
    </row>
    <row r="101" customFormat="false" ht="33" hidden="false" customHeight="false" outlineLevel="0" collapsed="false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 t="s">
        <v>2247</v>
      </c>
    </row>
    <row r="102" customFormat="false" ht="33" hidden="false" customHeight="false" outlineLevel="0" collapsed="false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 t="s">
        <v>2248</v>
      </c>
    </row>
    <row r="103" customFormat="false" ht="33" hidden="false" customHeight="false" outlineLevel="0" collapsed="false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3" t="s">
        <v>2249</v>
      </c>
    </row>
    <row r="104" customFormat="false" ht="17.25" hidden="false" customHeight="false" outlineLevel="0" collapsed="false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3" t="s">
        <v>2250</v>
      </c>
    </row>
    <row r="105" customFormat="false" ht="33" hidden="false" customHeight="false" outlineLevel="0" collapsed="false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 t="s">
        <v>2251</v>
      </c>
    </row>
    <row r="106" customFormat="false" ht="33" hidden="false" customHeight="false" outlineLevel="0" collapsed="false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 t="s">
        <v>2252</v>
      </c>
    </row>
    <row r="107" customFormat="false" ht="17.25" hidden="false" customHeight="false" outlineLevel="0" collapsed="false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 t="s">
        <v>2253</v>
      </c>
    </row>
    <row r="108" customFormat="false" ht="17.25" hidden="false" customHeight="false" outlineLevel="0" collapsed="false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 t="s">
        <v>2254</v>
      </c>
    </row>
    <row r="109" customFormat="false" ht="33" hidden="false" customHeight="false" outlineLevel="0" collapsed="false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 t="s">
        <v>2255</v>
      </c>
    </row>
    <row r="110" customFormat="false" ht="17.25" hidden="false" customHeight="false" outlineLevel="0" collapsed="false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 t="n">
        <f aca="false">-4/1-4/2-5-6-9-10-15</f>
        <v>-51</v>
      </c>
    </row>
    <row r="111" customFormat="false" ht="17.25" hidden="false" customHeight="false" outlineLevel="0" collapsed="false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 t="s">
        <v>2256</v>
      </c>
    </row>
    <row r="112" customFormat="false" ht="17.25" hidden="false" customHeight="false" outlineLevel="0" collapsed="false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3" t="s">
        <v>2257</v>
      </c>
    </row>
    <row r="113" customFormat="false" ht="17.25" hidden="false" customHeight="false" outlineLevel="0" collapsed="false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3" t="s">
        <v>2258</v>
      </c>
    </row>
    <row r="114" customFormat="false" ht="33" hidden="false" customHeight="false" outlineLevel="0" collapsed="false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3" t="s">
        <v>2259</v>
      </c>
    </row>
    <row r="115" customFormat="false" ht="17.25" hidden="false" customHeight="false" outlineLevel="0" collapsed="false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 t="s">
        <v>2260</v>
      </c>
    </row>
    <row r="116" customFormat="false" ht="17.25" hidden="false" customHeight="false" outlineLevel="0" collapsed="false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 t="s">
        <v>2261</v>
      </c>
    </row>
    <row r="117" customFormat="false" ht="17.25" hidden="false" customHeight="false" outlineLevel="0" collapsed="false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 t="s">
        <v>2262</v>
      </c>
    </row>
    <row r="118" customFormat="false" ht="33" hidden="false" customHeight="false" outlineLevel="0" collapsed="false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3" t="s">
        <v>2263</v>
      </c>
    </row>
    <row r="119" customFormat="false" ht="17.25" hidden="false" customHeight="false" outlineLevel="0" collapsed="false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 t="s">
        <v>2264</v>
      </c>
    </row>
    <row r="120" customFormat="false" ht="33" hidden="false" customHeight="false" outlineLevel="0" collapsed="false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 t="s">
        <v>2265</v>
      </c>
    </row>
    <row r="121" customFormat="false" ht="17.25" hidden="false" customHeight="false" outlineLevel="0" collapsed="false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3" t="s">
        <v>2266</v>
      </c>
    </row>
    <row r="122" customFormat="false" ht="17.25" hidden="false" customHeight="false" outlineLevel="0" collapsed="false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3" t="s">
        <v>2267</v>
      </c>
    </row>
    <row r="123" customFormat="false" ht="17.25" hidden="false" customHeight="false" outlineLevel="0" collapsed="false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 t="s">
        <v>2268</v>
      </c>
    </row>
    <row r="124" customFormat="false" ht="33" hidden="false" customHeight="false" outlineLevel="0" collapsed="false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3" t="s">
        <v>2269</v>
      </c>
    </row>
    <row r="125" customFormat="false" ht="33" hidden="false" customHeight="false" outlineLevel="0" collapsed="false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3" t="s">
        <v>2270</v>
      </c>
    </row>
    <row r="126" customFormat="false" ht="17.25" hidden="false" customHeight="false" outlineLevel="0" collapsed="false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3" t="s">
        <v>838</v>
      </c>
    </row>
    <row r="127" customFormat="false" ht="33" hidden="false" customHeight="false" outlineLevel="0" collapsed="false">
      <c r="A127" s="62"/>
      <c r="B127" s="62" t="n">
        <v>813</v>
      </c>
      <c r="C127" s="62"/>
      <c r="D127" s="62"/>
      <c r="E127" s="63" t="s">
        <v>2271</v>
      </c>
      <c r="F127" s="62"/>
      <c r="G127" s="62" t="s">
        <v>2138</v>
      </c>
      <c r="H127" s="62"/>
      <c r="I127" s="62"/>
      <c r="J127" s="62"/>
      <c r="K127" s="62"/>
      <c r="L127" s="62"/>
    </row>
    <row r="128" customFormat="false" ht="33" hidden="false" customHeight="false" outlineLevel="0" collapsed="false">
      <c r="A128" s="62"/>
      <c r="B128" s="62"/>
      <c r="C128" s="62"/>
      <c r="D128" s="62"/>
      <c r="E128" s="63" t="s">
        <v>2155</v>
      </c>
      <c r="F128" s="62"/>
      <c r="G128" s="64" t="n">
        <v>40696</v>
      </c>
      <c r="H128" s="62" t="s">
        <v>1249</v>
      </c>
      <c r="I128" s="62"/>
      <c r="J128" s="62"/>
      <c r="K128" s="62"/>
      <c r="L128" s="62"/>
    </row>
    <row r="129" customFormat="false" ht="33" hidden="false" customHeight="false" outlineLevel="0" collapsed="false">
      <c r="A129" s="62"/>
      <c r="B129" s="62"/>
      <c r="C129" s="62"/>
      <c r="D129" s="62"/>
      <c r="E129" s="63" t="s">
        <v>2272</v>
      </c>
      <c r="F129" s="62"/>
      <c r="G129" s="64" t="n">
        <v>40726</v>
      </c>
      <c r="H129" s="62" t="s">
        <v>1557</v>
      </c>
      <c r="I129" s="62"/>
      <c r="J129" s="62"/>
      <c r="K129" s="62"/>
      <c r="L129" s="62"/>
    </row>
    <row r="130" customFormat="false" ht="48.75" hidden="false" customHeight="false" outlineLevel="0" collapsed="false">
      <c r="A130" s="62"/>
      <c r="B130" s="62"/>
      <c r="C130" s="62"/>
      <c r="D130" s="62"/>
      <c r="E130" s="63" t="s">
        <v>356</v>
      </c>
      <c r="F130" s="62"/>
      <c r="G130" s="62" t="s">
        <v>166</v>
      </c>
      <c r="H130" s="62" t="s">
        <v>2273</v>
      </c>
      <c r="I130" s="62"/>
      <c r="J130" s="62"/>
      <c r="K130" s="62"/>
      <c r="L130" s="62"/>
    </row>
    <row r="131" customFormat="false" ht="33" hidden="false" customHeight="false" outlineLevel="0" collapsed="false">
      <c r="A131" s="62"/>
      <c r="B131" s="62"/>
      <c r="C131" s="62"/>
      <c r="D131" s="62"/>
      <c r="E131" s="63" t="s">
        <v>289</v>
      </c>
      <c r="F131" s="62"/>
      <c r="G131" s="62" t="n">
        <v>15</v>
      </c>
      <c r="H131" s="62" t="s">
        <v>301</v>
      </c>
      <c r="I131" s="62"/>
      <c r="J131" s="62"/>
      <c r="K131" s="62"/>
      <c r="L131" s="62"/>
    </row>
    <row r="132" customFormat="false" ht="33" hidden="false" customHeight="false" outlineLevel="0" collapsed="false">
      <c r="A132" s="62"/>
      <c r="B132" s="62"/>
      <c r="C132" s="62"/>
      <c r="D132" s="62"/>
      <c r="E132" s="62"/>
      <c r="F132" s="62"/>
      <c r="G132" s="62" t="n">
        <v>16</v>
      </c>
      <c r="H132" s="62" t="s">
        <v>771</v>
      </c>
      <c r="I132" s="62"/>
      <c r="J132" s="62"/>
      <c r="K132" s="62"/>
      <c r="L132" s="62"/>
    </row>
    <row r="133" customFormat="false" ht="33" hidden="false" customHeight="false" outlineLevel="0" collapsed="false">
      <c r="A133" s="62"/>
      <c r="B133" s="62"/>
      <c r="C133" s="62"/>
      <c r="D133" s="62"/>
      <c r="E133" s="62"/>
      <c r="F133" s="62"/>
      <c r="G133" s="62" t="s">
        <v>879</v>
      </c>
      <c r="H133" s="62" t="s">
        <v>2274</v>
      </c>
      <c r="I133" s="62"/>
      <c r="J133" s="62"/>
      <c r="K133" s="62"/>
      <c r="L133" s="62"/>
    </row>
    <row r="134" customFormat="false" ht="33" hidden="false" customHeight="false" outlineLevel="0" collapsed="false">
      <c r="A134" s="62"/>
      <c r="B134" s="62"/>
      <c r="C134" s="62"/>
      <c r="D134" s="62"/>
      <c r="E134" s="62"/>
      <c r="F134" s="62"/>
      <c r="G134" s="62" t="n">
        <v>23</v>
      </c>
      <c r="H134" s="62" t="s">
        <v>1477</v>
      </c>
      <c r="I134" s="62"/>
      <c r="J134" s="62"/>
      <c r="K134" s="62"/>
      <c r="L134" s="62"/>
    </row>
    <row r="135" customFormat="false" ht="17.25" hidden="false" customHeight="false" outlineLevel="0" collapsed="false">
      <c r="A135" s="62"/>
      <c r="B135" s="62"/>
      <c r="C135" s="62"/>
      <c r="D135" s="62"/>
      <c r="E135" s="62"/>
      <c r="F135" s="62"/>
      <c r="G135" s="62" t="s">
        <v>2275</v>
      </c>
      <c r="H135" s="62"/>
      <c r="I135" s="62"/>
      <c r="J135" s="62"/>
      <c r="K135" s="62"/>
      <c r="L135" s="62"/>
    </row>
    <row r="136" customFormat="false" ht="33" hidden="false" customHeight="false" outlineLevel="0" collapsed="false">
      <c r="A136" s="62"/>
      <c r="B136" s="62"/>
      <c r="C136" s="62"/>
      <c r="D136" s="62"/>
      <c r="E136" s="62"/>
      <c r="F136" s="62"/>
      <c r="G136" s="62" t="s">
        <v>2276</v>
      </c>
      <c r="H136" s="62" t="s">
        <v>907</v>
      </c>
      <c r="I136" s="62"/>
      <c r="J136" s="62"/>
      <c r="K136" s="62"/>
      <c r="L136" s="62"/>
    </row>
    <row r="137" customFormat="false" ht="33" hidden="false" customHeight="false" outlineLevel="0" collapsed="false">
      <c r="A137" s="62"/>
      <c r="B137" s="62"/>
      <c r="C137" s="62"/>
      <c r="D137" s="62"/>
      <c r="E137" s="62"/>
      <c r="F137" s="62"/>
      <c r="G137" s="62" t="s">
        <v>267</v>
      </c>
      <c r="H137" s="62" t="s">
        <v>268</v>
      </c>
      <c r="I137" s="62"/>
      <c r="J137" s="62"/>
      <c r="K137" s="62"/>
      <c r="L137" s="62"/>
    </row>
    <row r="138" customFormat="false" ht="17.25" hidden="false" customHeight="false" outlineLevel="0" collapsed="false">
      <c r="A138" s="62"/>
      <c r="B138" s="62"/>
      <c r="C138" s="62"/>
      <c r="D138" s="62"/>
      <c r="E138" s="62"/>
      <c r="F138" s="62"/>
      <c r="G138" s="63" t="s">
        <v>2277</v>
      </c>
      <c r="H138" s="62" t="s">
        <v>2278</v>
      </c>
      <c r="I138" s="62"/>
      <c r="J138" s="62"/>
      <c r="K138" s="62"/>
      <c r="L138" s="62"/>
    </row>
    <row r="139" customFormat="false" ht="33" hidden="false" customHeight="false" outlineLevel="0" collapsed="false">
      <c r="A139" s="62"/>
      <c r="B139" s="62"/>
      <c r="C139" s="62"/>
      <c r="D139" s="62"/>
      <c r="E139" s="62"/>
      <c r="F139" s="62"/>
      <c r="G139" s="63" t="s">
        <v>270</v>
      </c>
      <c r="H139" s="62"/>
      <c r="I139" s="62"/>
      <c r="J139" s="62"/>
      <c r="K139" s="62"/>
      <c r="L139" s="62"/>
    </row>
    <row r="140" customFormat="false" ht="33" hidden="false" customHeight="false" outlineLevel="0" collapsed="false">
      <c r="A140" s="62"/>
      <c r="B140" s="62"/>
      <c r="C140" s="62"/>
      <c r="D140" s="62"/>
      <c r="E140" s="62"/>
      <c r="F140" s="62"/>
      <c r="G140" s="62" t="s">
        <v>267</v>
      </c>
      <c r="H140" s="62"/>
      <c r="I140" s="62"/>
      <c r="J140" s="62"/>
      <c r="K140" s="62"/>
      <c r="L140" s="62"/>
    </row>
    <row r="141" customFormat="false" ht="17.25" hidden="false" customHeight="false" outlineLevel="0" collapsed="false">
      <c r="A141" s="62"/>
      <c r="B141" s="62"/>
      <c r="C141" s="62"/>
      <c r="D141" s="62"/>
      <c r="E141" s="62"/>
      <c r="F141" s="62"/>
      <c r="G141" s="62" t="s">
        <v>2278</v>
      </c>
      <c r="H141" s="62"/>
      <c r="I141" s="62"/>
      <c r="J141" s="62"/>
      <c r="K141" s="62"/>
      <c r="L141" s="62"/>
    </row>
    <row r="142" customFormat="false" ht="33" hidden="false" customHeight="false" outlineLevel="0" collapsed="false">
      <c r="A142" s="62"/>
      <c r="B142" s="62"/>
      <c r="C142" s="62"/>
      <c r="D142" s="62"/>
      <c r="E142" s="62"/>
      <c r="F142" s="62"/>
      <c r="G142" s="62" t="s">
        <v>267</v>
      </c>
      <c r="H142" s="62"/>
      <c r="I142" s="62"/>
      <c r="J142" s="62"/>
      <c r="K142" s="62"/>
      <c r="L142" s="62"/>
    </row>
    <row r="143" customFormat="false" ht="33" hidden="false" customHeight="false" outlineLevel="0" collapsed="false">
      <c r="A143" s="62"/>
      <c r="B143" s="62"/>
      <c r="C143" s="62"/>
      <c r="D143" s="62"/>
      <c r="E143" s="62"/>
      <c r="F143" s="62"/>
      <c r="G143" s="62" t="s">
        <v>2279</v>
      </c>
      <c r="H143" s="62"/>
      <c r="I143" s="62"/>
      <c r="J143" s="62"/>
      <c r="K143" s="62"/>
      <c r="L143" s="62"/>
    </row>
    <row r="144" customFormat="false" ht="33" hidden="false" customHeight="false" outlineLevel="0" collapsed="false">
      <c r="A144" s="62"/>
      <c r="B144" s="62"/>
      <c r="C144" s="62"/>
      <c r="D144" s="62"/>
      <c r="E144" s="62"/>
      <c r="F144" s="62"/>
      <c r="G144" s="62" t="s">
        <v>1500</v>
      </c>
      <c r="H144" s="62"/>
      <c r="I144" s="62"/>
      <c r="J144" s="62"/>
      <c r="K144" s="62"/>
      <c r="L144" s="62"/>
    </row>
    <row r="145" customFormat="false" ht="33" hidden="false" customHeight="false" outlineLevel="0" collapsed="false">
      <c r="A145" s="62"/>
      <c r="B145" s="62" t="n">
        <v>814</v>
      </c>
      <c r="C145" s="62"/>
      <c r="D145" s="62"/>
      <c r="E145" s="63" t="s">
        <v>839</v>
      </c>
      <c r="F145" s="62"/>
      <c r="G145" s="62" t="s">
        <v>2138</v>
      </c>
      <c r="H145" s="62"/>
      <c r="I145" s="62"/>
      <c r="J145" s="62"/>
      <c r="K145" s="62"/>
      <c r="L145" s="62"/>
    </row>
    <row r="146" customFormat="false" ht="33" hidden="false" customHeight="false" outlineLevel="0" collapsed="false">
      <c r="A146" s="62"/>
      <c r="B146" s="62"/>
      <c r="C146" s="62"/>
      <c r="D146" s="62"/>
      <c r="E146" s="63" t="s">
        <v>237</v>
      </c>
      <c r="F146" s="62"/>
      <c r="G146" s="64" t="n">
        <v>40725</v>
      </c>
      <c r="H146" s="62" t="s">
        <v>2280</v>
      </c>
      <c r="I146" s="62"/>
      <c r="J146" s="62"/>
      <c r="K146" s="62"/>
      <c r="L146" s="62"/>
    </row>
    <row r="147" customFormat="false" ht="33" hidden="false" customHeight="false" outlineLevel="0" collapsed="false">
      <c r="A147" s="62"/>
      <c r="B147" s="62"/>
      <c r="C147" s="62"/>
      <c r="D147" s="62"/>
      <c r="E147" s="63" t="s">
        <v>909</v>
      </c>
      <c r="F147" s="62"/>
      <c r="G147" s="62" t="s">
        <v>168</v>
      </c>
      <c r="H147" s="62" t="s">
        <v>2281</v>
      </c>
      <c r="I147" s="62"/>
      <c r="J147" s="62"/>
      <c r="K147" s="62"/>
      <c r="L147" s="62"/>
    </row>
    <row r="148" customFormat="false" ht="33" hidden="false" customHeight="false" outlineLevel="0" collapsed="false">
      <c r="A148" s="62"/>
      <c r="B148" s="62"/>
      <c r="C148" s="62"/>
      <c r="D148" s="62"/>
      <c r="E148" s="63" t="s">
        <v>2153</v>
      </c>
      <c r="F148" s="62"/>
      <c r="G148" s="62" t="s">
        <v>1618</v>
      </c>
      <c r="H148" s="62" t="s">
        <v>2281</v>
      </c>
      <c r="I148" s="62"/>
      <c r="J148" s="62"/>
      <c r="K148" s="62"/>
      <c r="L148" s="62"/>
    </row>
    <row r="149" customFormat="false" ht="33" hidden="false" customHeight="false" outlineLevel="0" collapsed="false">
      <c r="A149" s="62"/>
      <c r="B149" s="62"/>
      <c r="C149" s="62"/>
      <c r="D149" s="62"/>
      <c r="E149" s="63" t="s">
        <v>2282</v>
      </c>
      <c r="F149" s="62"/>
      <c r="G149" s="62" t="s">
        <v>267</v>
      </c>
      <c r="H149" s="62" t="s">
        <v>268</v>
      </c>
      <c r="I149" s="62"/>
      <c r="J149" s="62"/>
      <c r="K149" s="62"/>
      <c r="L149" s="62"/>
    </row>
    <row r="150" customFormat="false" ht="48.75" hidden="false" customHeight="false" outlineLevel="0" collapsed="false">
      <c r="A150" s="62"/>
      <c r="B150" s="62"/>
      <c r="C150" s="62"/>
      <c r="D150" s="62"/>
      <c r="E150" s="63" t="s">
        <v>2157</v>
      </c>
      <c r="F150" s="62"/>
      <c r="G150" s="63" t="s">
        <v>269</v>
      </c>
      <c r="H150" s="64" t="n">
        <v>40828</v>
      </c>
      <c r="I150" s="62"/>
      <c r="J150" s="62"/>
      <c r="K150" s="62"/>
      <c r="L150" s="62"/>
    </row>
    <row r="151" customFormat="false" ht="33" hidden="false" customHeight="false" outlineLevel="0" collapsed="false">
      <c r="A151" s="62"/>
      <c r="B151" s="62"/>
      <c r="C151" s="62"/>
      <c r="D151" s="62"/>
      <c r="E151" s="63" t="s">
        <v>2283</v>
      </c>
      <c r="F151" s="62"/>
      <c r="G151" s="63" t="s">
        <v>270</v>
      </c>
      <c r="H151" s="62"/>
      <c r="I151" s="62"/>
      <c r="J151" s="62"/>
      <c r="K151" s="62"/>
      <c r="L151" s="62"/>
    </row>
    <row r="152" customFormat="false" ht="33" hidden="false" customHeight="false" outlineLevel="0" collapsed="false">
      <c r="A152" s="62"/>
      <c r="B152" s="62"/>
      <c r="C152" s="62"/>
      <c r="D152" s="62"/>
      <c r="E152" s="63" t="s">
        <v>2160</v>
      </c>
      <c r="F152" s="62"/>
      <c r="G152" s="62" t="s">
        <v>267</v>
      </c>
      <c r="H152" s="62"/>
      <c r="I152" s="62"/>
      <c r="J152" s="62"/>
      <c r="K152" s="62"/>
      <c r="L152" s="62"/>
    </row>
    <row r="153" customFormat="false" ht="48.75" hidden="false" customHeight="false" outlineLevel="0" collapsed="false">
      <c r="A153" s="62"/>
      <c r="B153" s="62"/>
      <c r="C153" s="62"/>
      <c r="D153" s="62"/>
      <c r="E153" s="63" t="s">
        <v>356</v>
      </c>
      <c r="F153" s="62"/>
      <c r="G153" s="64" t="n">
        <v>40828</v>
      </c>
      <c r="H153" s="62"/>
      <c r="I153" s="62"/>
      <c r="J153" s="62"/>
      <c r="K153" s="62"/>
      <c r="L153" s="62"/>
    </row>
    <row r="154" customFormat="false" ht="33" hidden="false" customHeight="false" outlineLevel="0" collapsed="false">
      <c r="A154" s="62"/>
      <c r="B154" s="62"/>
      <c r="C154" s="62"/>
      <c r="D154" s="62"/>
      <c r="E154" s="63" t="s">
        <v>919</v>
      </c>
      <c r="F154" s="62"/>
      <c r="G154" s="62" t="s">
        <v>267</v>
      </c>
      <c r="H154" s="62"/>
      <c r="I154" s="62"/>
      <c r="J154" s="62"/>
      <c r="K154" s="62"/>
      <c r="L154" s="62"/>
    </row>
    <row r="155" customFormat="false" ht="17.25" hidden="false" customHeight="false" outlineLevel="0" collapsed="false">
      <c r="A155" s="62"/>
      <c r="B155" s="62"/>
      <c r="C155" s="62"/>
      <c r="D155" s="62"/>
      <c r="E155" s="63" t="s">
        <v>920</v>
      </c>
      <c r="F155" s="62"/>
      <c r="G155" s="62" t="s">
        <v>1011</v>
      </c>
      <c r="H155" s="62"/>
      <c r="I155" s="62"/>
      <c r="J155" s="62"/>
      <c r="K155" s="62"/>
      <c r="L155" s="62"/>
    </row>
    <row r="156" customFormat="false" ht="33" hidden="false" customHeight="false" outlineLevel="0" collapsed="false">
      <c r="A156" s="62"/>
      <c r="B156" s="62"/>
      <c r="C156" s="62"/>
      <c r="D156" s="62"/>
      <c r="E156" s="63" t="s">
        <v>919</v>
      </c>
      <c r="F156" s="62"/>
      <c r="G156" s="62" t="s">
        <v>2280</v>
      </c>
      <c r="H156" s="62"/>
      <c r="I156" s="62"/>
      <c r="J156" s="62"/>
      <c r="K156" s="62"/>
      <c r="L156" s="62"/>
    </row>
    <row r="157" customFormat="false" ht="17.25" hidden="false" customHeight="false" outlineLevel="0" collapsed="false">
      <c r="A157" s="62"/>
      <c r="B157" s="62"/>
      <c r="C157" s="62"/>
      <c r="D157" s="62"/>
      <c r="E157" s="63" t="s">
        <v>233</v>
      </c>
      <c r="F157" s="62"/>
      <c r="G157" s="62"/>
      <c r="H157" s="62"/>
      <c r="I157" s="62"/>
      <c r="J157" s="62"/>
      <c r="K157" s="62"/>
      <c r="L157" s="62"/>
    </row>
    <row r="158" customFormat="false" ht="33" hidden="false" customHeight="false" outlineLevel="0" collapsed="false">
      <c r="A158" s="62"/>
      <c r="B158" s="62" t="n">
        <v>815</v>
      </c>
      <c r="C158" s="62"/>
      <c r="D158" s="62"/>
      <c r="E158" s="63" t="s">
        <v>2284</v>
      </c>
      <c r="F158" s="62"/>
      <c r="G158" s="62" t="s">
        <v>2285</v>
      </c>
      <c r="H158" s="62"/>
      <c r="I158" s="63" t="s">
        <v>2286</v>
      </c>
      <c r="J158" s="62"/>
      <c r="K158" s="62"/>
      <c r="L158" s="62"/>
    </row>
    <row r="159" customFormat="false" ht="33" hidden="false" customHeight="false" outlineLevel="0" collapsed="false">
      <c r="A159" s="62"/>
      <c r="B159" s="62"/>
      <c r="C159" s="62"/>
      <c r="D159" s="62"/>
      <c r="E159" s="62" t="s">
        <v>964</v>
      </c>
      <c r="F159" s="62"/>
      <c r="G159" s="62" t="n">
        <v>4</v>
      </c>
      <c r="H159" s="62" t="s">
        <v>771</v>
      </c>
      <c r="I159" s="62"/>
      <c r="J159" s="62"/>
      <c r="K159" s="62"/>
      <c r="L159" s="62"/>
    </row>
    <row r="160" customFormat="false" ht="33" hidden="false" customHeight="false" outlineLevel="0" collapsed="false">
      <c r="A160" s="62"/>
      <c r="B160" s="62"/>
      <c r="C160" s="62"/>
      <c r="D160" s="62"/>
      <c r="E160" s="63" t="s">
        <v>237</v>
      </c>
      <c r="F160" s="62"/>
      <c r="G160" s="64" t="n">
        <v>40696</v>
      </c>
      <c r="H160" s="62" t="s">
        <v>2287</v>
      </c>
      <c r="I160" s="62"/>
      <c r="J160" s="62"/>
      <c r="K160" s="62"/>
      <c r="L160" s="62"/>
    </row>
    <row r="161" customFormat="false" ht="33" hidden="false" customHeight="false" outlineLevel="0" collapsed="false">
      <c r="A161" s="62"/>
      <c r="B161" s="62"/>
      <c r="C161" s="62"/>
      <c r="D161" s="62"/>
      <c r="E161" s="63" t="s">
        <v>2288</v>
      </c>
      <c r="F161" s="62"/>
      <c r="G161" s="62" t="n">
        <v>7</v>
      </c>
      <c r="H161" s="62" t="s">
        <v>771</v>
      </c>
      <c r="I161" s="62"/>
      <c r="J161" s="62"/>
      <c r="K161" s="62"/>
      <c r="L161" s="62"/>
    </row>
    <row r="162" customFormat="false" ht="48.75" hidden="false" customHeight="false" outlineLevel="0" collapsed="false">
      <c r="A162" s="62"/>
      <c r="B162" s="62"/>
      <c r="C162" s="62"/>
      <c r="D162" s="62"/>
      <c r="E162" s="63" t="s">
        <v>2289</v>
      </c>
      <c r="F162" s="62"/>
      <c r="G162" s="62" t="s">
        <v>267</v>
      </c>
      <c r="H162" s="62" t="s">
        <v>268</v>
      </c>
      <c r="I162" s="62"/>
      <c r="J162" s="62"/>
      <c r="K162" s="62"/>
      <c r="L162" s="62"/>
    </row>
    <row r="163" customFormat="false" ht="33" hidden="false" customHeight="false" outlineLevel="0" collapsed="false">
      <c r="A163" s="62"/>
      <c r="B163" s="62"/>
      <c r="C163" s="62"/>
      <c r="D163" s="62"/>
      <c r="E163" s="63" t="s">
        <v>2290</v>
      </c>
      <c r="F163" s="62"/>
      <c r="G163" s="63" t="s">
        <v>269</v>
      </c>
      <c r="H163" s="62" t="s">
        <v>2291</v>
      </c>
      <c r="I163" s="62"/>
      <c r="J163" s="62"/>
      <c r="K163" s="62"/>
      <c r="L163" s="62"/>
    </row>
    <row r="164" customFormat="false" ht="33" hidden="false" customHeight="false" outlineLevel="0" collapsed="false">
      <c r="A164" s="62"/>
      <c r="B164" s="62"/>
      <c r="C164" s="62"/>
      <c r="D164" s="62"/>
      <c r="E164" s="62" t="s">
        <v>2292</v>
      </c>
      <c r="F164" s="62"/>
      <c r="G164" s="63" t="s">
        <v>270</v>
      </c>
      <c r="H164" s="62"/>
      <c r="I164" s="62"/>
      <c r="J164" s="62"/>
      <c r="K164" s="62"/>
      <c r="L164" s="62"/>
    </row>
    <row r="165" customFormat="false" ht="33" hidden="false" customHeight="false" outlineLevel="0" collapsed="false">
      <c r="A165" s="62"/>
      <c r="B165" s="62"/>
      <c r="C165" s="62"/>
      <c r="D165" s="62"/>
      <c r="E165" s="63" t="s">
        <v>244</v>
      </c>
      <c r="F165" s="62"/>
      <c r="G165" s="62" t="s">
        <v>267</v>
      </c>
      <c r="H165" s="62"/>
      <c r="I165" s="62"/>
      <c r="J165" s="62"/>
      <c r="K165" s="62"/>
      <c r="L165" s="62"/>
    </row>
    <row r="166" customFormat="false" ht="17.25" hidden="false" customHeight="false" outlineLevel="0" collapsed="false">
      <c r="A166" s="62"/>
      <c r="B166" s="62"/>
      <c r="C166" s="62"/>
      <c r="D166" s="62"/>
      <c r="E166" s="62" t="s">
        <v>964</v>
      </c>
      <c r="F166" s="62"/>
      <c r="G166" s="62" t="s">
        <v>2291</v>
      </c>
      <c r="H166" s="62"/>
      <c r="I166" s="62"/>
      <c r="J166" s="62"/>
      <c r="K166" s="62"/>
      <c r="L166" s="62"/>
    </row>
    <row r="167" customFormat="false" ht="33" hidden="false" customHeight="false" outlineLevel="0" collapsed="false">
      <c r="A167" s="62"/>
      <c r="B167" s="62"/>
      <c r="C167" s="62"/>
      <c r="D167" s="62"/>
      <c r="E167" s="63" t="s">
        <v>233</v>
      </c>
      <c r="F167" s="62"/>
      <c r="G167" s="62" t="s">
        <v>267</v>
      </c>
      <c r="H167" s="62"/>
      <c r="I167" s="62"/>
      <c r="J167" s="62"/>
      <c r="K167" s="62"/>
      <c r="L167" s="62"/>
    </row>
    <row r="168" customFormat="false" ht="48.75" hidden="false" customHeight="false" outlineLevel="0" collapsed="false">
      <c r="A168" s="62"/>
      <c r="B168" s="62"/>
      <c r="C168" s="62"/>
      <c r="D168" s="62" t="s">
        <v>274</v>
      </c>
      <c r="E168" s="62" t="s">
        <v>275</v>
      </c>
      <c r="F168" s="62" t="s">
        <v>268</v>
      </c>
      <c r="G168" s="62" t="s">
        <v>267</v>
      </c>
      <c r="H168" s="62" t="s">
        <v>268</v>
      </c>
      <c r="I168" s="62" t="s">
        <v>276</v>
      </c>
      <c r="J168" s="62" t="s">
        <v>276</v>
      </c>
      <c r="K168" s="62"/>
      <c r="L168" s="62"/>
    </row>
    <row r="169" customFormat="false" ht="17.25" hidden="false" customHeight="false" outlineLevel="0" collapsed="false">
      <c r="A169" s="62"/>
      <c r="B169" s="62"/>
      <c r="C169" s="62"/>
      <c r="D169" s="63" t="s">
        <v>277</v>
      </c>
      <c r="E169" s="62"/>
      <c r="F169" s="62"/>
      <c r="G169" s="63" t="s">
        <v>1952</v>
      </c>
      <c r="H169" s="62" t="s">
        <v>2293</v>
      </c>
      <c r="I169" s="62"/>
      <c r="J169" s="62"/>
      <c r="K169" s="62"/>
      <c r="L169" s="62"/>
    </row>
    <row r="170" customFormat="false" ht="33" hidden="false" customHeight="false" outlineLevel="0" collapsed="false">
      <c r="A170" s="62"/>
      <c r="B170" s="62"/>
      <c r="C170" s="62"/>
      <c r="D170" s="62"/>
      <c r="E170" s="62"/>
      <c r="F170" s="62"/>
      <c r="G170" s="63" t="s">
        <v>270</v>
      </c>
      <c r="H170" s="62"/>
      <c r="I170" s="62"/>
      <c r="J170" s="62"/>
      <c r="K170" s="62"/>
      <c r="L170" s="62"/>
    </row>
    <row r="171" customFormat="false" ht="33" hidden="false" customHeight="false" outlineLevel="0" collapsed="false">
      <c r="A171" s="62"/>
      <c r="B171" s="62"/>
      <c r="C171" s="62"/>
      <c r="D171" s="62"/>
      <c r="E171" s="62"/>
      <c r="F171" s="62"/>
      <c r="G171" s="62" t="s">
        <v>267</v>
      </c>
      <c r="H171" s="62"/>
      <c r="I171" s="62"/>
      <c r="J171" s="62"/>
      <c r="K171" s="62"/>
      <c r="L171" s="62"/>
    </row>
    <row r="172" customFormat="false" ht="17.25" hidden="false" customHeight="false" outlineLevel="0" collapsed="false">
      <c r="A172" s="62"/>
      <c r="B172" s="62"/>
      <c r="C172" s="62"/>
      <c r="D172" s="62"/>
      <c r="E172" s="62"/>
      <c r="F172" s="62"/>
      <c r="G172" s="62" t="s">
        <v>2293</v>
      </c>
      <c r="H172" s="62"/>
      <c r="I172" s="62"/>
      <c r="J172" s="62"/>
      <c r="K172" s="62"/>
      <c r="L172" s="62"/>
    </row>
    <row r="173" customFormat="false" ht="33" hidden="false" customHeight="false" outlineLevel="0" collapsed="false">
      <c r="A173" s="62"/>
      <c r="B173" s="62"/>
      <c r="C173" s="62"/>
      <c r="D173" s="62"/>
      <c r="E173" s="62"/>
      <c r="F173" s="62"/>
      <c r="G173" s="62" t="s">
        <v>267</v>
      </c>
      <c r="H173" s="62"/>
      <c r="I173" s="62"/>
      <c r="J173" s="62"/>
      <c r="K173" s="62"/>
      <c r="L173" s="62"/>
    </row>
    <row r="174" customFormat="false" ht="33" hidden="false" customHeight="false" outlineLevel="0" collapsed="false">
      <c r="A174" s="62"/>
      <c r="B174" s="62"/>
      <c r="C174" s="62"/>
      <c r="D174" s="62"/>
      <c r="E174" s="62"/>
      <c r="F174" s="62"/>
      <c r="G174" s="62" t="s">
        <v>2294</v>
      </c>
      <c r="H174" s="62"/>
      <c r="I174" s="62"/>
      <c r="J174" s="62"/>
      <c r="K174" s="62"/>
      <c r="L174" s="62"/>
    </row>
    <row r="175" customFormat="false" ht="33" hidden="false" customHeight="false" outlineLevel="0" collapsed="false">
      <c r="A175" s="62"/>
      <c r="B175" s="62"/>
      <c r="C175" s="62"/>
      <c r="D175" s="62"/>
      <c r="E175" s="62"/>
      <c r="F175" s="62"/>
      <c r="G175" s="62" t="s">
        <v>2295</v>
      </c>
      <c r="H175" s="62"/>
      <c r="I175" s="62"/>
      <c r="J175" s="62"/>
      <c r="K175" s="62"/>
      <c r="L175" s="62"/>
    </row>
    <row r="176" customFormat="false" ht="15.75" hidden="false" customHeight="false" outlineLevel="0" collapsed="false">
      <c r="A176" s="3" t="s">
        <v>211</v>
      </c>
    </row>
    <row r="183" customFormat="false" ht="15.75" hidden="false" customHeight="false" outlineLevel="0" collapsed="false">
      <c r="A183" s="65" t="s">
        <v>281</v>
      </c>
    </row>
  </sheetData>
  <hyperlinks>
    <hyperlink ref="M1" location="Index!A1" display="Index"/>
    <hyperlink ref="A176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21.29"/>
  </cols>
  <sheetData>
    <row r="1" customFormat="false" ht="15" hidden="false" customHeight="false" outlineLevel="0" collapsed="false">
      <c r="F1" s="19"/>
      <c r="G1" s="19"/>
      <c r="H1" s="20" t="s">
        <v>81</v>
      </c>
      <c r="M1" s="21" t="s">
        <v>82</v>
      </c>
    </row>
    <row r="2" customFormat="false" ht="15" hidden="false" customHeight="false" outlineLevel="0" collapsed="false">
      <c r="F2" s="19"/>
      <c r="G2" s="19"/>
      <c r="H2" s="20" t="s">
        <v>84</v>
      </c>
    </row>
    <row r="3" customFormat="false" ht="15" hidden="false" customHeight="false" outlineLevel="0" collapsed="false">
      <c r="A3" s="20" t="s">
        <v>85</v>
      </c>
      <c r="F3" s="19"/>
      <c r="G3" s="19"/>
    </row>
    <row r="4" customFormat="false" ht="15" hidden="false" customHeight="false" outlineLevel="0" collapsed="false">
      <c r="F4" s="19"/>
      <c r="G4" s="19"/>
    </row>
    <row r="5" customFormat="false" ht="15" hidden="false" customHeight="false" outlineLevel="0" collapsed="false">
      <c r="A5" s="22" t="s">
        <v>86</v>
      </c>
      <c r="B5" s="23"/>
      <c r="C5" s="24" t="s">
        <v>87</v>
      </c>
      <c r="D5" s="24" t="s">
        <v>88</v>
      </c>
      <c r="E5" s="24" t="s">
        <v>89</v>
      </c>
      <c r="F5" s="25"/>
      <c r="G5" s="25"/>
      <c r="H5" s="24" t="s">
        <v>89</v>
      </c>
      <c r="I5" s="24" t="s">
        <v>90</v>
      </c>
      <c r="J5" s="23"/>
      <c r="K5" s="24" t="s">
        <v>91</v>
      </c>
      <c r="L5" s="24" t="s">
        <v>92</v>
      </c>
      <c r="M5" s="26" t="s">
        <v>93</v>
      </c>
      <c r="N5" s="23"/>
      <c r="O5" s="24" t="s">
        <v>94</v>
      </c>
      <c r="P5" s="24" t="s">
        <v>95</v>
      </c>
      <c r="Q5" s="24" t="s">
        <v>96</v>
      </c>
      <c r="R5" s="27" t="s">
        <v>97</v>
      </c>
    </row>
    <row r="6" customFormat="false" ht="15" hidden="false" customHeight="false" outlineLevel="0" collapsed="false">
      <c r="A6" s="28" t="s">
        <v>98</v>
      </c>
      <c r="B6" s="32"/>
      <c r="C6" s="26" t="s">
        <v>99</v>
      </c>
      <c r="D6" s="26" t="s">
        <v>100</v>
      </c>
      <c r="E6" s="26" t="s">
        <v>101</v>
      </c>
      <c r="F6" s="29"/>
      <c r="G6" s="29"/>
      <c r="H6" s="26" t="s">
        <v>101</v>
      </c>
      <c r="I6" s="26" t="s">
        <v>102</v>
      </c>
      <c r="J6" s="32"/>
      <c r="K6" s="26" t="s">
        <v>103</v>
      </c>
      <c r="L6" s="26" t="s">
        <v>104</v>
      </c>
      <c r="M6" s="30" t="s">
        <v>105</v>
      </c>
      <c r="N6" s="32"/>
      <c r="O6" s="26" t="s">
        <v>106</v>
      </c>
      <c r="P6" s="26" t="s">
        <v>107</v>
      </c>
      <c r="Q6" s="26" t="s">
        <v>108</v>
      </c>
      <c r="R6" s="31"/>
    </row>
    <row r="7" customFormat="false" ht="15" hidden="false" customHeight="false" outlineLevel="0" collapsed="false">
      <c r="A7" s="28" t="s">
        <v>99</v>
      </c>
      <c r="B7" s="32" t="s">
        <v>109</v>
      </c>
      <c r="C7" s="32"/>
      <c r="D7" s="26" t="s">
        <v>110</v>
      </c>
      <c r="E7" s="26" t="s">
        <v>111</v>
      </c>
      <c r="F7" s="33" t="s">
        <v>112</v>
      </c>
      <c r="G7" s="33"/>
      <c r="H7" s="26" t="s">
        <v>113</v>
      </c>
      <c r="I7" s="26" t="s">
        <v>114</v>
      </c>
      <c r="J7" s="32"/>
      <c r="K7" s="26" t="s">
        <v>115</v>
      </c>
      <c r="L7" s="32"/>
      <c r="M7" s="32"/>
      <c r="N7" s="32"/>
      <c r="O7" s="26" t="s">
        <v>116</v>
      </c>
      <c r="P7" s="26" t="s">
        <v>117</v>
      </c>
      <c r="Q7" s="26" t="s">
        <v>118</v>
      </c>
      <c r="R7" s="31"/>
    </row>
    <row r="8" customFormat="false" ht="15" hidden="false" customHeight="false" outlineLevel="0" collapsed="false">
      <c r="A8" s="34"/>
      <c r="B8" s="36"/>
      <c r="C8" s="36"/>
      <c r="D8" s="36"/>
      <c r="E8" s="30" t="s">
        <v>88</v>
      </c>
      <c r="F8" s="35"/>
      <c r="G8" s="35"/>
      <c r="H8" s="36"/>
      <c r="I8" s="30" t="s">
        <v>119</v>
      </c>
      <c r="J8" s="36" t="s">
        <v>120</v>
      </c>
      <c r="K8" s="30" t="s">
        <v>121</v>
      </c>
      <c r="L8" s="36" t="s">
        <v>122</v>
      </c>
      <c r="M8" s="36" t="s">
        <v>123</v>
      </c>
      <c r="N8" s="36" t="s">
        <v>124</v>
      </c>
      <c r="O8" s="30" t="s">
        <v>125</v>
      </c>
      <c r="P8" s="30" t="s">
        <v>126</v>
      </c>
      <c r="Q8" s="30" t="s">
        <v>127</v>
      </c>
      <c r="R8" s="37"/>
    </row>
    <row r="9" customFormat="false" ht="15" hidden="false" customHeight="false" outlineLevel="0" collapsed="false">
      <c r="A9" s="34"/>
      <c r="B9" s="36"/>
      <c r="C9" s="36"/>
      <c r="D9" s="38" t="s">
        <v>2</v>
      </c>
      <c r="E9" s="36"/>
      <c r="F9" s="35"/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</row>
    <row r="10" customFormat="false" ht="15" hidden="false" customHeight="false" outlineLevel="0" collapsed="false">
      <c r="A10" s="39" t="n">
        <v>531</v>
      </c>
      <c r="B10" s="39" t="n">
        <v>487</v>
      </c>
      <c r="C10" s="39" t="n">
        <v>1043</v>
      </c>
      <c r="D10" s="76" t="s">
        <v>2296</v>
      </c>
      <c r="E10" s="44"/>
      <c r="F10" s="75" t="n">
        <v>211</v>
      </c>
      <c r="G10" s="75"/>
      <c r="H10" s="76"/>
      <c r="I10" s="39"/>
      <c r="J10" s="39" t="n">
        <v>223</v>
      </c>
      <c r="K10" s="76" t="n">
        <v>12</v>
      </c>
      <c r="L10" s="76" t="n">
        <v>2</v>
      </c>
      <c r="M10" s="39" t="n">
        <v>4</v>
      </c>
      <c r="N10" s="39"/>
      <c r="O10" s="39"/>
      <c r="P10" s="39"/>
      <c r="Q10" s="39"/>
      <c r="R10" s="39"/>
    </row>
    <row r="11" customFormat="false" ht="15" hidden="false" customHeight="false" outlineLevel="0" collapsed="false">
      <c r="A11" s="39"/>
      <c r="B11" s="39"/>
      <c r="C11" s="39"/>
      <c r="D11" s="76"/>
      <c r="E11" s="76"/>
      <c r="F11" s="79" t="n">
        <v>140</v>
      </c>
      <c r="G11" s="79"/>
      <c r="H11" s="76"/>
      <c r="I11" s="39"/>
      <c r="J11" s="39"/>
      <c r="K11" s="76" t="n">
        <v>13</v>
      </c>
      <c r="L11" s="44" t="n">
        <v>6</v>
      </c>
      <c r="M11" s="80" t="n">
        <v>19</v>
      </c>
      <c r="N11" s="39"/>
      <c r="O11" s="39"/>
      <c r="P11" s="39"/>
      <c r="Q11" s="39"/>
      <c r="R11" s="39"/>
    </row>
    <row r="12" customFormat="false" ht="15" hidden="false" customHeight="false" outlineLevel="0" collapsed="false">
      <c r="A12" s="39"/>
      <c r="B12" s="39"/>
      <c r="C12" s="39"/>
      <c r="D12" s="76"/>
      <c r="E12" s="76"/>
      <c r="F12" s="79" t="n">
        <v>209</v>
      </c>
      <c r="G12" s="79"/>
      <c r="H12" s="39"/>
      <c r="I12" s="39"/>
      <c r="J12" s="39"/>
      <c r="K12" s="76" t="n">
        <v>18</v>
      </c>
      <c r="L12" s="39" t="n">
        <v>8</v>
      </c>
      <c r="M12" s="39"/>
      <c r="N12" s="39"/>
      <c r="O12" s="39"/>
      <c r="P12" s="39"/>
      <c r="Q12" s="39"/>
      <c r="R12" s="39"/>
    </row>
    <row r="13" customFormat="false" ht="15" hidden="false" customHeight="false" outlineLevel="0" collapsed="false">
      <c r="A13" s="39"/>
      <c r="B13" s="39"/>
      <c r="C13" s="39"/>
      <c r="D13" s="39"/>
      <c r="E13" s="78"/>
      <c r="F13" s="79" t="n">
        <v>417</v>
      </c>
      <c r="G13" s="79"/>
      <c r="H13" s="39"/>
      <c r="I13" s="39"/>
      <c r="J13" s="39"/>
      <c r="K13" s="39" t="n">
        <v>19</v>
      </c>
      <c r="L13" s="39" t="n">
        <v>8</v>
      </c>
      <c r="M13" s="39"/>
      <c r="N13" s="39"/>
      <c r="O13" s="39"/>
      <c r="P13" s="39"/>
      <c r="Q13" s="39"/>
      <c r="R13" s="39"/>
    </row>
    <row r="14" customFormat="false" ht="15" hidden="false" customHeight="false" outlineLevel="0" collapsed="false">
      <c r="A14" s="39"/>
      <c r="B14" s="39"/>
      <c r="C14" s="39"/>
      <c r="D14" s="39"/>
      <c r="E14" s="40"/>
      <c r="F14" s="75" t="n">
        <v>40</v>
      </c>
      <c r="G14" s="75"/>
      <c r="H14" s="39"/>
      <c r="I14" s="39"/>
      <c r="J14" s="39"/>
      <c r="K14" s="39"/>
      <c r="L14" s="50" t="n">
        <f aca="false">SUM(L10:L13)</f>
        <v>24</v>
      </c>
      <c r="M14" s="50" t="n">
        <f aca="false">SUM(M10:M13)</f>
        <v>23</v>
      </c>
      <c r="N14" s="39"/>
      <c r="O14" s="39"/>
      <c r="P14" s="39"/>
      <c r="Q14" s="39"/>
      <c r="R14" s="39"/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79" t="n">
        <v>111</v>
      </c>
      <c r="G15" s="79"/>
      <c r="H15" s="39"/>
      <c r="I15" s="39"/>
      <c r="J15" s="39"/>
      <c r="K15" s="39"/>
      <c r="L15" s="39" t="n">
        <v>25</v>
      </c>
      <c r="M15" s="39" t="n">
        <v>3</v>
      </c>
      <c r="N15" s="39"/>
      <c r="O15" s="39"/>
      <c r="P15" s="39"/>
      <c r="Q15" s="39"/>
      <c r="R15" s="39"/>
    </row>
    <row r="16" customFormat="false" ht="15" hidden="false" customHeight="false" outlineLevel="0" collapsed="false">
      <c r="A16" s="39"/>
      <c r="B16" s="39"/>
      <c r="C16" s="39"/>
      <c r="D16" s="39"/>
      <c r="E16" s="39"/>
      <c r="F16" s="79" t="n">
        <v>40</v>
      </c>
      <c r="G16" s="79"/>
      <c r="H16" s="39"/>
      <c r="I16" s="39"/>
      <c r="J16" s="39"/>
      <c r="K16" s="39"/>
      <c r="L16" s="39" t="n">
        <f aca="false">L15*20+M15</f>
        <v>503</v>
      </c>
      <c r="M16" s="39"/>
      <c r="N16" s="39"/>
      <c r="O16" s="39"/>
      <c r="P16" s="39"/>
      <c r="Q16" s="39"/>
      <c r="R16" s="39"/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79" t="n">
        <v>15</v>
      </c>
      <c r="G17" s="79"/>
      <c r="H17" s="39"/>
      <c r="I17" s="39"/>
      <c r="J17" s="39"/>
      <c r="K17" s="39"/>
      <c r="L17" s="50" t="n">
        <f aca="false">65*20</f>
        <v>1300</v>
      </c>
      <c r="M17" s="50"/>
      <c r="N17" s="39"/>
      <c r="O17" s="39"/>
      <c r="P17" s="39"/>
      <c r="Q17" s="39"/>
      <c r="R17" s="39"/>
    </row>
    <row r="18" customFormat="false" ht="15.75" hidden="false" customHeight="false" outlineLevel="0" collapsed="false">
      <c r="A18" s="39"/>
      <c r="B18" s="39"/>
      <c r="C18" s="39"/>
      <c r="D18" s="39"/>
      <c r="E18" s="39"/>
      <c r="F18" s="79" t="n">
        <v>4</v>
      </c>
      <c r="G18" s="79"/>
      <c r="H18" s="39"/>
      <c r="I18" s="39"/>
      <c r="J18" s="39"/>
      <c r="K18" s="39"/>
      <c r="L18" s="81"/>
      <c r="M18" s="81"/>
      <c r="N18" s="39"/>
      <c r="O18" s="39"/>
      <c r="P18" s="39"/>
      <c r="Q18" s="39"/>
      <c r="R18" s="39"/>
    </row>
    <row r="19" customFormat="false" ht="15" hidden="false" customHeight="false" outlineLevel="0" collapsed="false">
      <c r="A19" s="39"/>
      <c r="B19" s="39"/>
      <c r="C19" s="39"/>
      <c r="D19" s="50"/>
      <c r="E19" s="76"/>
      <c r="F19" s="79" t="n">
        <v>100</v>
      </c>
      <c r="G19" s="7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</row>
    <row r="20" customFormat="false" ht="15" hidden="false" customHeight="false" outlineLevel="0" collapsed="false">
      <c r="A20" s="39"/>
      <c r="B20" s="39"/>
      <c r="C20" s="39"/>
      <c r="D20" s="39"/>
      <c r="E20" s="76"/>
      <c r="F20" s="79" t="n">
        <v>139</v>
      </c>
      <c r="G20" s="79"/>
      <c r="H20" s="39"/>
      <c r="I20" s="39"/>
      <c r="J20" s="39"/>
      <c r="K20" s="83"/>
      <c r="L20" s="39"/>
      <c r="M20" s="39"/>
      <c r="N20" s="39"/>
      <c r="O20" s="39"/>
      <c r="P20" s="39"/>
      <c r="Q20" s="39"/>
      <c r="R20" s="39"/>
    </row>
    <row r="21" customFormat="false" ht="15" hidden="false" customHeight="false" outlineLevel="0" collapsed="false">
      <c r="A21" s="39"/>
      <c r="B21" s="39"/>
      <c r="C21" s="39"/>
      <c r="D21" s="39"/>
      <c r="E21" s="76"/>
      <c r="F21" s="79" t="n">
        <v>145</v>
      </c>
      <c r="G21" s="7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customFormat="false" ht="15" hidden="false" customHeight="false" outlineLevel="0" collapsed="false">
      <c r="A22" s="39"/>
      <c r="B22" s="39"/>
      <c r="C22" s="39"/>
      <c r="D22" s="39"/>
      <c r="E22" s="39"/>
      <c r="F22" s="79" t="n">
        <v>24</v>
      </c>
      <c r="G22" s="7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customFormat="false" ht="15" hidden="false" customHeight="false" outlineLevel="0" collapsed="false">
      <c r="A23" s="39"/>
      <c r="B23" s="39"/>
      <c r="C23" s="39"/>
      <c r="D23" s="39"/>
      <c r="E23" s="76"/>
      <c r="F23" s="79" t="n">
        <v>20</v>
      </c>
      <c r="G23" s="7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customFormat="false" ht="15" hidden="false" customHeight="false" outlineLevel="0" collapsed="false">
      <c r="A24" s="39"/>
      <c r="B24" s="39"/>
      <c r="C24" s="39"/>
      <c r="D24" s="39"/>
      <c r="E24" s="39"/>
      <c r="F24" s="79" t="n">
        <v>18</v>
      </c>
      <c r="G24" s="7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customFormat="false" ht="15" hidden="false" customHeight="false" outlineLevel="0" collapsed="false">
      <c r="A25" s="39"/>
      <c r="B25" s="39"/>
      <c r="C25" s="39"/>
      <c r="D25" s="39"/>
      <c r="E25" s="76"/>
      <c r="F25" s="79" t="n">
        <v>9</v>
      </c>
      <c r="G25" s="7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customFormat="false" ht="15" hidden="false" customHeight="false" outlineLevel="0" collapsed="false">
      <c r="A26" s="39"/>
      <c r="B26" s="39"/>
      <c r="C26" s="39"/>
      <c r="D26" s="39"/>
      <c r="E26" s="44"/>
      <c r="F26" s="75" t="n">
        <v>9</v>
      </c>
      <c r="G26" s="75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customFormat="false" ht="15" hidden="false" customHeight="false" outlineLevel="0" collapsed="false">
      <c r="A27" s="39"/>
      <c r="B27" s="39"/>
      <c r="C27" s="39"/>
      <c r="D27" s="39"/>
      <c r="E27" s="39"/>
      <c r="F27" s="79" t="n">
        <v>5</v>
      </c>
      <c r="G27" s="75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customFormat="false" ht="15" hidden="false" customHeight="false" outlineLevel="0" collapsed="false">
      <c r="A28" s="39"/>
      <c r="B28" s="39"/>
      <c r="C28" s="39"/>
      <c r="D28" s="39"/>
      <c r="E28" s="39"/>
      <c r="F28" s="79" t="n">
        <v>147</v>
      </c>
      <c r="G28" s="7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customFormat="false" ht="15" hidden="false" customHeight="false" outlineLevel="0" collapsed="false">
      <c r="A29" s="39"/>
      <c r="B29" s="39"/>
      <c r="C29" s="39"/>
      <c r="D29" s="39"/>
      <c r="E29" s="39"/>
      <c r="F29" s="79" t="n">
        <v>27</v>
      </c>
      <c r="G29" s="7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customFormat="false" ht="15.75" hidden="false" customHeight="false" outlineLevel="0" collapsed="false">
      <c r="A30" s="39"/>
      <c r="B30" s="39"/>
      <c r="C30" s="39"/>
      <c r="D30" s="39"/>
      <c r="E30" s="39"/>
      <c r="F30" s="79" t="n">
        <v>20</v>
      </c>
      <c r="G30" s="79"/>
      <c r="H30" s="39"/>
      <c r="I30" s="39"/>
      <c r="J30" s="39"/>
      <c r="K30" s="39"/>
      <c r="L30" s="84"/>
      <c r="M30" s="84"/>
      <c r="N30" s="39"/>
      <c r="O30" s="39"/>
      <c r="P30" s="39"/>
      <c r="Q30" s="39"/>
      <c r="R30" s="39"/>
    </row>
    <row r="31" customFormat="false" ht="15.75" hidden="false" customHeight="false" outlineLevel="0" collapsed="false">
      <c r="A31" s="39"/>
      <c r="B31" s="39"/>
      <c r="C31" s="39"/>
      <c r="D31" s="39"/>
      <c r="E31" s="44" t="s">
        <v>129</v>
      </c>
      <c r="F31" s="41" t="n">
        <v>147</v>
      </c>
      <c r="G31" s="41" t="n">
        <v>212</v>
      </c>
      <c r="H31" s="39"/>
      <c r="I31" s="39"/>
      <c r="J31" s="39"/>
      <c r="K31" s="39"/>
      <c r="L31" s="81"/>
      <c r="M31" s="81"/>
      <c r="N31" s="39"/>
      <c r="O31" s="39"/>
      <c r="P31" s="39"/>
      <c r="Q31" s="39"/>
      <c r="R31" s="39"/>
    </row>
    <row r="32" customFormat="false" ht="15" hidden="false" customHeight="false" outlineLevel="0" collapsed="false">
      <c r="A32" s="39"/>
      <c r="B32" s="39"/>
      <c r="C32" s="39"/>
      <c r="D32" s="50"/>
      <c r="E32" s="76"/>
      <c r="F32" s="41" t="n">
        <v>27</v>
      </c>
      <c r="G32" s="39" t="n">
        <v>27</v>
      </c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</row>
    <row r="33" customFormat="false" ht="15" hidden="false" customHeight="false" outlineLevel="0" collapsed="false">
      <c r="A33" s="39"/>
      <c r="B33" s="39"/>
      <c r="C33" s="39"/>
      <c r="D33" s="39"/>
      <c r="E33" s="44"/>
      <c r="F33" s="75" t="n">
        <v>20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customFormat="false" ht="15" hidden="false" customHeight="false" outlineLevel="0" collapsed="false">
      <c r="A34" s="39"/>
      <c r="B34" s="39"/>
      <c r="C34" s="39"/>
      <c r="D34" s="39"/>
      <c r="E34" s="76"/>
      <c r="F34" s="41" t="n">
        <v>92</v>
      </c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</row>
    <row r="35" customFormat="false" ht="15" hidden="false" customHeight="false" outlineLevel="0" collapsed="false">
      <c r="A35" s="39"/>
      <c r="B35" s="39"/>
      <c r="C35" s="39"/>
      <c r="D35" s="39"/>
      <c r="E35" s="76"/>
      <c r="F35" s="41" t="n">
        <v>49</v>
      </c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customFormat="false" ht="15" hidden="false" customHeight="false" outlineLevel="0" collapsed="false">
      <c r="A36" s="39"/>
      <c r="B36" s="39"/>
      <c r="C36" s="39"/>
      <c r="D36" s="39"/>
      <c r="E36" s="76"/>
      <c r="F36" s="41" t="n">
        <v>63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</row>
    <row r="37" customFormat="false" ht="15" hidden="false" customHeight="false" outlineLevel="0" collapsed="false">
      <c r="A37" s="39"/>
      <c r="B37" s="39"/>
      <c r="C37" s="39"/>
      <c r="D37" s="39"/>
      <c r="E37" s="76"/>
      <c r="F37" s="41" t="n">
        <v>51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</row>
    <row r="38" customFormat="false" ht="15" hidden="false" customHeight="false" outlineLevel="0" collapsed="false">
      <c r="A38" s="39"/>
      <c r="B38" s="39"/>
      <c r="C38" s="39"/>
      <c r="D38" s="39"/>
      <c r="E38" s="76"/>
      <c r="F38" s="41" t="n">
        <v>1143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</row>
    <row r="39" customFormat="false" ht="15" hidden="false" customHeight="false" outlineLevel="0" collapsed="false">
      <c r="A39" s="39"/>
      <c r="B39" s="39"/>
      <c r="C39" s="39"/>
      <c r="D39" s="39"/>
      <c r="E39" s="39"/>
      <c r="F39" s="41" t="n">
        <v>45</v>
      </c>
      <c r="G39" s="80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  <row r="40" customFormat="false" ht="15" hidden="false" customHeight="false" outlineLevel="0" collapsed="false">
      <c r="A40" s="39"/>
      <c r="B40" s="39"/>
      <c r="C40" s="39"/>
      <c r="D40" s="39"/>
      <c r="E40" s="39"/>
      <c r="F40" s="41" t="n">
        <v>6</v>
      </c>
      <c r="G40" s="41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  <row r="41" customFormat="false" ht="15" hidden="false" customHeight="false" outlineLevel="0" collapsed="false">
      <c r="A41" s="39"/>
      <c r="B41" s="39"/>
      <c r="C41" s="39"/>
      <c r="D41" s="39"/>
      <c r="E41" s="39"/>
      <c r="F41" s="41" t="n">
        <v>20</v>
      </c>
      <c r="G41" s="41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</row>
    <row r="42" customFormat="false" ht="15" hidden="false" customHeight="false" outlineLevel="0" collapsed="false">
      <c r="A42" s="39"/>
      <c r="B42" s="39"/>
      <c r="C42" s="39"/>
      <c r="D42" s="39"/>
      <c r="E42" s="39"/>
      <c r="F42" s="41" t="n">
        <v>20</v>
      </c>
      <c r="G42" s="41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</row>
    <row r="43" customFormat="false" ht="15" hidden="false" customHeight="false" outlineLevel="0" collapsed="false">
      <c r="A43" s="39"/>
      <c r="B43" s="39"/>
      <c r="C43" s="39"/>
      <c r="D43" s="39"/>
      <c r="E43" s="39"/>
      <c r="F43" s="41" t="n">
        <v>18</v>
      </c>
      <c r="G43" s="41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</row>
    <row r="44" customFormat="false" ht="15" hidden="false" customHeight="false" outlineLevel="0" collapsed="false">
      <c r="A44" s="39"/>
      <c r="B44" s="39"/>
      <c r="C44" s="39"/>
      <c r="D44" s="39"/>
      <c r="E44" s="39"/>
      <c r="F44" s="41" t="n">
        <v>20</v>
      </c>
      <c r="G44" s="41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</row>
    <row r="45" customFormat="false" ht="15" hidden="false" customHeight="false" outlineLevel="0" collapsed="false">
      <c r="A45" s="39"/>
      <c r="B45" s="39"/>
      <c r="C45" s="39"/>
      <c r="D45" s="39"/>
      <c r="E45" s="39"/>
      <c r="F45" s="41" t="n">
        <v>20</v>
      </c>
      <c r="G45" s="41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</row>
    <row r="46" customFormat="false" ht="15" hidden="false" customHeight="false" outlineLevel="0" collapsed="false">
      <c r="A46" s="39"/>
      <c r="B46" s="39"/>
      <c r="C46" s="39"/>
      <c r="D46" s="39"/>
      <c r="E46" s="39"/>
      <c r="F46" s="41" t="n">
        <f aca="false">SUM(F10:F45)</f>
        <v>3591</v>
      </c>
      <c r="G46" s="41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</row>
    <row r="47" customFormat="false" ht="15" hidden="false" customHeight="false" outlineLevel="0" collapsed="false">
      <c r="A47" s="39"/>
      <c r="B47" s="39"/>
      <c r="C47" s="39"/>
      <c r="D47" s="39"/>
      <c r="E47" s="39"/>
      <c r="F47" s="41"/>
      <c r="G47" s="41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</row>
    <row r="48" customFormat="false" ht="15" hidden="false" customHeight="false" outlineLevel="0" collapsed="false">
      <c r="A48" s="39"/>
      <c r="B48" s="39"/>
      <c r="C48" s="39"/>
      <c r="D48" s="39"/>
      <c r="E48" s="39"/>
      <c r="F48" s="41"/>
      <c r="G48" s="41"/>
      <c r="H48" s="39"/>
      <c r="I48" s="39" t="n">
        <f aca="false">163*20+18</f>
        <v>3278</v>
      </c>
      <c r="J48" s="39"/>
      <c r="K48" s="39"/>
      <c r="L48" s="39"/>
      <c r="M48" s="39"/>
      <c r="N48" s="39"/>
      <c r="O48" s="39"/>
      <c r="P48" s="39"/>
      <c r="Q48" s="39"/>
      <c r="R48" s="39"/>
    </row>
    <row r="49" customFormat="false" ht="15" hidden="false" customHeight="false" outlineLevel="0" collapsed="false">
      <c r="A49" s="39"/>
      <c r="B49" s="39"/>
      <c r="C49" s="39"/>
      <c r="D49" s="39"/>
      <c r="E49" s="39"/>
      <c r="F49" s="41"/>
      <c r="G49" s="41"/>
      <c r="H49" s="39"/>
      <c r="I49" s="39" t="n">
        <f aca="false">127*20+15</f>
        <v>2555</v>
      </c>
      <c r="J49" s="39"/>
      <c r="K49" s="39"/>
      <c r="L49" s="39"/>
      <c r="M49" s="39"/>
      <c r="N49" s="39"/>
      <c r="O49" s="39"/>
      <c r="P49" s="39"/>
      <c r="Q49" s="39"/>
      <c r="R49" s="39"/>
    </row>
    <row r="50" customFormat="false" ht="15" hidden="false" customHeight="false" outlineLevel="0" collapsed="false">
      <c r="A50" s="39"/>
      <c r="B50" s="39"/>
      <c r="C50" s="39"/>
      <c r="D50" s="39"/>
      <c r="E50" s="39"/>
      <c r="F50" s="41"/>
      <c r="G50" s="41"/>
      <c r="H50" s="39"/>
      <c r="I50" s="39" t="n">
        <f aca="false">SUM(I48:I49)</f>
        <v>5833</v>
      </c>
      <c r="J50" s="39"/>
      <c r="K50" s="39"/>
      <c r="L50" s="39"/>
      <c r="M50" s="39"/>
      <c r="N50" s="39"/>
      <c r="O50" s="39"/>
      <c r="P50" s="39"/>
      <c r="Q50" s="39"/>
      <c r="R50" s="39"/>
    </row>
    <row r="51" customFormat="false" ht="15" hidden="false" customHeight="false" outlineLevel="0" collapsed="false">
      <c r="A51" s="39"/>
      <c r="B51" s="39"/>
      <c r="C51" s="39"/>
      <c r="D51" s="39"/>
      <c r="E51" s="39"/>
      <c r="F51" s="41"/>
      <c r="G51" s="41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</row>
    <row r="52" customFormat="false" ht="15" hidden="false" customHeight="false" outlineLevel="0" collapsed="false">
      <c r="A52" s="39"/>
      <c r="B52" s="39"/>
      <c r="C52" s="39"/>
      <c r="D52" s="39"/>
      <c r="E52" s="39"/>
      <c r="F52" s="41"/>
      <c r="G52" s="41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</row>
    <row r="53" customFormat="false" ht="15" hidden="false" customHeight="false" outlineLevel="0" collapsed="false">
      <c r="A53" s="39"/>
      <c r="B53" s="39"/>
      <c r="C53" s="39"/>
      <c r="D53" s="39"/>
      <c r="E53" s="39"/>
      <c r="F53" s="41"/>
      <c r="G53" s="41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customFormat="false" ht="15" hidden="false" customHeight="false" outlineLevel="0" collapsed="false">
      <c r="A54" s="39"/>
      <c r="B54" s="39"/>
      <c r="C54" s="39"/>
      <c r="D54" s="39"/>
      <c r="E54" s="39"/>
      <c r="F54" s="41"/>
      <c r="G54" s="41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  <row r="55" customFormat="false" ht="15" hidden="false" customHeight="false" outlineLevel="0" collapsed="false">
      <c r="A55" s="39"/>
      <c r="B55" s="39"/>
      <c r="C55" s="39"/>
      <c r="D55" s="39"/>
      <c r="E55" s="39"/>
      <c r="F55" s="41"/>
      <c r="G55" s="41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</row>
    <row r="56" customFormat="false" ht="15" hidden="false" customHeight="false" outlineLevel="0" collapsed="false">
      <c r="A56" s="39"/>
      <c r="B56" s="39"/>
      <c r="C56" s="39"/>
      <c r="D56" s="39"/>
      <c r="E56" s="39"/>
      <c r="F56" s="41"/>
      <c r="G56" s="41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</row>
    <row r="57" customFormat="false" ht="15" hidden="false" customHeight="false" outlineLevel="0" collapsed="false">
      <c r="A57" s="39"/>
      <c r="B57" s="39"/>
      <c r="C57" s="39"/>
      <c r="D57" s="39"/>
      <c r="E57" s="39"/>
      <c r="F57" s="41"/>
      <c r="G57" s="41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customFormat="false" ht="15" hidden="false" customHeight="false" outlineLevel="0" collapsed="false">
      <c r="A58" s="39"/>
      <c r="B58" s="39"/>
      <c r="C58" s="39"/>
      <c r="D58" s="39"/>
      <c r="E58" s="39"/>
      <c r="F58" s="41"/>
      <c r="G58" s="41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</row>
    <row r="59" customFormat="false" ht="15" hidden="false" customHeight="false" outlineLevel="0" collapsed="false">
      <c r="A59" s="39"/>
      <c r="B59" s="39"/>
      <c r="C59" s="39"/>
      <c r="D59" s="39"/>
      <c r="E59" s="39"/>
      <c r="F59" s="41"/>
      <c r="G59" s="41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</row>
    <row r="60" customFormat="false" ht="15" hidden="false" customHeight="false" outlineLevel="0" collapsed="false">
      <c r="A60" s="39"/>
      <c r="B60" s="39"/>
      <c r="C60" s="39"/>
      <c r="D60" s="39"/>
      <c r="E60" s="39"/>
      <c r="F60" s="41"/>
      <c r="G60" s="41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</row>
    <row r="61" customFormat="false" ht="15" hidden="false" customHeight="false" outlineLevel="0" collapsed="false">
      <c r="A61" s="39"/>
      <c r="B61" s="39"/>
      <c r="C61" s="39"/>
      <c r="D61" s="39"/>
      <c r="E61" s="39"/>
      <c r="F61" s="41"/>
      <c r="G61" s="41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</row>
    <row r="62" customFormat="false" ht="15" hidden="false" customHeight="false" outlineLevel="0" collapsed="false">
      <c r="A62" s="39"/>
      <c r="B62" s="39"/>
      <c r="C62" s="39"/>
      <c r="D62" s="39"/>
      <c r="E62" s="39"/>
      <c r="F62" s="41"/>
      <c r="G62" s="41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</row>
    <row r="63" customFormat="false" ht="15" hidden="false" customHeight="false" outlineLevel="0" collapsed="false">
      <c r="A63" s="39"/>
      <c r="B63" s="39"/>
      <c r="C63" s="39"/>
      <c r="D63" s="39"/>
      <c r="E63" s="39"/>
      <c r="F63" s="41"/>
      <c r="G63" s="41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</row>
    <row r="64" customFormat="false" ht="15" hidden="false" customHeight="false" outlineLevel="0" collapsed="false">
      <c r="A64" s="39"/>
      <c r="B64" s="39"/>
      <c r="C64" s="39"/>
      <c r="D64" s="39"/>
      <c r="E64" s="39"/>
      <c r="F64" s="41"/>
      <c r="G64" s="41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</row>
    <row r="65" customFormat="false" ht="15" hidden="false" customHeight="false" outlineLevel="0" collapsed="false">
      <c r="A65" s="39"/>
      <c r="B65" s="39"/>
      <c r="C65" s="39"/>
      <c r="D65" s="39"/>
      <c r="E65" s="39"/>
      <c r="F65" s="41"/>
      <c r="G65" s="41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</row>
    <row r="66" customFormat="false" ht="15" hidden="false" customHeight="false" outlineLevel="0" collapsed="false">
      <c r="A66" s="39"/>
      <c r="B66" s="39"/>
      <c r="C66" s="39"/>
      <c r="D66" s="39"/>
      <c r="E66" s="39"/>
      <c r="F66" s="41"/>
      <c r="G66" s="41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</row>
    <row r="67" customFormat="false" ht="15" hidden="false" customHeight="false" outlineLevel="0" collapsed="false">
      <c r="A67" s="39"/>
      <c r="B67" s="39"/>
      <c r="C67" s="39"/>
      <c r="D67" s="39"/>
      <c r="E67" s="39"/>
      <c r="F67" s="41"/>
      <c r="G67" s="41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</row>
    <row r="68" customFormat="false" ht="15" hidden="false" customHeight="false" outlineLevel="0" collapsed="false">
      <c r="A68" s="39"/>
      <c r="B68" s="39"/>
      <c r="C68" s="39"/>
      <c r="D68" s="39"/>
      <c r="E68" s="39"/>
      <c r="F68" s="41"/>
      <c r="G68" s="41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</row>
    <row r="69" customFormat="false" ht="15" hidden="false" customHeight="false" outlineLevel="0" collapsed="false">
      <c r="A69" s="39"/>
      <c r="B69" s="39"/>
      <c r="C69" s="39"/>
      <c r="D69" s="39"/>
      <c r="E69" s="39"/>
      <c r="F69" s="41"/>
      <c r="G69" s="41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</row>
    <row r="70" customFormat="false" ht="15" hidden="false" customHeight="false" outlineLevel="0" collapsed="false">
      <c r="A70" s="39"/>
      <c r="B70" s="39"/>
      <c r="C70" s="39"/>
      <c r="D70" s="39"/>
      <c r="E70" s="39"/>
      <c r="F70" s="41"/>
      <c r="G70" s="41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</row>
    <row r="71" customFormat="false" ht="15" hidden="false" customHeight="false" outlineLevel="0" collapsed="false">
      <c r="A71" s="39"/>
      <c r="B71" s="39"/>
      <c r="C71" s="39"/>
      <c r="D71" s="39"/>
      <c r="E71" s="39"/>
      <c r="F71" s="41"/>
      <c r="G71" s="41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</row>
    <row r="72" customFormat="false" ht="15" hidden="false" customHeight="false" outlineLevel="0" collapsed="false">
      <c r="A72" s="39"/>
      <c r="B72" s="39"/>
      <c r="C72" s="39"/>
      <c r="D72" s="39"/>
      <c r="E72" s="39"/>
      <c r="F72" s="41"/>
      <c r="G72" s="41"/>
      <c r="H72" s="39"/>
      <c r="I72" s="39"/>
      <c r="J72" s="39"/>
      <c r="K72" s="50"/>
      <c r="L72" s="50"/>
      <c r="M72" s="50"/>
      <c r="N72" s="39"/>
      <c r="O72" s="39"/>
      <c r="P72" s="39"/>
      <c r="Q72" s="39"/>
      <c r="R72" s="39"/>
    </row>
    <row r="73" customFormat="false" ht="15" hidden="false" customHeight="false" outlineLevel="0" collapsed="false">
      <c r="A73" s="39"/>
      <c r="B73" s="39"/>
      <c r="C73" s="39"/>
      <c r="D73" s="39"/>
      <c r="E73" s="39"/>
      <c r="F73" s="41"/>
      <c r="G73" s="41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</row>
    <row r="74" customFormat="false" ht="15" hidden="false" customHeight="false" outlineLevel="0" collapsed="false">
      <c r="A74" s="39"/>
      <c r="B74" s="39"/>
      <c r="C74" s="39"/>
      <c r="D74" s="39"/>
      <c r="E74" s="39"/>
      <c r="F74" s="41"/>
      <c r="G74" s="41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</row>
    <row r="75" customFormat="false" ht="15" hidden="false" customHeight="false" outlineLevel="0" collapsed="false">
      <c r="A75" s="39"/>
      <c r="B75" s="39"/>
      <c r="C75" s="39"/>
      <c r="D75" s="39"/>
      <c r="E75" s="39"/>
      <c r="F75" s="41"/>
      <c r="G75" s="41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</row>
    <row r="76" customFormat="false" ht="15" hidden="false" customHeight="false" outlineLevel="0" collapsed="false">
      <c r="A76" s="39"/>
      <c r="B76" s="39"/>
      <c r="C76" s="39"/>
      <c r="D76" s="39"/>
      <c r="E76" s="39"/>
      <c r="F76" s="41"/>
      <c r="G76" s="41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</row>
    <row r="77" customFormat="false" ht="15" hidden="false" customHeight="false" outlineLevel="0" collapsed="false">
      <c r="A77" s="39"/>
      <c r="B77" s="39"/>
      <c r="C77" s="39"/>
      <c r="D77" s="39"/>
      <c r="E77" s="39"/>
      <c r="F77" s="41"/>
      <c r="G77" s="41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</row>
    <row r="78" customFormat="false" ht="15" hidden="false" customHeight="false" outlineLevel="0" collapsed="false">
      <c r="A78" s="39"/>
      <c r="B78" s="39"/>
      <c r="C78" s="39"/>
      <c r="D78" s="39"/>
      <c r="E78" s="39"/>
      <c r="F78" s="41"/>
      <c r="G78" s="41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</row>
    <row r="79" customFormat="false" ht="15" hidden="false" customHeight="false" outlineLevel="0" collapsed="false">
      <c r="A79" s="39"/>
      <c r="B79" s="39"/>
      <c r="C79" s="39"/>
      <c r="D79" s="39"/>
      <c r="E79" s="39"/>
      <c r="F79" s="41"/>
      <c r="G79" s="41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</row>
    <row r="80" customFormat="false" ht="15" hidden="false" customHeight="false" outlineLevel="0" collapsed="false">
      <c r="A80" s="39"/>
      <c r="B80" s="39"/>
      <c r="C80" s="39"/>
      <c r="D80" s="39"/>
      <c r="E80" s="39"/>
      <c r="F80" s="41"/>
      <c r="G80" s="41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</row>
    <row r="81" customFormat="false" ht="15" hidden="false" customHeight="false" outlineLevel="0" collapsed="false">
      <c r="A81" s="39"/>
      <c r="B81" s="39"/>
      <c r="C81" s="39"/>
      <c r="D81" s="39"/>
      <c r="E81" s="39"/>
      <c r="F81" s="41"/>
      <c r="G81" s="41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</row>
    <row r="82" customFormat="false" ht="15" hidden="false" customHeight="false" outlineLevel="0" collapsed="false">
      <c r="A82" s="39"/>
      <c r="B82" s="39"/>
      <c r="C82" s="39"/>
      <c r="D82" s="39"/>
      <c r="E82" s="39"/>
      <c r="F82" s="41"/>
      <c r="G82" s="41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</row>
    <row r="83" customFormat="false" ht="15" hidden="false" customHeight="false" outlineLevel="0" collapsed="false">
      <c r="A83" s="39"/>
      <c r="B83" s="39"/>
      <c r="C83" s="39"/>
      <c r="D83" s="39"/>
      <c r="E83" s="39"/>
      <c r="F83" s="41"/>
      <c r="G83" s="41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</row>
    <row r="84" customFormat="false" ht="15" hidden="false" customHeight="false" outlineLevel="0" collapsed="false">
      <c r="A84" s="39"/>
      <c r="B84" s="39"/>
      <c r="C84" s="39"/>
      <c r="D84" s="39"/>
      <c r="E84" s="39"/>
      <c r="F84" s="41"/>
      <c r="G84" s="41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</row>
    <row r="85" customFormat="false" ht="15" hidden="false" customHeight="false" outlineLevel="0" collapsed="false">
      <c r="A85" s="39"/>
      <c r="B85" s="39"/>
      <c r="C85" s="39"/>
      <c r="D85" s="39"/>
      <c r="E85" s="39"/>
      <c r="F85" s="41"/>
      <c r="G85" s="41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customFormat="false" ht="15" hidden="false" customHeight="false" outlineLevel="0" collapsed="false">
      <c r="A86" s="39"/>
      <c r="B86" s="39"/>
      <c r="C86" s="39"/>
      <c r="D86" s="39"/>
      <c r="E86" s="39"/>
      <c r="F86" s="41"/>
      <c r="G86" s="41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</row>
    <row r="87" customFormat="false" ht="15" hidden="false" customHeight="false" outlineLevel="0" collapsed="false">
      <c r="A87" s="39"/>
      <c r="B87" s="39"/>
      <c r="C87" s="39"/>
      <c r="D87" s="39"/>
      <c r="E87" s="39"/>
      <c r="F87" s="41"/>
      <c r="G87" s="41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</row>
    <row r="88" customFormat="false" ht="15" hidden="false" customHeight="false" outlineLevel="0" collapsed="false">
      <c r="A88" s="39"/>
      <c r="B88" s="39"/>
      <c r="C88" s="39"/>
      <c r="D88" s="39"/>
      <c r="E88" s="39"/>
      <c r="F88" s="41"/>
      <c r="G88" s="41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</row>
    <row r="89" customFormat="false" ht="15" hidden="false" customHeight="false" outlineLevel="0" collapsed="false">
      <c r="A89" s="39"/>
      <c r="B89" s="39"/>
      <c r="C89" s="39"/>
      <c r="D89" s="39"/>
      <c r="E89" s="39"/>
      <c r="F89" s="41"/>
      <c r="G89" s="41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</row>
    <row r="90" customFormat="false" ht="15" hidden="false" customHeight="false" outlineLevel="0" collapsed="false">
      <c r="A90" s="39"/>
      <c r="B90" s="39"/>
      <c r="C90" s="39"/>
      <c r="D90" s="39"/>
      <c r="E90" s="39"/>
      <c r="F90" s="41"/>
      <c r="G90" s="41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</row>
    <row r="91" customFormat="false" ht="15" hidden="false" customHeight="false" outlineLevel="0" collapsed="false">
      <c r="A91" s="39"/>
      <c r="B91" s="39"/>
      <c r="C91" s="39"/>
      <c r="D91" s="39"/>
      <c r="E91" s="39"/>
      <c r="F91" s="41"/>
      <c r="G91" s="41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</row>
    <row r="92" customFormat="false" ht="15" hidden="false" customHeight="false" outlineLevel="0" collapsed="false">
      <c r="A92" s="39"/>
      <c r="B92" s="39"/>
      <c r="C92" s="39"/>
      <c r="D92" s="39"/>
      <c r="E92" s="39"/>
      <c r="F92" s="41"/>
      <c r="G92" s="41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</row>
    <row r="93" customFormat="false" ht="15" hidden="false" customHeight="false" outlineLevel="0" collapsed="false">
      <c r="A93" s="39"/>
      <c r="B93" s="39"/>
      <c r="C93" s="39"/>
      <c r="D93" s="39"/>
      <c r="E93" s="39"/>
      <c r="F93" s="41"/>
      <c r="G93" s="41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</row>
    <row r="94" customFormat="false" ht="15" hidden="false" customHeight="false" outlineLevel="0" collapsed="false">
      <c r="A94" s="39"/>
      <c r="B94" s="39"/>
      <c r="C94" s="39"/>
      <c r="D94" s="39"/>
      <c r="E94" s="39"/>
      <c r="F94" s="41"/>
      <c r="G94" s="41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</row>
    <row r="95" customFormat="false" ht="15" hidden="false" customHeight="false" outlineLevel="0" collapsed="false">
      <c r="A95" s="39"/>
      <c r="B95" s="39"/>
      <c r="C95" s="39"/>
      <c r="D95" s="39"/>
      <c r="E95" s="39"/>
      <c r="F95" s="41"/>
      <c r="G95" s="41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</row>
    <row r="96" customFormat="false" ht="15" hidden="false" customHeight="false" outlineLevel="0" collapsed="false">
      <c r="A96" s="39"/>
      <c r="B96" s="39"/>
      <c r="C96" s="39"/>
      <c r="D96" s="39"/>
      <c r="E96" s="39"/>
      <c r="F96" s="41"/>
      <c r="G96" s="41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</row>
    <row r="97" customFormat="false" ht="15" hidden="false" customHeight="false" outlineLevel="0" collapsed="false">
      <c r="A97" s="39"/>
      <c r="B97" s="39"/>
      <c r="C97" s="39"/>
      <c r="D97" s="39"/>
      <c r="E97" s="39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customFormat="false" ht="15" hidden="false" customHeight="false" outlineLevel="0" collapsed="false">
      <c r="A98" s="39"/>
      <c r="B98" s="39"/>
      <c r="C98" s="39"/>
      <c r="D98" s="39"/>
      <c r="E98" s="39"/>
      <c r="F98" s="41"/>
      <c r="G98" s="41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</row>
    <row r="99" customFormat="false" ht="15" hidden="false" customHeight="false" outlineLevel="0" collapsed="false">
      <c r="A99" s="39"/>
      <c r="B99" s="39"/>
      <c r="C99" s="39"/>
      <c r="D99" s="39"/>
      <c r="E99" s="39"/>
      <c r="F99" s="41"/>
      <c r="G99" s="4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</row>
    <row r="100" customFormat="false" ht="15" hidden="false" customHeight="false" outlineLevel="0" collapsed="false">
      <c r="A100" s="39"/>
      <c r="B100" s="39"/>
      <c r="C100" s="39"/>
      <c r="D100" s="39"/>
      <c r="E100" s="39"/>
      <c r="F100" s="41"/>
      <c r="G100" s="41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</row>
    <row r="101" customFormat="false" ht="15" hidden="false" customHeight="false" outlineLevel="0" collapsed="false">
      <c r="A101" s="39"/>
      <c r="B101" s="39"/>
      <c r="C101" s="39"/>
      <c r="D101" s="39"/>
      <c r="E101" s="39"/>
      <c r="F101" s="41"/>
      <c r="G101" s="41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customFormat="false" ht="15" hidden="false" customHeight="false" outlineLevel="0" collapsed="false">
      <c r="A102" s="39"/>
      <c r="B102" s="39"/>
      <c r="C102" s="39"/>
      <c r="D102" s="39"/>
      <c r="E102" s="39"/>
      <c r="F102" s="41"/>
      <c r="G102" s="41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</row>
    <row r="103" customFormat="false" ht="15" hidden="false" customHeight="false" outlineLevel="0" collapsed="false">
      <c r="A103" s="39"/>
      <c r="B103" s="39"/>
      <c r="C103" s="39"/>
      <c r="D103" s="39"/>
      <c r="E103" s="39"/>
      <c r="F103" s="41"/>
      <c r="G103" s="41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</row>
    <row r="104" customFormat="false" ht="15" hidden="false" customHeight="false" outlineLevel="0" collapsed="false">
      <c r="A104" s="39"/>
      <c r="B104" s="39"/>
      <c r="C104" s="39"/>
      <c r="D104" s="39"/>
      <c r="E104" s="39"/>
      <c r="F104" s="41"/>
      <c r="G104" s="41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</row>
    <row r="105" customFormat="false" ht="15" hidden="false" customHeight="false" outlineLevel="0" collapsed="false">
      <c r="A105" s="39"/>
      <c r="B105" s="39"/>
      <c r="C105" s="39"/>
      <c r="D105" s="39"/>
      <c r="E105" s="39"/>
      <c r="F105" s="41"/>
      <c r="G105" s="41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customFormat="false" ht="15" hidden="false" customHeight="false" outlineLevel="0" collapsed="false">
      <c r="A106" s="39"/>
      <c r="B106" s="39"/>
      <c r="C106" s="39"/>
      <c r="D106" s="39"/>
      <c r="E106" s="39"/>
      <c r="F106" s="41"/>
      <c r="G106" s="41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</row>
    <row r="107" customFormat="false" ht="15" hidden="false" customHeight="false" outlineLevel="0" collapsed="false">
      <c r="A107" s="39"/>
      <c r="B107" s="39"/>
      <c r="C107" s="39"/>
      <c r="D107" s="39"/>
      <c r="E107" s="39"/>
      <c r="F107" s="41"/>
      <c r="G107" s="41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</row>
    <row r="108" customFormat="false" ht="15" hidden="false" customHeight="false" outlineLevel="0" collapsed="false">
      <c r="A108" s="39"/>
      <c r="B108" s="39"/>
      <c r="C108" s="39"/>
      <c r="D108" s="39"/>
      <c r="E108" s="39"/>
      <c r="F108" s="41"/>
      <c r="G108" s="41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</row>
    <row r="109" customFormat="false" ht="15" hidden="false" customHeight="false" outlineLevel="0" collapsed="false">
      <c r="A109" s="39"/>
      <c r="B109" s="39"/>
      <c r="C109" s="39"/>
      <c r="D109" s="39"/>
      <c r="E109" s="39"/>
      <c r="F109" s="41"/>
      <c r="G109" s="41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customFormat="false" ht="15" hidden="false" customHeight="false" outlineLevel="0" collapsed="false">
      <c r="A110" s="39"/>
      <c r="B110" s="39"/>
      <c r="C110" s="39"/>
      <c r="D110" s="39"/>
      <c r="E110" s="39"/>
      <c r="F110" s="41"/>
      <c r="G110" s="41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</row>
  </sheetData>
  <hyperlinks>
    <hyperlink ref="M1" location="Index!A1" display="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.57"/>
    <col collapsed="false" customWidth="true" hidden="false" outlineLevel="0" max="12" min="12" style="0" width="16.43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206</v>
      </c>
      <c r="C2" s="57" t="s">
        <v>204</v>
      </c>
      <c r="D2" s="59" t="n">
        <v>313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528</v>
      </c>
      <c r="B4" s="62" t="n">
        <v>1039</v>
      </c>
      <c r="C4" s="63" t="s">
        <v>2297</v>
      </c>
      <c r="D4" s="63" t="s">
        <v>227</v>
      </c>
      <c r="E4" s="63" t="s">
        <v>876</v>
      </c>
      <c r="F4" s="62"/>
      <c r="G4" s="62" t="s">
        <v>2298</v>
      </c>
      <c r="H4" s="62"/>
      <c r="I4" s="62"/>
      <c r="J4" s="62"/>
      <c r="K4" s="62"/>
      <c r="L4" s="62" t="s">
        <v>2299</v>
      </c>
    </row>
    <row r="5" customFormat="false" ht="33" hidden="false" customHeight="false" outlineLevel="0" collapsed="false">
      <c r="A5" s="62" t="s">
        <v>231</v>
      </c>
      <c r="B5" s="62"/>
      <c r="C5" s="63" t="s">
        <v>2300</v>
      </c>
      <c r="D5" s="63" t="s">
        <v>232</v>
      </c>
      <c r="E5" s="62"/>
      <c r="F5" s="62"/>
      <c r="G5" s="62" t="n">
        <v>4</v>
      </c>
      <c r="H5" s="62" t="s">
        <v>771</v>
      </c>
      <c r="I5" s="62"/>
      <c r="J5" s="62"/>
      <c r="K5" s="62"/>
      <c r="L5" s="62" t="s">
        <v>2301</v>
      </c>
    </row>
    <row r="6" customFormat="false" ht="33" hidden="false" customHeight="false" outlineLevel="0" collapsed="false">
      <c r="A6" s="62" t="n">
        <v>486</v>
      </c>
      <c r="B6" s="62"/>
      <c r="C6" s="62"/>
      <c r="D6" s="63" t="s">
        <v>236</v>
      </c>
      <c r="E6" s="62"/>
      <c r="F6" s="62"/>
      <c r="G6" s="62" t="n">
        <v>5</v>
      </c>
      <c r="H6" s="62" t="s">
        <v>1024</v>
      </c>
      <c r="I6" s="62"/>
      <c r="J6" s="62"/>
      <c r="K6" s="62"/>
      <c r="L6" s="62" t="s">
        <v>2302</v>
      </c>
    </row>
    <row r="7" customFormat="false" ht="33" hidden="false" customHeight="false" outlineLevel="0" collapsed="false">
      <c r="A7" s="62"/>
      <c r="B7" s="62"/>
      <c r="C7" s="62"/>
      <c r="D7" s="62" t="s">
        <v>1269</v>
      </c>
      <c r="E7" s="62"/>
      <c r="F7" s="62"/>
      <c r="G7" s="62" t="s">
        <v>267</v>
      </c>
      <c r="H7" s="62" t="s">
        <v>268</v>
      </c>
      <c r="I7" s="62"/>
      <c r="J7" s="62"/>
      <c r="K7" s="62"/>
      <c r="L7" s="62" t="s">
        <v>2303</v>
      </c>
    </row>
    <row r="8" customFormat="false" ht="17.25" hidden="false" customHeight="false" outlineLevel="0" collapsed="false">
      <c r="A8" s="62"/>
      <c r="B8" s="62"/>
      <c r="C8" s="62"/>
      <c r="D8" s="63" t="s">
        <v>2304</v>
      </c>
      <c r="E8" s="62"/>
      <c r="F8" s="62"/>
      <c r="G8" s="63" t="s">
        <v>320</v>
      </c>
      <c r="H8" s="62" t="s">
        <v>1831</v>
      </c>
      <c r="I8" s="62"/>
      <c r="J8" s="62"/>
      <c r="K8" s="62"/>
      <c r="L8" s="63" t="s">
        <v>2305</v>
      </c>
    </row>
    <row r="9" customFormat="false" ht="33" hidden="false" customHeight="false" outlineLevel="0" collapsed="false">
      <c r="A9" s="62"/>
      <c r="B9" s="62"/>
      <c r="C9" s="62"/>
      <c r="D9" s="63" t="s">
        <v>2306</v>
      </c>
      <c r="E9" s="62"/>
      <c r="F9" s="62"/>
      <c r="G9" s="63" t="s">
        <v>270</v>
      </c>
      <c r="H9" s="62"/>
      <c r="I9" s="62"/>
      <c r="J9" s="62"/>
      <c r="K9" s="62"/>
      <c r="L9" s="63" t="s">
        <v>2307</v>
      </c>
    </row>
    <row r="10" customFormat="false" ht="33" hidden="false" customHeight="false" outlineLevel="0" collapsed="false">
      <c r="A10" s="62"/>
      <c r="B10" s="62"/>
      <c r="C10" s="62"/>
      <c r="D10" s="63" t="s">
        <v>2308</v>
      </c>
      <c r="E10" s="62"/>
      <c r="F10" s="62"/>
      <c r="G10" s="62" t="s">
        <v>267</v>
      </c>
      <c r="H10" s="62"/>
      <c r="I10" s="62"/>
      <c r="J10" s="62"/>
      <c r="K10" s="62"/>
      <c r="L10" s="63" t="s">
        <v>2309</v>
      </c>
    </row>
    <row r="11" customFormat="false" ht="33" hidden="false" customHeight="false" outlineLevel="0" collapsed="false">
      <c r="A11" s="62"/>
      <c r="B11" s="62"/>
      <c r="C11" s="62"/>
      <c r="D11" s="63" t="s">
        <v>1301</v>
      </c>
      <c r="E11" s="62"/>
      <c r="F11" s="62"/>
      <c r="G11" s="62" t="s">
        <v>1831</v>
      </c>
      <c r="H11" s="62"/>
      <c r="I11" s="62"/>
      <c r="J11" s="62"/>
      <c r="K11" s="62"/>
      <c r="L11" s="63" t="s">
        <v>2310</v>
      </c>
    </row>
    <row r="12" customFormat="false" ht="33" hidden="false" customHeight="false" outlineLevel="0" collapsed="false">
      <c r="A12" s="62"/>
      <c r="B12" s="62"/>
      <c r="C12" s="62"/>
      <c r="D12" s="63" t="s">
        <v>244</v>
      </c>
      <c r="E12" s="62"/>
      <c r="F12" s="62"/>
      <c r="G12" s="62" t="s">
        <v>267</v>
      </c>
      <c r="H12" s="62"/>
      <c r="I12" s="62"/>
      <c r="J12" s="62"/>
      <c r="K12" s="62"/>
      <c r="L12" s="62" t="s">
        <v>2311</v>
      </c>
    </row>
    <row r="13" customFormat="false" ht="33" hidden="false" customHeight="false" outlineLevel="0" collapsed="false">
      <c r="A13" s="62"/>
      <c r="B13" s="62"/>
      <c r="C13" s="62"/>
      <c r="D13" s="62" t="s">
        <v>2312</v>
      </c>
      <c r="E13" s="62"/>
      <c r="F13" s="62"/>
      <c r="G13" s="62" t="s">
        <v>2313</v>
      </c>
      <c r="H13" s="62"/>
      <c r="I13" s="62"/>
      <c r="J13" s="62"/>
      <c r="K13" s="62"/>
      <c r="L13" s="62" t="s">
        <v>2314</v>
      </c>
    </row>
    <row r="14" customFormat="false" ht="33" hidden="false" customHeight="false" outlineLevel="0" collapsed="false">
      <c r="A14" s="62"/>
      <c r="B14" s="62"/>
      <c r="C14" s="62"/>
      <c r="D14" s="63" t="s">
        <v>2315</v>
      </c>
      <c r="E14" s="62"/>
      <c r="F14" s="62"/>
      <c r="G14" s="62"/>
      <c r="H14" s="62"/>
      <c r="I14" s="62"/>
      <c r="J14" s="62"/>
      <c r="K14" s="62"/>
      <c r="L14" s="63" t="s">
        <v>2316</v>
      </c>
    </row>
    <row r="15" customFormat="false" ht="17.25" hidden="false" customHeight="false" outlineLevel="0" collapsed="false">
      <c r="A15" s="62"/>
      <c r="B15" s="62"/>
      <c r="C15" s="62"/>
      <c r="D15" s="63" t="s">
        <v>2317</v>
      </c>
      <c r="E15" s="62"/>
      <c r="F15" s="62"/>
      <c r="G15" s="62"/>
      <c r="H15" s="62"/>
      <c r="I15" s="62"/>
      <c r="J15" s="62"/>
      <c r="K15" s="62"/>
      <c r="L15" s="63" t="s">
        <v>838</v>
      </c>
    </row>
    <row r="16" customFormat="false" ht="33" hidden="false" customHeight="false" outlineLevel="0" collapsed="false">
      <c r="A16" s="62"/>
      <c r="B16" s="62"/>
      <c r="C16" s="62"/>
      <c r="D16" s="63" t="s">
        <v>2318</v>
      </c>
      <c r="E16" s="62"/>
      <c r="F16" s="62"/>
      <c r="G16" s="62"/>
      <c r="H16" s="62"/>
      <c r="I16" s="62"/>
      <c r="J16" s="62"/>
      <c r="K16" s="62"/>
      <c r="L16" s="62" t="s">
        <v>2319</v>
      </c>
    </row>
    <row r="17" customFormat="false" ht="33" hidden="false" customHeight="false" outlineLevel="0" collapsed="false">
      <c r="A17" s="62"/>
      <c r="B17" s="62"/>
      <c r="C17" s="62"/>
      <c r="D17" s="63" t="s">
        <v>1259</v>
      </c>
      <c r="E17" s="62"/>
      <c r="F17" s="62"/>
      <c r="G17" s="62"/>
      <c r="H17" s="62"/>
      <c r="I17" s="62"/>
      <c r="J17" s="62"/>
      <c r="K17" s="62"/>
      <c r="L17" s="62" t="s">
        <v>2320</v>
      </c>
    </row>
    <row r="18" customFormat="false" ht="33" hidden="false" customHeight="false" outlineLevel="0" collapsed="false">
      <c r="A18" s="62"/>
      <c r="B18" s="62"/>
      <c r="C18" s="62"/>
      <c r="D18" s="63" t="s">
        <v>2321</v>
      </c>
      <c r="E18" s="62"/>
      <c r="F18" s="62"/>
      <c r="G18" s="62"/>
      <c r="H18" s="62"/>
      <c r="I18" s="62"/>
      <c r="J18" s="62"/>
      <c r="K18" s="62"/>
      <c r="L18" s="63" t="s">
        <v>2322</v>
      </c>
    </row>
    <row r="19" customFormat="false" ht="33" hidden="false" customHeight="false" outlineLevel="0" collapsed="false">
      <c r="A19" s="62"/>
      <c r="B19" s="62"/>
      <c r="C19" s="62"/>
      <c r="D19" s="63" t="s">
        <v>2323</v>
      </c>
      <c r="E19" s="62"/>
      <c r="F19" s="62"/>
      <c r="G19" s="62"/>
      <c r="H19" s="62"/>
      <c r="I19" s="62"/>
      <c r="J19" s="62"/>
      <c r="K19" s="62"/>
      <c r="L19" s="63" t="s">
        <v>2324</v>
      </c>
    </row>
    <row r="20" customFormat="false" ht="33" hidden="false" customHeight="false" outlineLevel="0" collapsed="false">
      <c r="A20" s="62"/>
      <c r="B20" s="62"/>
      <c r="C20" s="62"/>
      <c r="D20" s="63" t="s">
        <v>2325</v>
      </c>
      <c r="E20" s="62"/>
      <c r="F20" s="62"/>
      <c r="G20" s="62"/>
      <c r="H20" s="62"/>
      <c r="I20" s="62"/>
      <c r="J20" s="62"/>
      <c r="K20" s="62"/>
      <c r="L20" s="62" t="s">
        <v>2326</v>
      </c>
    </row>
    <row r="21" customFormat="false" ht="33" hidden="false" customHeight="false" outlineLevel="0" collapsed="false">
      <c r="A21" s="62"/>
      <c r="B21" s="62"/>
      <c r="C21" s="62"/>
      <c r="D21" s="63" t="s">
        <v>917</v>
      </c>
      <c r="E21" s="62"/>
      <c r="F21" s="62"/>
      <c r="G21" s="62"/>
      <c r="H21" s="62"/>
      <c r="I21" s="62"/>
      <c r="J21" s="62"/>
      <c r="K21" s="62"/>
      <c r="L21" s="63" t="s">
        <v>2327</v>
      </c>
    </row>
    <row r="22" customFormat="false" ht="33" hidden="false" customHeight="false" outlineLevel="0" collapsed="false">
      <c r="A22" s="62"/>
      <c r="B22" s="62"/>
      <c r="C22" s="62"/>
      <c r="D22" s="62" t="s">
        <v>2328</v>
      </c>
      <c r="E22" s="62"/>
      <c r="F22" s="62"/>
      <c r="G22" s="62"/>
      <c r="H22" s="62"/>
      <c r="I22" s="62"/>
      <c r="J22" s="62"/>
      <c r="K22" s="62"/>
      <c r="L22" s="62" t="s">
        <v>2329</v>
      </c>
    </row>
    <row r="23" customFormat="false" ht="17.25" hidden="false" customHeight="false" outlineLevel="0" collapsed="false">
      <c r="A23" s="62"/>
      <c r="B23" s="62"/>
      <c r="C23" s="62"/>
      <c r="D23" s="63" t="s">
        <v>2330</v>
      </c>
      <c r="E23" s="62"/>
      <c r="F23" s="62"/>
      <c r="G23" s="62"/>
      <c r="H23" s="62"/>
      <c r="I23" s="62"/>
      <c r="J23" s="62"/>
      <c r="K23" s="62"/>
      <c r="L23" s="62" t="s">
        <v>2331</v>
      </c>
    </row>
    <row r="24" customFormat="false" ht="33" hidden="false" customHeight="false" outlineLevel="0" collapsed="false">
      <c r="A24" s="62"/>
      <c r="B24" s="62"/>
      <c r="C24" s="62"/>
      <c r="D24" s="63" t="s">
        <v>2332</v>
      </c>
      <c r="E24" s="62"/>
      <c r="F24" s="62"/>
      <c r="G24" s="62"/>
      <c r="H24" s="62"/>
      <c r="I24" s="62"/>
      <c r="J24" s="62"/>
      <c r="K24" s="62"/>
      <c r="L24" s="63" t="s">
        <v>2333</v>
      </c>
    </row>
    <row r="25" customFormat="false" ht="48.75" hidden="false" customHeight="false" outlineLevel="0" collapsed="false">
      <c r="A25" s="62"/>
      <c r="B25" s="62"/>
      <c r="C25" s="62"/>
      <c r="D25" s="63" t="s">
        <v>2334</v>
      </c>
      <c r="E25" s="62"/>
      <c r="F25" s="62"/>
      <c r="G25" s="62"/>
      <c r="H25" s="62"/>
      <c r="I25" s="62"/>
      <c r="J25" s="62"/>
      <c r="K25" s="62"/>
      <c r="L25" s="63" t="s">
        <v>2335</v>
      </c>
    </row>
    <row r="26" customFormat="false" ht="33" hidden="false" customHeight="false" outlineLevel="0" collapsed="false">
      <c r="A26" s="62"/>
      <c r="B26" s="62"/>
      <c r="C26" s="62"/>
      <c r="D26" s="63" t="s">
        <v>2336</v>
      </c>
      <c r="E26" s="62"/>
      <c r="F26" s="62"/>
      <c r="G26" s="62"/>
      <c r="H26" s="62"/>
      <c r="I26" s="62"/>
      <c r="J26" s="62"/>
      <c r="K26" s="62"/>
      <c r="L26" s="63" t="s">
        <v>2337</v>
      </c>
    </row>
    <row r="27" customFormat="false" ht="33" hidden="false" customHeight="false" outlineLevel="0" collapsed="false">
      <c r="A27" s="62"/>
      <c r="B27" s="62"/>
      <c r="C27" s="62"/>
      <c r="D27" s="63" t="s">
        <v>2338</v>
      </c>
      <c r="E27" s="62"/>
      <c r="F27" s="62"/>
      <c r="G27" s="62"/>
      <c r="H27" s="62"/>
      <c r="I27" s="62"/>
      <c r="J27" s="62"/>
      <c r="K27" s="62"/>
      <c r="L27" s="62" t="s">
        <v>2339</v>
      </c>
    </row>
    <row r="28" customFormat="false" ht="33" hidden="false" customHeight="false" outlineLevel="0" collapsed="false">
      <c r="A28" s="62"/>
      <c r="B28" s="62"/>
      <c r="C28" s="62"/>
      <c r="D28" s="63" t="s">
        <v>2340</v>
      </c>
      <c r="E28" s="62"/>
      <c r="F28" s="62"/>
      <c r="G28" s="62"/>
      <c r="H28" s="62"/>
      <c r="I28" s="62"/>
      <c r="J28" s="62"/>
      <c r="K28" s="62"/>
      <c r="L28" s="62" t="s">
        <v>2341</v>
      </c>
    </row>
    <row r="29" customFormat="false" ht="33" hidden="false" customHeight="false" outlineLevel="0" collapsed="false">
      <c r="A29" s="62"/>
      <c r="B29" s="62"/>
      <c r="C29" s="62"/>
      <c r="D29" s="63" t="s">
        <v>917</v>
      </c>
      <c r="E29" s="62"/>
      <c r="F29" s="62"/>
      <c r="G29" s="62"/>
      <c r="H29" s="62"/>
      <c r="I29" s="62"/>
      <c r="J29" s="62"/>
      <c r="K29" s="62"/>
      <c r="L29" s="63" t="s">
        <v>2342</v>
      </c>
    </row>
    <row r="30" customFormat="false" ht="33" hidden="false" customHeight="false" outlineLevel="0" collapsed="false">
      <c r="A30" s="62"/>
      <c r="B30" s="62"/>
      <c r="C30" s="62"/>
      <c r="D30" s="62" t="s">
        <v>2343</v>
      </c>
      <c r="E30" s="62"/>
      <c r="F30" s="62"/>
      <c r="G30" s="62"/>
      <c r="H30" s="62"/>
      <c r="I30" s="62"/>
      <c r="J30" s="62"/>
      <c r="K30" s="62"/>
      <c r="L30" s="63" t="s">
        <v>2344</v>
      </c>
    </row>
    <row r="31" customFormat="false" ht="33" hidden="false" customHeight="false" outlineLevel="0" collapsed="false">
      <c r="A31" s="62"/>
      <c r="B31" s="62"/>
      <c r="C31" s="62"/>
      <c r="D31" s="63" t="s">
        <v>2345</v>
      </c>
      <c r="E31" s="62"/>
      <c r="F31" s="62"/>
      <c r="G31" s="62"/>
      <c r="H31" s="62"/>
      <c r="I31" s="62"/>
      <c r="J31" s="62"/>
      <c r="K31" s="62"/>
      <c r="L31" s="63" t="s">
        <v>2346</v>
      </c>
    </row>
    <row r="32" customFormat="false" ht="33" hidden="false" customHeight="false" outlineLevel="0" collapsed="false">
      <c r="A32" s="62"/>
      <c r="B32" s="62"/>
      <c r="C32" s="62"/>
      <c r="D32" s="63" t="s">
        <v>2347</v>
      </c>
      <c r="E32" s="62"/>
      <c r="F32" s="62"/>
      <c r="G32" s="62"/>
      <c r="H32" s="62"/>
      <c r="I32" s="62"/>
      <c r="J32" s="62"/>
      <c r="K32" s="62"/>
      <c r="L32" s="63" t="s">
        <v>2348</v>
      </c>
    </row>
    <row r="33" customFormat="false" ht="33" hidden="false" customHeight="false" outlineLevel="0" collapsed="false">
      <c r="A33" s="62"/>
      <c r="B33" s="62"/>
      <c r="C33" s="62"/>
      <c r="D33" s="63" t="s">
        <v>2349</v>
      </c>
      <c r="E33" s="62"/>
      <c r="F33" s="62"/>
      <c r="G33" s="62"/>
      <c r="H33" s="62"/>
      <c r="I33" s="62"/>
      <c r="J33" s="62"/>
      <c r="K33" s="62"/>
      <c r="L33" s="63" t="s">
        <v>2350</v>
      </c>
    </row>
    <row r="34" customFormat="false" ht="17.25" hidden="false" customHeight="false" outlineLevel="0" collapsed="false">
      <c r="A34" s="62"/>
      <c r="B34" s="62"/>
      <c r="C34" s="62"/>
      <c r="D34" s="62" t="s">
        <v>2351</v>
      </c>
      <c r="E34" s="62"/>
      <c r="F34" s="62"/>
      <c r="G34" s="62"/>
      <c r="H34" s="62"/>
      <c r="I34" s="62"/>
      <c r="J34" s="62"/>
      <c r="K34" s="62"/>
      <c r="L34" s="63" t="s">
        <v>2352</v>
      </c>
    </row>
    <row r="35" customFormat="false" ht="33" hidden="false" customHeight="false" outlineLevel="0" collapsed="false">
      <c r="A35" s="62"/>
      <c r="B35" s="62"/>
      <c r="C35" s="62"/>
      <c r="D35" s="63" t="s">
        <v>2353</v>
      </c>
      <c r="E35" s="62"/>
      <c r="F35" s="62"/>
      <c r="G35" s="62"/>
      <c r="H35" s="62"/>
      <c r="I35" s="62"/>
      <c r="J35" s="62"/>
      <c r="K35" s="62"/>
      <c r="L35" s="63" t="s">
        <v>2354</v>
      </c>
    </row>
    <row r="36" customFormat="false" ht="33" hidden="false" customHeight="false" outlineLevel="0" collapsed="false">
      <c r="A36" s="62"/>
      <c r="B36" s="62"/>
      <c r="C36" s="62"/>
      <c r="D36" s="63" t="s">
        <v>2355</v>
      </c>
      <c r="E36" s="62"/>
      <c r="F36" s="62"/>
      <c r="G36" s="62"/>
      <c r="H36" s="62"/>
      <c r="I36" s="62"/>
      <c r="J36" s="62"/>
      <c r="K36" s="62"/>
      <c r="L36" s="63" t="s">
        <v>2356</v>
      </c>
    </row>
    <row r="37" customFormat="false" ht="33" hidden="false" customHeight="false" outlineLevel="0" collapsed="false">
      <c r="A37" s="62"/>
      <c r="B37" s="62"/>
      <c r="C37" s="62"/>
      <c r="D37" s="63" t="s">
        <v>2347</v>
      </c>
      <c r="E37" s="62"/>
      <c r="F37" s="62"/>
      <c r="G37" s="62"/>
      <c r="H37" s="62"/>
      <c r="I37" s="62"/>
      <c r="J37" s="62"/>
      <c r="K37" s="62"/>
      <c r="L37" s="63" t="s">
        <v>838</v>
      </c>
    </row>
    <row r="38" customFormat="false" ht="17.25" hidden="false" customHeight="false" outlineLevel="0" collapsed="false">
      <c r="A38" s="62"/>
      <c r="B38" s="62"/>
      <c r="C38" s="62"/>
      <c r="D38" s="63" t="s">
        <v>2349</v>
      </c>
      <c r="E38" s="62"/>
      <c r="F38" s="62"/>
      <c r="G38" s="62"/>
      <c r="H38" s="62"/>
      <c r="I38" s="62"/>
      <c r="J38" s="62"/>
      <c r="K38" s="62"/>
      <c r="L38" s="62"/>
    </row>
    <row r="39" customFormat="false" ht="33" hidden="false" customHeight="false" outlineLevel="0" collapsed="false">
      <c r="A39" s="62"/>
      <c r="B39" s="62"/>
      <c r="C39" s="62"/>
      <c r="D39" s="63" t="s">
        <v>244</v>
      </c>
      <c r="E39" s="62"/>
      <c r="F39" s="62"/>
      <c r="G39" s="62"/>
      <c r="H39" s="62"/>
      <c r="I39" s="62"/>
      <c r="J39" s="62"/>
      <c r="K39" s="62"/>
      <c r="L39" s="62"/>
    </row>
    <row r="40" customFormat="false" ht="17.25" hidden="false" customHeight="false" outlineLevel="0" collapsed="false">
      <c r="A40" s="62"/>
      <c r="B40" s="62"/>
      <c r="C40" s="62"/>
      <c r="D40" s="62" t="s">
        <v>2357</v>
      </c>
      <c r="E40" s="62"/>
      <c r="F40" s="62"/>
      <c r="G40" s="62"/>
      <c r="H40" s="62"/>
      <c r="I40" s="62"/>
      <c r="J40" s="62"/>
      <c r="K40" s="62"/>
      <c r="L40" s="62"/>
    </row>
    <row r="41" customFormat="false" ht="17.25" hidden="false" customHeight="false" outlineLevel="0" collapsed="false">
      <c r="A41" s="62"/>
      <c r="B41" s="62"/>
      <c r="C41" s="62"/>
      <c r="D41" s="63" t="s">
        <v>2358</v>
      </c>
      <c r="E41" s="62"/>
      <c r="F41" s="62"/>
      <c r="G41" s="62"/>
      <c r="H41" s="62"/>
      <c r="I41" s="62"/>
      <c r="J41" s="62"/>
      <c r="K41" s="62"/>
      <c r="L41" s="62"/>
    </row>
    <row r="42" customFormat="false" ht="17.25" hidden="false" customHeight="false" outlineLevel="0" collapsed="false">
      <c r="A42" s="62"/>
      <c r="B42" s="62"/>
      <c r="C42" s="62"/>
      <c r="D42" s="63" t="s">
        <v>2359</v>
      </c>
      <c r="E42" s="62"/>
      <c r="F42" s="62"/>
      <c r="G42" s="62"/>
      <c r="H42" s="62"/>
      <c r="I42" s="62"/>
      <c r="J42" s="62"/>
      <c r="K42" s="62"/>
      <c r="L42" s="62"/>
    </row>
    <row r="43" customFormat="false" ht="17.25" hidden="false" customHeight="false" outlineLevel="0" collapsed="false">
      <c r="A43" s="62"/>
      <c r="B43" s="62"/>
      <c r="C43" s="62"/>
      <c r="D43" s="63" t="s">
        <v>2360</v>
      </c>
      <c r="E43" s="62"/>
      <c r="F43" s="62"/>
      <c r="G43" s="62"/>
      <c r="H43" s="62"/>
      <c r="I43" s="62"/>
      <c r="J43" s="62"/>
      <c r="K43" s="62"/>
      <c r="L43" s="62"/>
    </row>
    <row r="44" customFormat="false" ht="17.25" hidden="false" customHeight="false" outlineLevel="0" collapsed="false">
      <c r="A44" s="62"/>
      <c r="B44" s="62"/>
      <c r="C44" s="62"/>
      <c r="D44" s="62" t="s">
        <v>2361</v>
      </c>
      <c r="E44" s="62"/>
      <c r="F44" s="62"/>
      <c r="G44" s="62"/>
      <c r="H44" s="62"/>
      <c r="I44" s="62"/>
      <c r="J44" s="62"/>
      <c r="K44" s="62"/>
      <c r="L44" s="62"/>
    </row>
    <row r="45" customFormat="false" ht="33" hidden="false" customHeight="false" outlineLevel="0" collapsed="false">
      <c r="A45" s="62"/>
      <c r="B45" s="62"/>
      <c r="C45" s="62"/>
      <c r="D45" s="63" t="s">
        <v>836</v>
      </c>
      <c r="E45" s="62"/>
      <c r="F45" s="62"/>
      <c r="G45" s="62"/>
      <c r="H45" s="62"/>
      <c r="I45" s="62"/>
      <c r="J45" s="62"/>
      <c r="K45" s="62"/>
      <c r="L45" s="62"/>
    </row>
    <row r="46" customFormat="false" ht="33" hidden="false" customHeight="false" outlineLevel="0" collapsed="false">
      <c r="A46" s="62"/>
      <c r="B46" s="62"/>
      <c r="C46" s="62"/>
      <c r="D46" s="63" t="s">
        <v>837</v>
      </c>
      <c r="E46" s="62"/>
      <c r="F46" s="62"/>
      <c r="G46" s="62"/>
      <c r="H46" s="62"/>
      <c r="I46" s="62"/>
      <c r="J46" s="62"/>
      <c r="K46" s="62"/>
      <c r="L46" s="62"/>
    </row>
    <row r="47" customFormat="false" ht="17.25" hidden="false" customHeight="false" outlineLevel="0" collapsed="false">
      <c r="A47" s="62"/>
      <c r="B47" s="62"/>
      <c r="C47" s="62"/>
      <c r="D47" s="63" t="s">
        <v>839</v>
      </c>
      <c r="E47" s="62"/>
      <c r="F47" s="62"/>
      <c r="G47" s="62"/>
      <c r="H47" s="62"/>
      <c r="I47" s="62"/>
      <c r="J47" s="62"/>
      <c r="K47" s="62"/>
      <c r="L47" s="62"/>
    </row>
    <row r="48" customFormat="false" ht="17.25" hidden="false" customHeight="false" outlineLevel="0" collapsed="false">
      <c r="A48" s="62"/>
      <c r="B48" s="62"/>
      <c r="C48" s="62"/>
      <c r="D48" s="62" t="s">
        <v>2362</v>
      </c>
      <c r="E48" s="62"/>
      <c r="F48" s="62"/>
      <c r="G48" s="62"/>
      <c r="H48" s="62"/>
      <c r="I48" s="62"/>
      <c r="J48" s="62"/>
      <c r="K48" s="62"/>
      <c r="L48" s="62"/>
    </row>
    <row r="49" customFormat="false" ht="33" hidden="false" customHeight="false" outlineLevel="0" collapsed="false">
      <c r="A49" s="62"/>
      <c r="B49" s="62"/>
      <c r="C49" s="62"/>
      <c r="D49" s="63" t="s">
        <v>2363</v>
      </c>
      <c r="E49" s="62"/>
      <c r="F49" s="62"/>
      <c r="G49" s="62"/>
      <c r="H49" s="62"/>
      <c r="I49" s="62"/>
      <c r="J49" s="62"/>
      <c r="K49" s="62"/>
      <c r="L49" s="62"/>
    </row>
    <row r="50" customFormat="false" ht="33" hidden="false" customHeight="false" outlineLevel="0" collapsed="false">
      <c r="A50" s="62"/>
      <c r="B50" s="62"/>
      <c r="C50" s="62"/>
      <c r="D50" s="63" t="s">
        <v>2364</v>
      </c>
      <c r="E50" s="62"/>
      <c r="F50" s="62"/>
      <c r="G50" s="62"/>
      <c r="H50" s="62"/>
      <c r="I50" s="62"/>
      <c r="J50" s="62"/>
      <c r="K50" s="62"/>
      <c r="L50" s="62"/>
    </row>
    <row r="51" customFormat="false" ht="17.25" hidden="false" customHeight="false" outlineLevel="0" collapsed="false">
      <c r="A51" s="62"/>
      <c r="B51" s="62"/>
      <c r="C51" s="62"/>
      <c r="D51" s="63" t="s">
        <v>2365</v>
      </c>
      <c r="E51" s="62"/>
      <c r="F51" s="62"/>
      <c r="G51" s="62"/>
      <c r="H51" s="62"/>
      <c r="I51" s="62"/>
      <c r="J51" s="62"/>
      <c r="K51" s="62"/>
      <c r="L51" s="62"/>
    </row>
    <row r="52" customFormat="false" ht="17.25" hidden="false" customHeight="false" outlineLevel="0" collapsed="false">
      <c r="A52" s="62"/>
      <c r="B52" s="62"/>
      <c r="C52" s="62"/>
      <c r="D52" s="62" t="s">
        <v>2366</v>
      </c>
      <c r="E52" s="62"/>
      <c r="F52" s="62"/>
      <c r="G52" s="62"/>
      <c r="H52" s="62"/>
      <c r="I52" s="62"/>
      <c r="J52" s="62"/>
      <c r="K52" s="62"/>
      <c r="L52" s="62"/>
    </row>
    <row r="53" customFormat="false" ht="33" hidden="false" customHeight="false" outlineLevel="0" collapsed="false">
      <c r="A53" s="62"/>
      <c r="B53" s="62"/>
      <c r="C53" s="62"/>
      <c r="D53" s="63" t="s">
        <v>2367</v>
      </c>
      <c r="E53" s="62"/>
      <c r="F53" s="62"/>
      <c r="G53" s="62"/>
      <c r="H53" s="62"/>
      <c r="I53" s="62"/>
      <c r="J53" s="62"/>
      <c r="K53" s="62"/>
      <c r="L53" s="62"/>
    </row>
    <row r="54" customFormat="false" ht="33" hidden="false" customHeight="false" outlineLevel="0" collapsed="false">
      <c r="A54" s="62"/>
      <c r="B54" s="62"/>
      <c r="C54" s="62"/>
      <c r="D54" s="63" t="s">
        <v>2368</v>
      </c>
      <c r="E54" s="62"/>
      <c r="F54" s="62"/>
      <c r="G54" s="62"/>
      <c r="H54" s="62"/>
      <c r="I54" s="62"/>
      <c r="J54" s="62"/>
      <c r="K54" s="62"/>
      <c r="L54" s="62"/>
    </row>
    <row r="55" customFormat="false" ht="17.25" hidden="false" customHeight="false" outlineLevel="0" collapsed="false">
      <c r="A55" s="62"/>
      <c r="B55" s="62"/>
      <c r="C55" s="62"/>
      <c r="D55" s="63" t="s">
        <v>2369</v>
      </c>
      <c r="E55" s="62"/>
      <c r="F55" s="62"/>
      <c r="G55" s="62"/>
      <c r="H55" s="62"/>
      <c r="I55" s="62"/>
      <c r="J55" s="62"/>
      <c r="K55" s="62"/>
      <c r="L55" s="62"/>
    </row>
    <row r="56" customFormat="false" ht="17.25" hidden="false" customHeight="false" outlineLevel="0" collapsed="false">
      <c r="A56" s="62"/>
      <c r="B56" s="62"/>
      <c r="C56" s="62"/>
      <c r="D56" s="62" t="s">
        <v>2366</v>
      </c>
      <c r="E56" s="62"/>
      <c r="F56" s="62"/>
      <c r="G56" s="62"/>
      <c r="H56" s="62"/>
      <c r="I56" s="62"/>
      <c r="J56" s="62"/>
      <c r="K56" s="62"/>
      <c r="L56" s="62"/>
    </row>
    <row r="57" customFormat="false" ht="33" hidden="false" customHeight="false" outlineLevel="0" collapsed="false">
      <c r="A57" s="62"/>
      <c r="B57" s="62"/>
      <c r="C57" s="62"/>
      <c r="D57" s="63" t="s">
        <v>2370</v>
      </c>
      <c r="E57" s="62"/>
      <c r="F57" s="62"/>
      <c r="G57" s="62"/>
      <c r="H57" s="62"/>
      <c r="I57" s="62"/>
      <c r="J57" s="62"/>
      <c r="K57" s="62"/>
      <c r="L57" s="62"/>
    </row>
    <row r="58" customFormat="false" ht="33" hidden="false" customHeight="false" outlineLevel="0" collapsed="false">
      <c r="A58" s="62"/>
      <c r="B58" s="62"/>
      <c r="C58" s="62"/>
      <c r="D58" s="63" t="s">
        <v>2371</v>
      </c>
      <c r="E58" s="62"/>
      <c r="F58" s="62"/>
      <c r="G58" s="62"/>
      <c r="H58" s="62"/>
      <c r="I58" s="62"/>
      <c r="J58" s="62"/>
      <c r="K58" s="62"/>
      <c r="L58" s="62"/>
    </row>
    <row r="59" customFormat="false" ht="17.25" hidden="false" customHeight="false" outlineLevel="0" collapsed="false">
      <c r="A59" s="62"/>
      <c r="B59" s="62"/>
      <c r="C59" s="62"/>
      <c r="D59" s="63" t="s">
        <v>2372</v>
      </c>
      <c r="E59" s="62"/>
      <c r="F59" s="62"/>
      <c r="G59" s="62"/>
      <c r="H59" s="62"/>
      <c r="I59" s="62"/>
      <c r="J59" s="62"/>
      <c r="K59" s="62"/>
      <c r="L59" s="62"/>
    </row>
    <row r="60" customFormat="false" ht="17.25" hidden="false" customHeight="false" outlineLevel="0" collapsed="false">
      <c r="A60" s="62"/>
      <c r="B60" s="62"/>
      <c r="C60" s="62"/>
      <c r="D60" s="62" t="s">
        <v>2366</v>
      </c>
      <c r="E60" s="62"/>
      <c r="F60" s="62"/>
      <c r="G60" s="62"/>
      <c r="H60" s="62"/>
      <c r="I60" s="62"/>
      <c r="J60" s="62"/>
      <c r="K60" s="62"/>
      <c r="L60" s="62"/>
    </row>
    <row r="61" customFormat="false" ht="17.25" hidden="false" customHeight="false" outlineLevel="0" collapsed="false">
      <c r="A61" s="62"/>
      <c r="B61" s="62"/>
      <c r="C61" s="62"/>
      <c r="D61" s="63" t="s">
        <v>2373</v>
      </c>
      <c r="E61" s="62"/>
      <c r="F61" s="62"/>
      <c r="G61" s="62"/>
      <c r="H61" s="62"/>
      <c r="I61" s="62"/>
      <c r="J61" s="62"/>
      <c r="K61" s="62"/>
      <c r="L61" s="62"/>
    </row>
    <row r="62" customFormat="false" ht="17.25" hidden="false" customHeight="false" outlineLevel="0" collapsed="false">
      <c r="A62" s="62"/>
      <c r="B62" s="62"/>
      <c r="C62" s="62"/>
      <c r="D62" s="63" t="s">
        <v>2359</v>
      </c>
      <c r="E62" s="62"/>
      <c r="F62" s="62"/>
      <c r="G62" s="62"/>
      <c r="H62" s="62"/>
      <c r="I62" s="62"/>
      <c r="J62" s="62"/>
      <c r="K62" s="62"/>
      <c r="L62" s="62"/>
    </row>
    <row r="63" customFormat="false" ht="17.25" hidden="false" customHeight="false" outlineLevel="0" collapsed="false">
      <c r="A63" s="62"/>
      <c r="B63" s="62"/>
      <c r="C63" s="62"/>
      <c r="D63" s="63" t="s">
        <v>2360</v>
      </c>
      <c r="E63" s="62"/>
      <c r="F63" s="62"/>
      <c r="G63" s="62"/>
      <c r="H63" s="62"/>
      <c r="I63" s="62"/>
      <c r="J63" s="62"/>
      <c r="K63" s="62"/>
      <c r="L63" s="62"/>
    </row>
    <row r="64" customFormat="false" ht="17.25" hidden="false" customHeight="false" outlineLevel="0" collapsed="false">
      <c r="A64" s="62"/>
      <c r="B64" s="62"/>
      <c r="C64" s="62"/>
      <c r="D64" s="63" t="s">
        <v>286</v>
      </c>
      <c r="E64" s="62"/>
      <c r="F64" s="62"/>
      <c r="G64" s="62"/>
      <c r="H64" s="62"/>
      <c r="I64" s="62"/>
      <c r="J64" s="62"/>
      <c r="K64" s="62"/>
      <c r="L64" s="62"/>
    </row>
    <row r="65" customFormat="false" ht="17.25" hidden="false" customHeight="false" outlineLevel="0" collapsed="false">
      <c r="A65" s="62"/>
      <c r="B65" s="62"/>
      <c r="C65" s="62"/>
      <c r="D65" s="62" t="s">
        <v>2374</v>
      </c>
      <c r="E65" s="62"/>
      <c r="F65" s="62"/>
      <c r="G65" s="62"/>
      <c r="H65" s="62"/>
      <c r="I65" s="62"/>
      <c r="J65" s="62"/>
      <c r="K65" s="62"/>
      <c r="L65" s="62"/>
    </row>
    <row r="66" customFormat="false" ht="33" hidden="false" customHeight="false" outlineLevel="0" collapsed="false">
      <c r="A66" s="62"/>
      <c r="B66" s="62"/>
      <c r="C66" s="62"/>
      <c r="D66" s="63" t="s">
        <v>309</v>
      </c>
      <c r="E66" s="62"/>
      <c r="F66" s="62"/>
      <c r="G66" s="62"/>
      <c r="H66" s="62"/>
      <c r="I66" s="62"/>
      <c r="J66" s="62"/>
      <c r="K66" s="62"/>
      <c r="L66" s="62"/>
    </row>
    <row r="67" customFormat="false" ht="17.25" hidden="false" customHeight="false" outlineLevel="0" collapsed="false">
      <c r="A67" s="62"/>
      <c r="B67" s="62"/>
      <c r="C67" s="62"/>
      <c r="D67" s="62" t="s">
        <v>2361</v>
      </c>
      <c r="E67" s="62"/>
      <c r="F67" s="62"/>
      <c r="G67" s="62"/>
      <c r="H67" s="62"/>
      <c r="I67" s="62"/>
      <c r="J67" s="62"/>
      <c r="K67" s="62"/>
      <c r="L67" s="62"/>
    </row>
    <row r="68" customFormat="false" ht="17.25" hidden="false" customHeight="false" outlineLevel="0" collapsed="false">
      <c r="A68" s="62"/>
      <c r="B68" s="62"/>
      <c r="C68" s="62"/>
      <c r="D68" s="63" t="s">
        <v>2375</v>
      </c>
      <c r="E68" s="62"/>
      <c r="F68" s="62"/>
      <c r="G68" s="62"/>
      <c r="H68" s="62"/>
      <c r="I68" s="62"/>
      <c r="J68" s="62"/>
      <c r="K68" s="62"/>
      <c r="L68" s="62"/>
    </row>
    <row r="69" customFormat="false" ht="33" hidden="false" customHeight="false" outlineLevel="0" collapsed="false">
      <c r="A69" s="62"/>
      <c r="B69" s="62"/>
      <c r="C69" s="62"/>
      <c r="D69" s="63" t="s">
        <v>2376</v>
      </c>
      <c r="E69" s="62"/>
      <c r="F69" s="62"/>
      <c r="G69" s="62"/>
      <c r="H69" s="62"/>
      <c r="I69" s="62"/>
      <c r="J69" s="62"/>
      <c r="K69" s="62"/>
      <c r="L69" s="62"/>
    </row>
    <row r="70" customFormat="false" ht="17.25" hidden="false" customHeight="false" outlineLevel="0" collapsed="false">
      <c r="A70" s="62"/>
      <c r="B70" s="62"/>
      <c r="C70" s="62"/>
      <c r="D70" s="63" t="s">
        <v>2359</v>
      </c>
      <c r="E70" s="62"/>
      <c r="F70" s="62"/>
      <c r="G70" s="62"/>
      <c r="H70" s="62"/>
      <c r="I70" s="62"/>
      <c r="J70" s="62"/>
      <c r="K70" s="62"/>
      <c r="L70" s="62"/>
    </row>
    <row r="71" customFormat="false" ht="17.25" hidden="false" customHeight="false" outlineLevel="0" collapsed="false">
      <c r="A71" s="62"/>
      <c r="B71" s="62"/>
      <c r="C71" s="62"/>
      <c r="D71" s="63" t="s">
        <v>2360</v>
      </c>
      <c r="E71" s="62"/>
      <c r="F71" s="62"/>
      <c r="G71" s="62"/>
      <c r="H71" s="62"/>
      <c r="I71" s="62"/>
      <c r="J71" s="62"/>
      <c r="K71" s="62"/>
      <c r="L71" s="62"/>
    </row>
    <row r="72" customFormat="false" ht="33" hidden="false" customHeight="false" outlineLevel="0" collapsed="false">
      <c r="A72" s="62"/>
      <c r="B72" s="62"/>
      <c r="C72" s="62"/>
      <c r="D72" s="63" t="s">
        <v>244</v>
      </c>
      <c r="E72" s="62"/>
      <c r="F72" s="62"/>
      <c r="G72" s="62"/>
      <c r="H72" s="62"/>
      <c r="I72" s="62"/>
      <c r="J72" s="62"/>
      <c r="K72" s="62"/>
      <c r="L72" s="62"/>
    </row>
    <row r="73" customFormat="false" ht="17.25" hidden="false" customHeight="false" outlineLevel="0" collapsed="false">
      <c r="A73" s="62"/>
      <c r="B73" s="62"/>
      <c r="C73" s="62"/>
      <c r="D73" s="63" t="s">
        <v>286</v>
      </c>
      <c r="E73" s="62"/>
      <c r="F73" s="62"/>
      <c r="G73" s="62"/>
      <c r="H73" s="62"/>
      <c r="I73" s="62"/>
      <c r="J73" s="62"/>
      <c r="K73" s="62"/>
      <c r="L73" s="62"/>
    </row>
    <row r="74" customFormat="false" ht="17.25" hidden="false" customHeight="false" outlineLevel="0" collapsed="false">
      <c r="A74" s="62"/>
      <c r="B74" s="62"/>
      <c r="C74" s="62"/>
      <c r="D74" s="62" t="s">
        <v>2377</v>
      </c>
      <c r="E74" s="62"/>
      <c r="F74" s="62"/>
      <c r="G74" s="62"/>
      <c r="H74" s="62"/>
      <c r="I74" s="62"/>
      <c r="J74" s="62"/>
      <c r="K74" s="62"/>
      <c r="L74" s="62"/>
    </row>
    <row r="75" customFormat="false" ht="33" hidden="false" customHeight="false" outlineLevel="0" collapsed="false">
      <c r="A75" s="62"/>
      <c r="B75" s="62"/>
      <c r="C75" s="62"/>
      <c r="D75" s="63" t="s">
        <v>2368</v>
      </c>
      <c r="E75" s="62"/>
      <c r="F75" s="62"/>
      <c r="G75" s="62"/>
      <c r="H75" s="62"/>
      <c r="I75" s="62"/>
      <c r="J75" s="62"/>
      <c r="K75" s="62"/>
      <c r="L75" s="62"/>
    </row>
    <row r="76" customFormat="false" ht="17.25" hidden="false" customHeight="false" outlineLevel="0" collapsed="false">
      <c r="A76" s="62"/>
      <c r="B76" s="62"/>
      <c r="C76" s="62"/>
      <c r="D76" s="63" t="s">
        <v>2359</v>
      </c>
      <c r="E76" s="62"/>
      <c r="F76" s="62"/>
      <c r="G76" s="62"/>
      <c r="H76" s="62"/>
      <c r="I76" s="62"/>
      <c r="J76" s="62"/>
      <c r="K76" s="62"/>
      <c r="L76" s="62"/>
    </row>
    <row r="77" customFormat="false" ht="17.25" hidden="false" customHeight="false" outlineLevel="0" collapsed="false">
      <c r="A77" s="62"/>
      <c r="B77" s="62"/>
      <c r="C77" s="62"/>
      <c r="D77" s="63" t="s">
        <v>2360</v>
      </c>
      <c r="E77" s="62"/>
      <c r="F77" s="62"/>
      <c r="G77" s="62"/>
      <c r="H77" s="62"/>
      <c r="I77" s="62"/>
      <c r="J77" s="62"/>
      <c r="K77" s="62"/>
      <c r="L77" s="62"/>
    </row>
    <row r="78" customFormat="false" ht="17.25" hidden="false" customHeight="false" outlineLevel="0" collapsed="false">
      <c r="A78" s="62"/>
      <c r="B78" s="62"/>
      <c r="C78" s="62"/>
      <c r="D78" s="63" t="s">
        <v>286</v>
      </c>
      <c r="E78" s="62"/>
      <c r="F78" s="62"/>
      <c r="G78" s="62"/>
      <c r="H78" s="62"/>
      <c r="I78" s="62"/>
      <c r="J78" s="62"/>
      <c r="K78" s="62"/>
      <c r="L78" s="62"/>
    </row>
    <row r="79" customFormat="false" ht="17.25" hidden="false" customHeight="false" outlineLevel="0" collapsed="false">
      <c r="A79" s="62"/>
      <c r="B79" s="62"/>
      <c r="C79" s="62"/>
      <c r="D79" s="62" t="s">
        <v>2361</v>
      </c>
      <c r="E79" s="62"/>
      <c r="F79" s="62"/>
      <c r="G79" s="62"/>
      <c r="H79" s="62"/>
      <c r="I79" s="62"/>
      <c r="J79" s="62"/>
      <c r="K79" s="62"/>
      <c r="L79" s="62"/>
    </row>
    <row r="80" customFormat="false" ht="33" hidden="false" customHeight="false" outlineLevel="0" collapsed="false">
      <c r="A80" s="62"/>
      <c r="B80" s="62"/>
      <c r="C80" s="62"/>
      <c r="D80" s="63" t="s">
        <v>2378</v>
      </c>
      <c r="E80" s="62"/>
      <c r="F80" s="62"/>
      <c r="G80" s="62"/>
      <c r="H80" s="62"/>
      <c r="I80" s="62"/>
      <c r="J80" s="62"/>
      <c r="K80" s="62"/>
      <c r="L80" s="62"/>
    </row>
    <row r="81" customFormat="false" ht="17.25" hidden="false" customHeight="false" outlineLevel="0" collapsed="false">
      <c r="A81" s="62"/>
      <c r="B81" s="62"/>
      <c r="C81" s="62"/>
      <c r="D81" s="63" t="s">
        <v>2379</v>
      </c>
      <c r="E81" s="62"/>
      <c r="F81" s="62"/>
      <c r="G81" s="62"/>
      <c r="H81" s="62"/>
      <c r="I81" s="62"/>
      <c r="J81" s="62"/>
      <c r="K81" s="62"/>
      <c r="L81" s="62"/>
    </row>
    <row r="82" customFormat="false" ht="17.25" hidden="false" customHeight="false" outlineLevel="0" collapsed="false">
      <c r="A82" s="62"/>
      <c r="B82" s="62"/>
      <c r="C82" s="62"/>
      <c r="D82" s="63" t="s">
        <v>2380</v>
      </c>
      <c r="E82" s="62"/>
      <c r="F82" s="62"/>
      <c r="G82" s="62"/>
      <c r="H82" s="62"/>
      <c r="I82" s="62"/>
      <c r="J82" s="62"/>
      <c r="K82" s="62"/>
      <c r="L82" s="62"/>
    </row>
    <row r="83" customFormat="false" ht="17.25" hidden="false" customHeight="false" outlineLevel="0" collapsed="false">
      <c r="A83" s="62"/>
      <c r="B83" s="62"/>
      <c r="C83" s="62"/>
      <c r="D83" s="63" t="s">
        <v>286</v>
      </c>
      <c r="E83" s="62"/>
      <c r="F83" s="62"/>
      <c r="G83" s="62"/>
      <c r="H83" s="62"/>
      <c r="I83" s="62"/>
      <c r="J83" s="62"/>
      <c r="K83" s="62"/>
      <c r="L83" s="62"/>
    </row>
    <row r="84" customFormat="false" ht="17.25" hidden="false" customHeight="false" outlineLevel="0" collapsed="false">
      <c r="A84" s="62"/>
      <c r="B84" s="62"/>
      <c r="C84" s="62"/>
      <c r="D84" s="62" t="s">
        <v>2381</v>
      </c>
      <c r="E84" s="62"/>
      <c r="F84" s="62"/>
      <c r="G84" s="62"/>
      <c r="H84" s="62"/>
      <c r="I84" s="62"/>
      <c r="J84" s="62"/>
      <c r="K84" s="62"/>
      <c r="L84" s="62"/>
    </row>
    <row r="85" customFormat="false" ht="33" hidden="false" customHeight="false" outlineLevel="0" collapsed="false">
      <c r="A85" s="62"/>
      <c r="B85" s="62"/>
      <c r="C85" s="62"/>
      <c r="D85" s="63" t="s">
        <v>309</v>
      </c>
      <c r="E85" s="62"/>
      <c r="F85" s="62"/>
      <c r="G85" s="62"/>
      <c r="H85" s="62"/>
      <c r="I85" s="62"/>
      <c r="J85" s="62"/>
      <c r="K85" s="62"/>
      <c r="L85" s="62"/>
    </row>
    <row r="86" customFormat="false" ht="17.25" hidden="false" customHeight="false" outlineLevel="0" collapsed="false">
      <c r="A86" s="62"/>
      <c r="B86" s="62"/>
      <c r="C86" s="62"/>
      <c r="D86" s="62" t="s">
        <v>2374</v>
      </c>
      <c r="E86" s="62"/>
      <c r="F86" s="62"/>
      <c r="G86" s="62"/>
      <c r="H86" s="62"/>
      <c r="I86" s="62"/>
      <c r="J86" s="62"/>
      <c r="K86" s="62"/>
      <c r="L86" s="62"/>
    </row>
    <row r="87" customFormat="false" ht="33" hidden="false" customHeight="false" outlineLevel="0" collapsed="false">
      <c r="A87" s="62"/>
      <c r="B87" s="62"/>
      <c r="C87" s="62"/>
      <c r="D87" s="63" t="s">
        <v>2382</v>
      </c>
      <c r="E87" s="62"/>
      <c r="F87" s="62"/>
      <c r="G87" s="62"/>
      <c r="H87" s="62"/>
      <c r="I87" s="62"/>
      <c r="J87" s="62"/>
      <c r="K87" s="62"/>
      <c r="L87" s="62"/>
    </row>
    <row r="88" customFormat="false" ht="17.25" hidden="false" customHeight="false" outlineLevel="0" collapsed="false">
      <c r="A88" s="62"/>
      <c r="B88" s="62"/>
      <c r="C88" s="62"/>
      <c r="D88" s="63" t="s">
        <v>2383</v>
      </c>
      <c r="E88" s="62"/>
      <c r="F88" s="62"/>
      <c r="G88" s="62"/>
      <c r="H88" s="62"/>
      <c r="I88" s="62"/>
      <c r="J88" s="62"/>
      <c r="K88" s="62"/>
      <c r="L88" s="62"/>
    </row>
    <row r="89" customFormat="false" ht="17.25" hidden="false" customHeight="false" outlineLevel="0" collapsed="false">
      <c r="A89" s="62"/>
      <c r="B89" s="62"/>
      <c r="C89" s="62"/>
      <c r="D89" s="63" t="s">
        <v>2384</v>
      </c>
      <c r="E89" s="62"/>
      <c r="F89" s="62"/>
      <c r="G89" s="62"/>
      <c r="H89" s="62"/>
      <c r="I89" s="62"/>
      <c r="J89" s="62"/>
      <c r="K89" s="62"/>
      <c r="L89" s="62"/>
    </row>
    <row r="90" customFormat="false" ht="17.25" hidden="false" customHeight="false" outlineLevel="0" collapsed="false">
      <c r="A90" s="62"/>
      <c r="B90" s="62"/>
      <c r="C90" s="62"/>
      <c r="D90" s="63" t="s">
        <v>286</v>
      </c>
      <c r="E90" s="62"/>
      <c r="F90" s="62"/>
      <c r="G90" s="62"/>
      <c r="H90" s="62"/>
      <c r="I90" s="62"/>
      <c r="J90" s="62"/>
      <c r="K90" s="62"/>
      <c r="L90" s="62"/>
    </row>
    <row r="91" customFormat="false" ht="17.25" hidden="false" customHeight="false" outlineLevel="0" collapsed="false">
      <c r="A91" s="62"/>
      <c r="B91" s="62"/>
      <c r="C91" s="62"/>
      <c r="D91" s="62" t="s">
        <v>2385</v>
      </c>
      <c r="E91" s="62"/>
      <c r="F91" s="62"/>
      <c r="G91" s="62"/>
      <c r="H91" s="62"/>
      <c r="I91" s="62"/>
      <c r="J91" s="62"/>
      <c r="K91" s="62"/>
      <c r="L91" s="62"/>
    </row>
    <row r="92" customFormat="false" ht="33" hidden="false" customHeight="false" outlineLevel="0" collapsed="false">
      <c r="A92" s="62"/>
      <c r="B92" s="62"/>
      <c r="C92" s="62"/>
      <c r="D92" s="63" t="s">
        <v>309</v>
      </c>
      <c r="E92" s="62"/>
      <c r="F92" s="62"/>
      <c r="G92" s="62"/>
      <c r="H92" s="62"/>
      <c r="I92" s="62"/>
      <c r="J92" s="62"/>
      <c r="K92" s="62"/>
      <c r="L92" s="62"/>
    </row>
    <row r="93" customFormat="false" ht="17.25" hidden="false" customHeight="false" outlineLevel="0" collapsed="false">
      <c r="A93" s="62"/>
      <c r="B93" s="62"/>
      <c r="C93" s="62"/>
      <c r="D93" s="62" t="s">
        <v>2386</v>
      </c>
      <c r="E93" s="62"/>
      <c r="F93" s="62"/>
      <c r="G93" s="62"/>
      <c r="H93" s="62"/>
      <c r="I93" s="62"/>
      <c r="J93" s="62"/>
      <c r="K93" s="62"/>
      <c r="L93" s="62"/>
    </row>
    <row r="94" customFormat="false" ht="17.25" hidden="false" customHeight="false" outlineLevel="0" collapsed="false">
      <c r="A94" s="62"/>
      <c r="B94" s="62"/>
      <c r="C94" s="62"/>
      <c r="D94" s="63" t="s">
        <v>2387</v>
      </c>
      <c r="E94" s="62"/>
      <c r="F94" s="62"/>
      <c r="G94" s="62"/>
      <c r="H94" s="62"/>
      <c r="I94" s="62"/>
      <c r="J94" s="62"/>
      <c r="K94" s="62"/>
      <c r="L94" s="62"/>
    </row>
    <row r="95" customFormat="false" ht="33" hidden="false" customHeight="false" outlineLevel="0" collapsed="false">
      <c r="A95" s="62"/>
      <c r="B95" s="62"/>
      <c r="C95" s="62"/>
      <c r="D95" s="63" t="s">
        <v>2388</v>
      </c>
      <c r="E95" s="62"/>
      <c r="F95" s="62"/>
      <c r="G95" s="62"/>
      <c r="H95" s="62"/>
      <c r="I95" s="62"/>
      <c r="J95" s="62"/>
      <c r="K95" s="62"/>
      <c r="L95" s="62"/>
    </row>
    <row r="96" customFormat="false" ht="33" hidden="false" customHeight="false" outlineLevel="0" collapsed="false">
      <c r="A96" s="62"/>
      <c r="B96" s="62"/>
      <c r="C96" s="62"/>
      <c r="D96" s="63" t="s">
        <v>782</v>
      </c>
      <c r="E96" s="62"/>
      <c r="F96" s="62"/>
      <c r="G96" s="62"/>
      <c r="H96" s="62"/>
      <c r="I96" s="62"/>
      <c r="J96" s="62"/>
      <c r="K96" s="62"/>
      <c r="L96" s="62"/>
    </row>
    <row r="97" customFormat="false" ht="17.25" hidden="false" customHeight="false" outlineLevel="0" collapsed="false">
      <c r="A97" s="62"/>
      <c r="B97" s="62"/>
      <c r="C97" s="62"/>
      <c r="D97" s="63" t="s">
        <v>2389</v>
      </c>
      <c r="E97" s="62"/>
      <c r="F97" s="62"/>
      <c r="G97" s="62"/>
      <c r="H97" s="62"/>
      <c r="I97" s="62"/>
      <c r="J97" s="62"/>
      <c r="K97" s="62"/>
      <c r="L97" s="62"/>
    </row>
    <row r="98" customFormat="false" ht="33" hidden="false" customHeight="false" outlineLevel="0" collapsed="false">
      <c r="A98" s="62"/>
      <c r="B98" s="62"/>
      <c r="C98" s="62"/>
      <c r="D98" s="63" t="s">
        <v>244</v>
      </c>
      <c r="E98" s="62"/>
      <c r="F98" s="62"/>
      <c r="G98" s="62"/>
      <c r="H98" s="62"/>
      <c r="I98" s="62"/>
      <c r="J98" s="62"/>
      <c r="K98" s="62"/>
      <c r="L98" s="62"/>
    </row>
    <row r="99" customFormat="false" ht="17.25" hidden="false" customHeight="false" outlineLevel="0" collapsed="false">
      <c r="A99" s="62"/>
      <c r="B99" s="62"/>
      <c r="C99" s="62"/>
      <c r="D99" s="62" t="s">
        <v>2390</v>
      </c>
      <c r="E99" s="62"/>
      <c r="F99" s="62"/>
      <c r="G99" s="62"/>
      <c r="H99" s="62"/>
      <c r="I99" s="62"/>
      <c r="J99" s="62"/>
      <c r="K99" s="62"/>
      <c r="L99" s="62"/>
    </row>
    <row r="100" customFormat="false" ht="17.25" hidden="false" customHeight="false" outlineLevel="0" collapsed="false">
      <c r="A100" s="62"/>
      <c r="B100" s="62"/>
      <c r="C100" s="62"/>
      <c r="D100" s="63" t="s">
        <v>233</v>
      </c>
      <c r="E100" s="62"/>
      <c r="F100" s="62"/>
      <c r="G100" s="62"/>
      <c r="H100" s="62"/>
      <c r="I100" s="62"/>
      <c r="J100" s="62"/>
      <c r="K100" s="62"/>
      <c r="L100" s="62"/>
    </row>
    <row r="101" customFormat="false" ht="17.25" hidden="false" customHeight="false" outlineLevel="0" collapsed="false">
      <c r="A101" s="62"/>
      <c r="B101" s="62"/>
      <c r="C101" s="62"/>
      <c r="D101" s="63" t="s">
        <v>2391</v>
      </c>
      <c r="E101" s="62"/>
      <c r="F101" s="62"/>
      <c r="G101" s="62"/>
      <c r="H101" s="62"/>
      <c r="I101" s="62"/>
      <c r="J101" s="62"/>
      <c r="K101" s="62"/>
      <c r="L101" s="62"/>
    </row>
    <row r="102" customFormat="false" ht="33" hidden="false" customHeight="false" outlineLevel="0" collapsed="false">
      <c r="A102" s="62"/>
      <c r="B102" s="62" t="n">
        <v>1040</v>
      </c>
      <c r="C102" s="62"/>
      <c r="D102" s="62"/>
      <c r="E102" s="63" t="s">
        <v>2330</v>
      </c>
      <c r="F102" s="62"/>
      <c r="G102" s="62" t="s">
        <v>2298</v>
      </c>
      <c r="H102" s="62"/>
      <c r="I102" s="62"/>
      <c r="J102" s="62"/>
      <c r="K102" s="62"/>
      <c r="L102" s="62"/>
    </row>
    <row r="103" customFormat="false" ht="33" hidden="false" customHeight="false" outlineLevel="0" collapsed="false">
      <c r="A103" s="62"/>
      <c r="B103" s="62"/>
      <c r="C103" s="62"/>
      <c r="D103" s="62"/>
      <c r="E103" s="63" t="s">
        <v>2392</v>
      </c>
      <c r="F103" s="62"/>
      <c r="G103" s="62" t="n">
        <v>6</v>
      </c>
      <c r="H103" s="62" t="s">
        <v>299</v>
      </c>
      <c r="I103" s="62"/>
      <c r="J103" s="62"/>
      <c r="K103" s="62"/>
      <c r="L103" s="62"/>
    </row>
    <row r="104" customFormat="false" ht="17.25" hidden="false" customHeight="false" outlineLevel="0" collapsed="false">
      <c r="A104" s="62"/>
      <c r="B104" s="62"/>
      <c r="C104" s="62"/>
      <c r="D104" s="62"/>
      <c r="E104" s="63" t="s">
        <v>2393</v>
      </c>
      <c r="F104" s="62"/>
      <c r="G104" s="62" t="n">
        <v>7</v>
      </c>
      <c r="H104" s="62" t="s">
        <v>301</v>
      </c>
      <c r="I104" s="62"/>
      <c r="J104" s="62"/>
      <c r="K104" s="62"/>
      <c r="L104" s="62"/>
    </row>
    <row r="105" customFormat="false" ht="33" hidden="false" customHeight="false" outlineLevel="0" collapsed="false">
      <c r="A105" s="62"/>
      <c r="B105" s="62"/>
      <c r="C105" s="62"/>
      <c r="D105" s="62"/>
      <c r="E105" s="63" t="s">
        <v>2394</v>
      </c>
      <c r="F105" s="62"/>
      <c r="G105" s="62" t="s">
        <v>267</v>
      </c>
      <c r="H105" s="62" t="s">
        <v>268</v>
      </c>
      <c r="I105" s="62"/>
      <c r="J105" s="62"/>
      <c r="K105" s="62"/>
      <c r="L105" s="62"/>
    </row>
    <row r="106" customFormat="false" ht="33" hidden="false" customHeight="false" outlineLevel="0" collapsed="false">
      <c r="A106" s="62"/>
      <c r="B106" s="62"/>
      <c r="C106" s="62"/>
      <c r="D106" s="62"/>
      <c r="E106" s="63" t="s">
        <v>917</v>
      </c>
      <c r="F106" s="62"/>
      <c r="G106" s="63" t="s">
        <v>320</v>
      </c>
      <c r="H106" s="62" t="s">
        <v>1831</v>
      </c>
      <c r="I106" s="62"/>
      <c r="J106" s="62"/>
      <c r="K106" s="62"/>
      <c r="L106" s="62"/>
    </row>
    <row r="107" customFormat="false" ht="33" hidden="false" customHeight="false" outlineLevel="0" collapsed="false">
      <c r="A107" s="62"/>
      <c r="B107" s="62"/>
      <c r="C107" s="62"/>
      <c r="D107" s="62"/>
      <c r="E107" s="62" t="s">
        <v>1263</v>
      </c>
      <c r="F107" s="62"/>
      <c r="G107" s="63" t="s">
        <v>270</v>
      </c>
      <c r="H107" s="62"/>
      <c r="I107" s="62"/>
      <c r="J107" s="62"/>
      <c r="K107" s="62"/>
      <c r="L107" s="62"/>
    </row>
    <row r="108" customFormat="false" ht="33" hidden="false" customHeight="false" outlineLevel="0" collapsed="false">
      <c r="A108" s="62"/>
      <c r="B108" s="62"/>
      <c r="C108" s="62"/>
      <c r="D108" s="62"/>
      <c r="E108" s="63" t="s">
        <v>289</v>
      </c>
      <c r="F108" s="62"/>
      <c r="G108" s="62" t="s">
        <v>267</v>
      </c>
      <c r="H108" s="62"/>
      <c r="I108" s="62"/>
      <c r="J108" s="62"/>
      <c r="K108" s="62"/>
      <c r="L108" s="62"/>
    </row>
    <row r="109" customFormat="false" ht="33" hidden="false" customHeight="false" outlineLevel="0" collapsed="false">
      <c r="A109" s="62"/>
      <c r="B109" s="62"/>
      <c r="C109" s="62"/>
      <c r="D109" s="62"/>
      <c r="E109" s="63" t="s">
        <v>2395</v>
      </c>
      <c r="F109" s="62"/>
      <c r="G109" s="62" t="s">
        <v>1831</v>
      </c>
      <c r="H109" s="62"/>
      <c r="I109" s="62"/>
      <c r="J109" s="62"/>
      <c r="K109" s="62"/>
      <c r="L109" s="62"/>
    </row>
    <row r="110" customFormat="false" ht="33" hidden="false" customHeight="false" outlineLevel="0" collapsed="false">
      <c r="A110" s="62"/>
      <c r="B110" s="62"/>
      <c r="C110" s="62"/>
      <c r="D110" s="62"/>
      <c r="E110" s="63" t="s">
        <v>2353</v>
      </c>
      <c r="F110" s="62"/>
      <c r="G110" s="62" t="s">
        <v>267</v>
      </c>
      <c r="H110" s="62"/>
      <c r="I110" s="62"/>
      <c r="J110" s="62"/>
      <c r="K110" s="62"/>
      <c r="L110" s="62"/>
    </row>
    <row r="111" customFormat="false" ht="33" hidden="false" customHeight="false" outlineLevel="0" collapsed="false">
      <c r="A111" s="62"/>
      <c r="B111" s="62"/>
      <c r="C111" s="62"/>
      <c r="D111" s="62"/>
      <c r="E111" s="63" t="s">
        <v>2396</v>
      </c>
      <c r="F111" s="62"/>
      <c r="G111" s="62" t="s">
        <v>2397</v>
      </c>
      <c r="H111" s="62"/>
      <c r="I111" s="62"/>
      <c r="J111" s="62"/>
      <c r="K111" s="62"/>
      <c r="L111" s="62"/>
    </row>
    <row r="112" customFormat="false" ht="48.75" hidden="false" customHeight="false" outlineLevel="0" collapsed="false">
      <c r="A112" s="62"/>
      <c r="B112" s="62"/>
      <c r="C112" s="62"/>
      <c r="D112" s="62"/>
      <c r="E112" s="63" t="s">
        <v>356</v>
      </c>
      <c r="F112" s="62"/>
      <c r="G112" s="62"/>
      <c r="H112" s="62"/>
      <c r="I112" s="62"/>
      <c r="J112" s="62"/>
      <c r="K112" s="62"/>
      <c r="L112" s="62"/>
    </row>
    <row r="113" customFormat="false" ht="17.25" hidden="false" customHeight="false" outlineLevel="0" collapsed="false">
      <c r="A113" s="62"/>
      <c r="B113" s="62"/>
      <c r="C113" s="62"/>
      <c r="D113" s="62"/>
      <c r="E113" s="62" t="s">
        <v>1254</v>
      </c>
      <c r="F113" s="62"/>
      <c r="G113" s="62"/>
      <c r="H113" s="62"/>
      <c r="I113" s="62"/>
      <c r="J113" s="62"/>
      <c r="K113" s="62"/>
      <c r="L113" s="62"/>
    </row>
    <row r="114" customFormat="false" ht="17.25" hidden="false" customHeight="false" outlineLevel="0" collapsed="false">
      <c r="A114" s="62"/>
      <c r="B114" s="62"/>
      <c r="C114" s="62"/>
      <c r="D114" s="62"/>
      <c r="E114" s="63" t="s">
        <v>233</v>
      </c>
      <c r="F114" s="62"/>
      <c r="G114" s="62"/>
      <c r="H114" s="62"/>
      <c r="I114" s="62"/>
      <c r="J114" s="62"/>
      <c r="K114" s="62"/>
      <c r="L114" s="62"/>
    </row>
    <row r="115" customFormat="false" ht="48.75" hidden="false" customHeight="false" outlineLevel="0" collapsed="false">
      <c r="A115" s="62"/>
      <c r="B115" s="62"/>
      <c r="C115" s="62"/>
      <c r="D115" s="62" t="s">
        <v>274</v>
      </c>
      <c r="E115" s="62" t="s">
        <v>275</v>
      </c>
      <c r="F115" s="62" t="s">
        <v>268</v>
      </c>
      <c r="G115" s="62" t="s">
        <v>267</v>
      </c>
      <c r="H115" s="62" t="s">
        <v>268</v>
      </c>
      <c r="I115" s="62" t="s">
        <v>276</v>
      </c>
      <c r="J115" s="62" t="s">
        <v>276</v>
      </c>
      <c r="K115" s="62"/>
      <c r="L115" s="62"/>
    </row>
    <row r="116" customFormat="false" ht="33" hidden="false" customHeight="false" outlineLevel="0" collapsed="false">
      <c r="A116" s="62"/>
      <c r="B116" s="62"/>
      <c r="C116" s="62"/>
      <c r="D116" s="63" t="s">
        <v>277</v>
      </c>
      <c r="E116" s="62"/>
      <c r="F116" s="62"/>
      <c r="G116" s="63" t="s">
        <v>1251</v>
      </c>
      <c r="H116" s="62" t="s">
        <v>2398</v>
      </c>
      <c r="I116" s="62"/>
      <c r="J116" s="62"/>
      <c r="K116" s="62"/>
      <c r="L116" s="62"/>
    </row>
    <row r="117" customFormat="false" ht="33" hidden="false" customHeight="false" outlineLevel="0" collapsed="false">
      <c r="A117" s="62"/>
      <c r="B117" s="62"/>
      <c r="C117" s="62"/>
      <c r="D117" s="62"/>
      <c r="E117" s="62"/>
      <c r="F117" s="62"/>
      <c r="G117" s="63" t="s">
        <v>270</v>
      </c>
      <c r="H117" s="62"/>
      <c r="I117" s="62"/>
      <c r="J117" s="62"/>
      <c r="K117" s="62"/>
      <c r="L117" s="62"/>
    </row>
    <row r="118" customFormat="false" ht="33" hidden="false" customHeight="false" outlineLevel="0" collapsed="false">
      <c r="A118" s="62"/>
      <c r="B118" s="62"/>
      <c r="C118" s="62"/>
      <c r="D118" s="62"/>
      <c r="E118" s="62"/>
      <c r="F118" s="62"/>
      <c r="G118" s="62" t="s">
        <v>267</v>
      </c>
      <c r="H118" s="62"/>
      <c r="I118" s="62"/>
      <c r="J118" s="62"/>
      <c r="K118" s="62"/>
      <c r="L118" s="62"/>
    </row>
    <row r="119" customFormat="false" ht="17.25" hidden="false" customHeight="false" outlineLevel="0" collapsed="false">
      <c r="A119" s="62"/>
      <c r="B119" s="62"/>
      <c r="C119" s="62"/>
      <c r="D119" s="62"/>
      <c r="E119" s="62"/>
      <c r="F119" s="62"/>
      <c r="G119" s="62" t="s">
        <v>2398</v>
      </c>
      <c r="H119" s="62"/>
      <c r="I119" s="62"/>
      <c r="J119" s="62"/>
      <c r="K119" s="62"/>
      <c r="L119" s="62"/>
    </row>
    <row r="120" customFormat="false" ht="33" hidden="false" customHeight="false" outlineLevel="0" collapsed="false">
      <c r="A120" s="62"/>
      <c r="B120" s="62"/>
      <c r="C120" s="62"/>
      <c r="D120" s="62"/>
      <c r="E120" s="62"/>
      <c r="F120" s="62"/>
      <c r="G120" s="62" t="s">
        <v>267</v>
      </c>
      <c r="H120" s="62"/>
      <c r="I120" s="62"/>
      <c r="J120" s="62"/>
      <c r="K120" s="62"/>
      <c r="L120" s="62"/>
    </row>
    <row r="121" customFormat="false" ht="33" hidden="false" customHeight="false" outlineLevel="0" collapsed="false">
      <c r="A121" s="62"/>
      <c r="B121" s="62"/>
      <c r="C121" s="62"/>
      <c r="D121" s="62"/>
      <c r="E121" s="62"/>
      <c r="F121" s="62"/>
      <c r="G121" s="62" t="s">
        <v>2397</v>
      </c>
      <c r="H121" s="62"/>
      <c r="I121" s="62"/>
      <c r="J121" s="62"/>
      <c r="K121" s="62"/>
      <c r="L121" s="62"/>
    </row>
    <row r="122" customFormat="false" ht="33" hidden="false" customHeight="false" outlineLevel="0" collapsed="false">
      <c r="A122" s="62"/>
      <c r="B122" s="62"/>
      <c r="C122" s="62"/>
      <c r="D122" s="62"/>
      <c r="E122" s="62"/>
      <c r="F122" s="62"/>
      <c r="G122" s="62" t="s">
        <v>2313</v>
      </c>
      <c r="H122" s="62"/>
      <c r="I122" s="62"/>
      <c r="J122" s="62"/>
      <c r="K122" s="62"/>
      <c r="L122" s="62"/>
    </row>
    <row r="123" customFormat="false" ht="15.75" hidden="false" customHeight="false" outlineLevel="0" collapsed="false">
      <c r="A123" s="3" t="s">
        <v>211</v>
      </c>
    </row>
    <row r="130" customFormat="false" ht="15.75" hidden="false" customHeight="false" outlineLevel="0" collapsed="false">
      <c r="A130" s="65" t="s">
        <v>281</v>
      </c>
    </row>
  </sheetData>
  <hyperlinks>
    <hyperlink ref="M1" location="Index!A1" display="Index"/>
    <hyperlink ref="A123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2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.71"/>
    <col collapsed="false" customWidth="true" hidden="false" outlineLevel="0" max="12" min="12" style="0" width="16.14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206</v>
      </c>
      <c r="C2" s="57" t="s">
        <v>204</v>
      </c>
      <c r="D2" s="59" t="n">
        <v>313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529</v>
      </c>
      <c r="B4" s="62" t="n">
        <v>1041</v>
      </c>
      <c r="C4" s="63" t="s">
        <v>2297</v>
      </c>
      <c r="D4" s="63" t="s">
        <v>2373</v>
      </c>
      <c r="E4" s="63" t="s">
        <v>876</v>
      </c>
      <c r="F4" s="62"/>
      <c r="G4" s="62" t="s">
        <v>2399</v>
      </c>
      <c r="H4" s="62"/>
      <c r="I4" s="62"/>
      <c r="J4" s="62"/>
      <c r="K4" s="62"/>
      <c r="L4" s="63" t="s">
        <v>2400</v>
      </c>
    </row>
    <row r="5" customFormat="false" ht="33" hidden="false" customHeight="false" outlineLevel="0" collapsed="false">
      <c r="A5" s="62" t="s">
        <v>231</v>
      </c>
      <c r="B5" s="62"/>
      <c r="C5" s="63" t="s">
        <v>2300</v>
      </c>
      <c r="D5" s="63" t="s">
        <v>2401</v>
      </c>
      <c r="E5" s="62"/>
      <c r="F5" s="63" t="s">
        <v>2402</v>
      </c>
      <c r="G5" s="62" t="n">
        <v>20</v>
      </c>
      <c r="H5" s="62" t="s">
        <v>2403</v>
      </c>
      <c r="I5" s="62"/>
      <c r="J5" s="62"/>
      <c r="K5" s="62"/>
      <c r="L5" s="63" t="s">
        <v>2404</v>
      </c>
    </row>
    <row r="6" customFormat="false" ht="33" hidden="false" customHeight="false" outlineLevel="0" collapsed="false">
      <c r="A6" s="62" t="s">
        <v>2405</v>
      </c>
      <c r="B6" s="62"/>
      <c r="C6" s="62"/>
      <c r="D6" s="63" t="s">
        <v>1301</v>
      </c>
      <c r="E6" s="62"/>
      <c r="F6" s="63" t="s">
        <v>2402</v>
      </c>
      <c r="G6" s="62" t="s">
        <v>1250</v>
      </c>
      <c r="H6" s="62" t="s">
        <v>2406</v>
      </c>
      <c r="I6" s="62"/>
      <c r="J6" s="62"/>
      <c r="K6" s="62"/>
      <c r="L6" s="63" t="s">
        <v>1089</v>
      </c>
    </row>
    <row r="7" customFormat="false" ht="33" hidden="false" customHeight="false" outlineLevel="0" collapsed="false">
      <c r="A7" s="62"/>
      <c r="B7" s="62"/>
      <c r="C7" s="62"/>
      <c r="D7" s="62" t="s">
        <v>2407</v>
      </c>
      <c r="E7" s="62"/>
      <c r="F7" s="63" t="s">
        <v>2402</v>
      </c>
      <c r="G7" s="62" t="s">
        <v>632</v>
      </c>
      <c r="H7" s="62" t="s">
        <v>2408</v>
      </c>
      <c r="I7" s="62"/>
      <c r="J7" s="62"/>
      <c r="K7" s="62"/>
      <c r="L7" s="63" t="s">
        <v>2409</v>
      </c>
    </row>
    <row r="8" customFormat="false" ht="33" hidden="false" customHeight="false" outlineLevel="0" collapsed="false">
      <c r="A8" s="62"/>
      <c r="B8" s="62"/>
      <c r="C8" s="62"/>
      <c r="D8" s="63" t="s">
        <v>2410</v>
      </c>
      <c r="E8" s="62"/>
      <c r="F8" s="62"/>
      <c r="G8" s="62" t="s">
        <v>2411</v>
      </c>
      <c r="H8" s="62" t="s">
        <v>2412</v>
      </c>
      <c r="I8" s="62"/>
      <c r="J8" s="62"/>
      <c r="K8" s="62"/>
      <c r="L8" s="63" t="s">
        <v>2413</v>
      </c>
    </row>
    <row r="9" customFormat="false" ht="33" hidden="false" customHeight="false" outlineLevel="0" collapsed="false">
      <c r="A9" s="62"/>
      <c r="B9" s="62"/>
      <c r="C9" s="62"/>
      <c r="D9" s="63" t="s">
        <v>2414</v>
      </c>
      <c r="E9" s="62"/>
      <c r="F9" s="62"/>
      <c r="G9" s="62"/>
      <c r="H9" s="62" t="s">
        <v>2062</v>
      </c>
      <c r="I9" s="62"/>
      <c r="J9" s="62"/>
      <c r="K9" s="62"/>
      <c r="L9" s="62" t="s">
        <v>2415</v>
      </c>
    </row>
    <row r="10" customFormat="false" ht="33" hidden="false" customHeight="false" outlineLevel="0" collapsed="false">
      <c r="A10" s="62"/>
      <c r="B10" s="62"/>
      <c r="C10" s="62"/>
      <c r="D10" s="63" t="s">
        <v>1301</v>
      </c>
      <c r="E10" s="62"/>
      <c r="F10" s="62"/>
      <c r="G10" s="62"/>
      <c r="H10" s="62" t="s">
        <v>2416</v>
      </c>
      <c r="I10" s="62"/>
      <c r="J10" s="62"/>
      <c r="K10" s="62"/>
      <c r="L10" s="62" t="s">
        <v>2417</v>
      </c>
    </row>
    <row r="11" customFormat="false" ht="17.25" hidden="false" customHeight="false" outlineLevel="0" collapsed="false">
      <c r="A11" s="62"/>
      <c r="B11" s="62"/>
      <c r="C11" s="62"/>
      <c r="D11" s="62" t="s">
        <v>2418</v>
      </c>
      <c r="E11" s="62"/>
      <c r="F11" s="62"/>
      <c r="G11" s="62"/>
      <c r="H11" s="62" t="s">
        <v>792</v>
      </c>
      <c r="I11" s="62"/>
      <c r="J11" s="62"/>
      <c r="K11" s="62"/>
      <c r="L11" s="62" t="s">
        <v>2419</v>
      </c>
    </row>
    <row r="12" customFormat="false" ht="33" hidden="false" customHeight="false" outlineLevel="0" collapsed="false">
      <c r="A12" s="62"/>
      <c r="B12" s="62"/>
      <c r="C12" s="62"/>
      <c r="D12" s="63" t="s">
        <v>2420</v>
      </c>
      <c r="E12" s="62"/>
      <c r="F12" s="62"/>
      <c r="G12" s="62" t="s">
        <v>2421</v>
      </c>
      <c r="H12" s="62" t="s">
        <v>1553</v>
      </c>
      <c r="I12" s="62"/>
      <c r="J12" s="62"/>
      <c r="K12" s="62"/>
      <c r="L12" s="62" t="s">
        <v>2422</v>
      </c>
    </row>
    <row r="13" customFormat="false" ht="33" hidden="false" customHeight="false" outlineLevel="0" collapsed="false">
      <c r="A13" s="62"/>
      <c r="B13" s="62"/>
      <c r="C13" s="62"/>
      <c r="D13" s="63" t="s">
        <v>2401</v>
      </c>
      <c r="E13" s="62"/>
      <c r="F13" s="62"/>
      <c r="G13" s="62" t="s">
        <v>2423</v>
      </c>
      <c r="H13" s="62" t="s">
        <v>2424</v>
      </c>
      <c r="I13" s="62"/>
      <c r="J13" s="62"/>
      <c r="K13" s="62"/>
      <c r="L13" s="62" t="s">
        <v>2425</v>
      </c>
    </row>
    <row r="14" customFormat="false" ht="33" hidden="false" customHeight="false" outlineLevel="0" collapsed="false">
      <c r="A14" s="62"/>
      <c r="B14" s="62"/>
      <c r="C14" s="62"/>
      <c r="D14" s="63" t="s">
        <v>1301</v>
      </c>
      <c r="E14" s="62"/>
      <c r="F14" s="62"/>
      <c r="G14" s="62" t="s">
        <v>906</v>
      </c>
      <c r="H14" s="62" t="s">
        <v>2426</v>
      </c>
      <c r="I14" s="62"/>
      <c r="J14" s="62"/>
      <c r="K14" s="62"/>
      <c r="L14" s="62" t="s">
        <v>2427</v>
      </c>
    </row>
    <row r="15" customFormat="false" ht="17.25" hidden="false" customHeight="false" outlineLevel="0" collapsed="false">
      <c r="A15" s="62"/>
      <c r="B15" s="62"/>
      <c r="C15" s="62"/>
      <c r="D15" s="62" t="s">
        <v>2428</v>
      </c>
      <c r="E15" s="62"/>
      <c r="F15" s="62"/>
      <c r="G15" s="62" t="s">
        <v>2429</v>
      </c>
      <c r="H15" s="62"/>
      <c r="I15" s="62"/>
      <c r="J15" s="62"/>
      <c r="K15" s="62"/>
      <c r="L15" s="62" t="s">
        <v>2430</v>
      </c>
    </row>
    <row r="16" customFormat="false" ht="33" hidden="false" customHeight="false" outlineLevel="0" collapsed="false">
      <c r="A16" s="62"/>
      <c r="B16" s="62"/>
      <c r="C16" s="62"/>
      <c r="D16" s="63" t="s">
        <v>2431</v>
      </c>
      <c r="E16" s="62"/>
      <c r="F16" s="62"/>
      <c r="G16" s="62" t="n">
        <v>1</v>
      </c>
      <c r="H16" s="62" t="s">
        <v>1896</v>
      </c>
      <c r="I16" s="62"/>
      <c r="J16" s="62"/>
      <c r="K16" s="62"/>
      <c r="L16" s="62" t="s">
        <v>2432</v>
      </c>
    </row>
    <row r="17" customFormat="false" ht="33" hidden="false" customHeight="false" outlineLevel="0" collapsed="false">
      <c r="A17" s="62"/>
      <c r="B17" s="62"/>
      <c r="C17" s="62"/>
      <c r="D17" s="63" t="s">
        <v>2306</v>
      </c>
      <c r="E17" s="62"/>
      <c r="F17" s="62"/>
      <c r="G17" s="62" t="n">
        <v>2</v>
      </c>
      <c r="H17" s="62" t="s">
        <v>771</v>
      </c>
      <c r="I17" s="62"/>
      <c r="J17" s="62"/>
      <c r="K17" s="62"/>
      <c r="L17" s="62" t="s">
        <v>2433</v>
      </c>
    </row>
    <row r="18" customFormat="false" ht="33" hidden="false" customHeight="false" outlineLevel="0" collapsed="false">
      <c r="A18" s="62"/>
      <c r="B18" s="62"/>
      <c r="C18" s="62"/>
      <c r="D18" s="63" t="s">
        <v>2401</v>
      </c>
      <c r="E18" s="62"/>
      <c r="F18" s="62"/>
      <c r="G18" s="64" t="n">
        <v>40603</v>
      </c>
      <c r="H18" s="62" t="s">
        <v>907</v>
      </c>
      <c r="I18" s="62"/>
      <c r="J18" s="62"/>
      <c r="K18" s="62"/>
      <c r="L18" s="63" t="s">
        <v>2434</v>
      </c>
    </row>
    <row r="19" customFormat="false" ht="33" hidden="false" customHeight="false" outlineLevel="0" collapsed="false">
      <c r="A19" s="62"/>
      <c r="B19" s="62"/>
      <c r="C19" s="62"/>
      <c r="D19" s="63" t="s">
        <v>1301</v>
      </c>
      <c r="E19" s="62"/>
      <c r="F19" s="62"/>
      <c r="G19" s="62" t="s">
        <v>2435</v>
      </c>
      <c r="H19" s="62"/>
      <c r="I19" s="62"/>
      <c r="J19" s="62"/>
      <c r="K19" s="62"/>
      <c r="L19" s="63" t="s">
        <v>2436</v>
      </c>
    </row>
    <row r="20" customFormat="false" ht="33" hidden="false" customHeight="false" outlineLevel="0" collapsed="false">
      <c r="A20" s="62"/>
      <c r="B20" s="62"/>
      <c r="C20" s="62"/>
      <c r="D20" s="63" t="s">
        <v>244</v>
      </c>
      <c r="E20" s="62"/>
      <c r="F20" s="62"/>
      <c r="G20" s="62" t="n">
        <v>1</v>
      </c>
      <c r="H20" s="62" t="s">
        <v>771</v>
      </c>
      <c r="I20" s="62"/>
      <c r="J20" s="62"/>
      <c r="K20" s="62"/>
      <c r="L20" s="63" t="s">
        <v>2437</v>
      </c>
    </row>
    <row r="21" customFormat="false" ht="33" hidden="false" customHeight="false" outlineLevel="0" collapsed="false">
      <c r="A21" s="62"/>
      <c r="B21" s="62"/>
      <c r="C21" s="62"/>
      <c r="D21" s="62" t="s">
        <v>2438</v>
      </c>
      <c r="E21" s="62"/>
      <c r="F21" s="62"/>
      <c r="G21" s="62" t="n">
        <v>2</v>
      </c>
      <c r="H21" s="62" t="s">
        <v>771</v>
      </c>
      <c r="I21" s="62"/>
      <c r="J21" s="62"/>
      <c r="K21" s="62"/>
      <c r="L21" s="62" t="s">
        <v>2439</v>
      </c>
    </row>
    <row r="22" customFormat="false" ht="48.75" hidden="false" customHeight="false" outlineLevel="0" collapsed="false">
      <c r="A22" s="62"/>
      <c r="B22" s="62"/>
      <c r="C22" s="62"/>
      <c r="D22" s="63" t="s">
        <v>2440</v>
      </c>
      <c r="E22" s="62"/>
      <c r="F22" s="62"/>
      <c r="G22" s="62"/>
      <c r="H22" s="62"/>
      <c r="I22" s="62"/>
      <c r="J22" s="62"/>
      <c r="K22" s="62"/>
      <c r="L22" s="63" t="s">
        <v>2441</v>
      </c>
    </row>
    <row r="23" customFormat="false" ht="33" hidden="false" customHeight="false" outlineLevel="0" collapsed="false">
      <c r="A23" s="62"/>
      <c r="B23" s="62"/>
      <c r="C23" s="62"/>
      <c r="D23" s="63" t="s">
        <v>2442</v>
      </c>
      <c r="E23" s="62"/>
      <c r="F23" s="62"/>
      <c r="G23" s="62" t="n">
        <v>2460</v>
      </c>
      <c r="H23" s="62" t="s">
        <v>2443</v>
      </c>
      <c r="I23" s="62"/>
      <c r="J23" s="62"/>
      <c r="K23" s="62"/>
      <c r="L23" s="63" t="s">
        <v>2444</v>
      </c>
    </row>
    <row r="24" customFormat="false" ht="33" hidden="false" customHeight="false" outlineLevel="0" collapsed="false">
      <c r="A24" s="62"/>
      <c r="B24" s="62"/>
      <c r="C24" s="62"/>
      <c r="D24" s="63" t="s">
        <v>2445</v>
      </c>
      <c r="E24" s="62"/>
      <c r="F24" s="62"/>
      <c r="G24" s="62"/>
      <c r="H24" s="63" t="s">
        <v>2446</v>
      </c>
      <c r="I24" s="62"/>
      <c r="J24" s="62"/>
      <c r="K24" s="62"/>
      <c r="L24" s="63" t="s">
        <v>2447</v>
      </c>
    </row>
    <row r="25" customFormat="false" ht="33" hidden="false" customHeight="false" outlineLevel="0" collapsed="false">
      <c r="A25" s="62"/>
      <c r="B25" s="62"/>
      <c r="C25" s="62"/>
      <c r="D25" s="62" t="s">
        <v>2448</v>
      </c>
      <c r="E25" s="62"/>
      <c r="F25" s="62"/>
      <c r="G25" s="62" t="s">
        <v>267</v>
      </c>
      <c r="H25" s="62" t="s">
        <v>268</v>
      </c>
      <c r="I25" s="62"/>
      <c r="J25" s="62"/>
      <c r="K25" s="62"/>
      <c r="L25" s="63" t="s">
        <v>2449</v>
      </c>
    </row>
    <row r="26" customFormat="false" ht="33" hidden="false" customHeight="false" outlineLevel="0" collapsed="false">
      <c r="A26" s="62"/>
      <c r="B26" s="62"/>
      <c r="C26" s="62"/>
      <c r="D26" s="63" t="s">
        <v>2315</v>
      </c>
      <c r="E26" s="62"/>
      <c r="F26" s="62"/>
      <c r="G26" s="63" t="s">
        <v>331</v>
      </c>
      <c r="H26" s="62" t="s">
        <v>2450</v>
      </c>
      <c r="I26" s="62"/>
      <c r="J26" s="62"/>
      <c r="K26" s="62"/>
      <c r="L26" s="63" t="s">
        <v>2451</v>
      </c>
    </row>
    <row r="27" customFormat="false" ht="48.75" hidden="false" customHeight="false" outlineLevel="0" collapsed="false">
      <c r="A27" s="62"/>
      <c r="B27" s="62"/>
      <c r="C27" s="62"/>
      <c r="D27" s="63" t="s">
        <v>2452</v>
      </c>
      <c r="E27" s="62"/>
      <c r="F27" s="62"/>
      <c r="G27" s="63" t="s">
        <v>270</v>
      </c>
      <c r="H27" s="63" t="s">
        <v>821</v>
      </c>
      <c r="I27" s="62"/>
      <c r="J27" s="62"/>
      <c r="K27" s="62"/>
      <c r="L27" s="63" t="s">
        <v>2453</v>
      </c>
    </row>
    <row r="28" customFormat="false" ht="33" hidden="false" customHeight="false" outlineLevel="0" collapsed="false">
      <c r="A28" s="62"/>
      <c r="B28" s="62"/>
      <c r="C28" s="62"/>
      <c r="D28" s="63" t="s">
        <v>2318</v>
      </c>
      <c r="E28" s="62"/>
      <c r="F28" s="62"/>
      <c r="G28" s="62" t="s">
        <v>267</v>
      </c>
      <c r="H28" s="62" t="s">
        <v>267</v>
      </c>
      <c r="I28" s="62"/>
      <c r="J28" s="62"/>
      <c r="K28" s="62"/>
      <c r="L28" s="63" t="s">
        <v>2454</v>
      </c>
    </row>
    <row r="29" customFormat="false" ht="17.25" hidden="false" customHeight="false" outlineLevel="0" collapsed="false">
      <c r="A29" s="62"/>
      <c r="B29" s="62"/>
      <c r="C29" s="62"/>
      <c r="D29" s="63" t="s">
        <v>1259</v>
      </c>
      <c r="E29" s="62"/>
      <c r="F29" s="62"/>
      <c r="G29" s="62" t="s">
        <v>2455</v>
      </c>
      <c r="H29" s="62" t="s">
        <v>515</v>
      </c>
      <c r="I29" s="62"/>
      <c r="J29" s="62"/>
      <c r="K29" s="62"/>
      <c r="L29" s="63" t="s">
        <v>2316</v>
      </c>
    </row>
    <row r="30" customFormat="false" ht="33" hidden="false" customHeight="false" outlineLevel="0" collapsed="false">
      <c r="A30" s="62"/>
      <c r="B30" s="62"/>
      <c r="C30" s="62"/>
      <c r="D30" s="63" t="s">
        <v>2321</v>
      </c>
      <c r="E30" s="62"/>
      <c r="F30" s="62"/>
      <c r="G30" s="62" t="s">
        <v>267</v>
      </c>
      <c r="H30" s="62" t="s">
        <v>267</v>
      </c>
      <c r="I30" s="62"/>
      <c r="J30" s="62"/>
      <c r="K30" s="62"/>
      <c r="L30" s="63" t="s">
        <v>2456</v>
      </c>
    </row>
    <row r="31" customFormat="false" ht="33" hidden="false" customHeight="false" outlineLevel="0" collapsed="false">
      <c r="A31" s="62"/>
      <c r="B31" s="62"/>
      <c r="C31" s="62"/>
      <c r="D31" s="63" t="s">
        <v>2323</v>
      </c>
      <c r="E31" s="62"/>
      <c r="F31" s="62"/>
      <c r="G31" s="62" t="s">
        <v>2126</v>
      </c>
      <c r="H31" s="62" t="s">
        <v>2457</v>
      </c>
      <c r="I31" s="62"/>
      <c r="J31" s="62"/>
      <c r="K31" s="62"/>
      <c r="L31" s="63" t="s">
        <v>838</v>
      </c>
    </row>
    <row r="32" customFormat="false" ht="33" hidden="false" customHeight="false" outlineLevel="0" collapsed="false">
      <c r="A32" s="62"/>
      <c r="B32" s="62"/>
      <c r="C32" s="62"/>
      <c r="D32" s="63" t="s">
        <v>2458</v>
      </c>
      <c r="E32" s="62"/>
      <c r="F32" s="62"/>
      <c r="G32" s="62" t="s">
        <v>2459</v>
      </c>
      <c r="H32" s="62"/>
      <c r="I32" s="62"/>
      <c r="J32" s="62"/>
      <c r="K32" s="62"/>
      <c r="L32" s="63" t="s">
        <v>2460</v>
      </c>
    </row>
    <row r="33" customFormat="false" ht="33" hidden="false" customHeight="false" outlineLevel="0" collapsed="false">
      <c r="A33" s="62"/>
      <c r="B33" s="62"/>
      <c r="C33" s="62"/>
      <c r="D33" s="63" t="s">
        <v>917</v>
      </c>
      <c r="E33" s="62"/>
      <c r="F33" s="62"/>
      <c r="G33" s="62"/>
      <c r="H33" s="62"/>
      <c r="I33" s="62"/>
      <c r="J33" s="62"/>
      <c r="K33" s="62"/>
      <c r="L33" s="63" t="s">
        <v>2461</v>
      </c>
    </row>
    <row r="34" customFormat="false" ht="33" hidden="false" customHeight="false" outlineLevel="0" collapsed="false">
      <c r="A34" s="62"/>
      <c r="B34" s="62"/>
      <c r="C34" s="62"/>
      <c r="D34" s="62" t="s">
        <v>2462</v>
      </c>
      <c r="E34" s="62"/>
      <c r="F34" s="62"/>
      <c r="G34" s="62"/>
      <c r="H34" s="62"/>
      <c r="I34" s="62"/>
      <c r="J34" s="62"/>
      <c r="K34" s="62"/>
      <c r="L34" s="63" t="s">
        <v>851</v>
      </c>
    </row>
    <row r="35" customFormat="false" ht="33" hidden="false" customHeight="false" outlineLevel="0" collapsed="false">
      <c r="A35" s="62"/>
      <c r="B35" s="62"/>
      <c r="C35" s="62"/>
      <c r="D35" s="63" t="s">
        <v>2463</v>
      </c>
      <c r="E35" s="62"/>
      <c r="F35" s="62"/>
      <c r="G35" s="62"/>
      <c r="H35" s="62"/>
      <c r="I35" s="62"/>
      <c r="J35" s="62"/>
      <c r="K35" s="62"/>
      <c r="L35" s="63" t="s">
        <v>2464</v>
      </c>
    </row>
    <row r="36" customFormat="false" ht="33" hidden="false" customHeight="false" outlineLevel="0" collapsed="false">
      <c r="A36" s="62"/>
      <c r="B36" s="62"/>
      <c r="C36" s="62"/>
      <c r="D36" s="63" t="s">
        <v>2465</v>
      </c>
      <c r="E36" s="62"/>
      <c r="F36" s="62"/>
      <c r="G36" s="62"/>
      <c r="H36" s="62"/>
      <c r="I36" s="62"/>
      <c r="J36" s="62"/>
      <c r="K36" s="62"/>
      <c r="L36" s="63" t="s">
        <v>2466</v>
      </c>
    </row>
    <row r="37" customFormat="false" ht="33" hidden="false" customHeight="false" outlineLevel="0" collapsed="false">
      <c r="A37" s="62"/>
      <c r="B37" s="62"/>
      <c r="C37" s="62"/>
      <c r="D37" s="63" t="s">
        <v>2467</v>
      </c>
      <c r="E37" s="62"/>
      <c r="F37" s="62"/>
      <c r="G37" s="62"/>
      <c r="H37" s="62"/>
      <c r="I37" s="62"/>
      <c r="J37" s="62"/>
      <c r="K37" s="62"/>
      <c r="L37" s="63" t="s">
        <v>2468</v>
      </c>
    </row>
    <row r="38" customFormat="false" ht="33" hidden="false" customHeight="false" outlineLevel="0" collapsed="false">
      <c r="A38" s="62"/>
      <c r="B38" s="62"/>
      <c r="C38" s="62"/>
      <c r="D38" s="62" t="s">
        <v>2448</v>
      </c>
      <c r="E38" s="62"/>
      <c r="F38" s="62"/>
      <c r="G38" s="62"/>
      <c r="H38" s="62"/>
      <c r="I38" s="62"/>
      <c r="J38" s="62"/>
      <c r="K38" s="62"/>
      <c r="L38" s="63" t="s">
        <v>2469</v>
      </c>
    </row>
    <row r="39" customFormat="false" ht="33" hidden="false" customHeight="false" outlineLevel="0" collapsed="false">
      <c r="A39" s="62"/>
      <c r="B39" s="62"/>
      <c r="C39" s="62"/>
      <c r="D39" s="63" t="s">
        <v>2470</v>
      </c>
      <c r="E39" s="62"/>
      <c r="F39" s="62"/>
      <c r="G39" s="62"/>
      <c r="H39" s="62"/>
      <c r="I39" s="62"/>
      <c r="J39" s="62"/>
      <c r="K39" s="62"/>
      <c r="L39" s="63" t="s">
        <v>2471</v>
      </c>
    </row>
    <row r="40" customFormat="false" ht="33" hidden="false" customHeight="false" outlineLevel="0" collapsed="false">
      <c r="A40" s="62"/>
      <c r="B40" s="62"/>
      <c r="C40" s="62"/>
      <c r="D40" s="63" t="s">
        <v>2472</v>
      </c>
      <c r="E40" s="62"/>
      <c r="F40" s="62"/>
      <c r="G40" s="62"/>
      <c r="H40" s="62"/>
      <c r="I40" s="62"/>
      <c r="J40" s="62"/>
      <c r="K40" s="62"/>
      <c r="L40" s="63" t="s">
        <v>2473</v>
      </c>
    </row>
    <row r="41" customFormat="false" ht="33" hidden="false" customHeight="false" outlineLevel="0" collapsed="false">
      <c r="A41" s="62"/>
      <c r="B41" s="62"/>
      <c r="C41" s="62"/>
      <c r="D41" s="63" t="s">
        <v>2474</v>
      </c>
      <c r="E41" s="62"/>
      <c r="F41" s="62"/>
      <c r="G41" s="62"/>
      <c r="H41" s="62"/>
      <c r="I41" s="62"/>
      <c r="J41" s="62"/>
      <c r="K41" s="62"/>
      <c r="L41" s="62" t="s">
        <v>2475</v>
      </c>
    </row>
    <row r="42" customFormat="false" ht="33" hidden="false" customHeight="false" outlineLevel="0" collapsed="false">
      <c r="A42" s="62"/>
      <c r="B42" s="62"/>
      <c r="C42" s="62"/>
      <c r="D42" s="62" t="s">
        <v>2476</v>
      </c>
      <c r="E42" s="62"/>
      <c r="F42" s="62"/>
      <c r="G42" s="62"/>
      <c r="H42" s="62"/>
      <c r="I42" s="62"/>
      <c r="J42" s="62"/>
      <c r="K42" s="62"/>
      <c r="L42" s="63" t="s">
        <v>2477</v>
      </c>
    </row>
    <row r="43" customFormat="false" ht="33" hidden="false" customHeight="false" outlineLevel="0" collapsed="false">
      <c r="A43" s="62"/>
      <c r="B43" s="62"/>
      <c r="C43" s="62"/>
      <c r="D43" s="63" t="s">
        <v>246</v>
      </c>
      <c r="E43" s="62"/>
      <c r="F43" s="62"/>
      <c r="G43" s="62"/>
      <c r="H43" s="62"/>
      <c r="I43" s="62"/>
      <c r="J43" s="62"/>
      <c r="K43" s="62"/>
      <c r="L43" s="63" t="s">
        <v>2478</v>
      </c>
    </row>
    <row r="44" customFormat="false" ht="33" hidden="false" customHeight="false" outlineLevel="0" collapsed="false">
      <c r="A44" s="62"/>
      <c r="B44" s="62"/>
      <c r="C44" s="62"/>
      <c r="D44" s="63" t="s">
        <v>2401</v>
      </c>
      <c r="E44" s="62"/>
      <c r="F44" s="62"/>
      <c r="G44" s="62"/>
      <c r="H44" s="62"/>
      <c r="I44" s="62"/>
      <c r="J44" s="62"/>
      <c r="K44" s="62"/>
      <c r="L44" s="62" t="s">
        <v>2479</v>
      </c>
    </row>
    <row r="45" customFormat="false" ht="17.25" hidden="false" customHeight="false" outlineLevel="0" collapsed="false">
      <c r="A45" s="62"/>
      <c r="B45" s="62"/>
      <c r="C45" s="62"/>
      <c r="D45" s="63" t="s">
        <v>2480</v>
      </c>
      <c r="E45" s="62"/>
      <c r="F45" s="62"/>
      <c r="G45" s="62"/>
      <c r="H45" s="62"/>
      <c r="I45" s="62"/>
      <c r="J45" s="62"/>
      <c r="K45" s="62"/>
      <c r="L45" s="62" t="s">
        <v>2481</v>
      </c>
    </row>
    <row r="46" customFormat="false" ht="33" hidden="false" customHeight="false" outlineLevel="0" collapsed="false">
      <c r="A46" s="62"/>
      <c r="B46" s="62"/>
      <c r="C46" s="62"/>
      <c r="D46" s="62" t="s">
        <v>2482</v>
      </c>
      <c r="E46" s="62"/>
      <c r="F46" s="62"/>
      <c r="G46" s="62"/>
      <c r="H46" s="62"/>
      <c r="I46" s="62"/>
      <c r="J46" s="62"/>
      <c r="K46" s="62"/>
      <c r="L46" s="63" t="s">
        <v>2483</v>
      </c>
    </row>
    <row r="47" customFormat="false" ht="33" hidden="false" customHeight="false" outlineLevel="0" collapsed="false">
      <c r="A47" s="62"/>
      <c r="B47" s="62"/>
      <c r="C47" s="62"/>
      <c r="D47" s="63" t="s">
        <v>1468</v>
      </c>
      <c r="E47" s="62"/>
      <c r="F47" s="62"/>
      <c r="G47" s="62"/>
      <c r="H47" s="62"/>
      <c r="I47" s="62"/>
      <c r="J47" s="62"/>
      <c r="K47" s="62"/>
      <c r="L47" s="63" t="s">
        <v>2484</v>
      </c>
    </row>
    <row r="48" customFormat="false" ht="33" hidden="false" customHeight="false" outlineLevel="0" collapsed="false">
      <c r="A48" s="62"/>
      <c r="B48" s="62"/>
      <c r="C48" s="62"/>
      <c r="D48" s="63" t="s">
        <v>227</v>
      </c>
      <c r="E48" s="62"/>
      <c r="F48" s="62"/>
      <c r="G48" s="62"/>
      <c r="H48" s="62"/>
      <c r="I48" s="62"/>
      <c r="J48" s="62"/>
      <c r="K48" s="62"/>
      <c r="L48" s="63" t="s">
        <v>2485</v>
      </c>
    </row>
    <row r="49" customFormat="false" ht="33" hidden="false" customHeight="false" outlineLevel="0" collapsed="false">
      <c r="A49" s="62"/>
      <c r="B49" s="62"/>
      <c r="C49" s="62"/>
      <c r="D49" s="63" t="s">
        <v>240</v>
      </c>
      <c r="E49" s="62"/>
      <c r="F49" s="62"/>
      <c r="G49" s="62"/>
      <c r="H49" s="62"/>
      <c r="I49" s="62"/>
      <c r="J49" s="62"/>
      <c r="K49" s="62"/>
      <c r="L49" s="63" t="s">
        <v>2486</v>
      </c>
    </row>
    <row r="50" customFormat="false" ht="17.25" hidden="false" customHeight="false" outlineLevel="0" collapsed="false">
      <c r="A50" s="62"/>
      <c r="B50" s="62"/>
      <c r="C50" s="62"/>
      <c r="D50" s="62" t="s">
        <v>2487</v>
      </c>
      <c r="E50" s="62"/>
      <c r="F50" s="62"/>
      <c r="G50" s="62"/>
      <c r="H50" s="62"/>
      <c r="I50" s="62"/>
      <c r="J50" s="62"/>
      <c r="K50" s="62"/>
      <c r="L50" s="63" t="s">
        <v>838</v>
      </c>
    </row>
    <row r="51" customFormat="false" ht="17.25" hidden="false" customHeight="false" outlineLevel="0" collapsed="false">
      <c r="A51" s="62"/>
      <c r="B51" s="62"/>
      <c r="C51" s="62"/>
      <c r="D51" s="63" t="s">
        <v>2488</v>
      </c>
      <c r="E51" s="62"/>
      <c r="F51" s="62"/>
      <c r="G51" s="62"/>
      <c r="H51" s="62"/>
      <c r="I51" s="62"/>
      <c r="J51" s="62"/>
      <c r="K51" s="62"/>
      <c r="L51" s="63" t="s">
        <v>838</v>
      </c>
    </row>
    <row r="52" customFormat="false" ht="33" hidden="false" customHeight="false" outlineLevel="0" collapsed="false">
      <c r="A52" s="62"/>
      <c r="B52" s="62"/>
      <c r="C52" s="62"/>
      <c r="D52" s="63" t="s">
        <v>2401</v>
      </c>
      <c r="E52" s="62"/>
      <c r="F52" s="62"/>
      <c r="G52" s="62"/>
      <c r="H52" s="62"/>
      <c r="I52" s="62"/>
      <c r="J52" s="62"/>
      <c r="K52" s="62"/>
      <c r="L52" s="62" t="s">
        <v>2489</v>
      </c>
    </row>
    <row r="53" customFormat="false" ht="33" hidden="false" customHeight="false" outlineLevel="0" collapsed="false">
      <c r="A53" s="62"/>
      <c r="B53" s="62"/>
      <c r="C53" s="62"/>
      <c r="D53" s="63" t="s">
        <v>1301</v>
      </c>
      <c r="E53" s="62"/>
      <c r="F53" s="62"/>
      <c r="G53" s="62"/>
      <c r="H53" s="62"/>
      <c r="I53" s="62"/>
      <c r="J53" s="62"/>
      <c r="K53" s="62"/>
      <c r="L53" s="63" t="s">
        <v>2490</v>
      </c>
    </row>
    <row r="54" customFormat="false" ht="33" hidden="false" customHeight="false" outlineLevel="0" collapsed="false">
      <c r="A54" s="62"/>
      <c r="B54" s="62"/>
      <c r="C54" s="62"/>
      <c r="D54" s="62" t="s">
        <v>2491</v>
      </c>
      <c r="E54" s="62"/>
      <c r="F54" s="62"/>
      <c r="G54" s="62"/>
      <c r="H54" s="62"/>
      <c r="I54" s="62"/>
      <c r="J54" s="62"/>
      <c r="K54" s="62"/>
      <c r="L54" s="63" t="s">
        <v>2492</v>
      </c>
    </row>
    <row r="55" customFormat="false" ht="33" hidden="false" customHeight="false" outlineLevel="0" collapsed="false">
      <c r="A55" s="62"/>
      <c r="B55" s="62"/>
      <c r="C55" s="62"/>
      <c r="D55" s="63" t="s">
        <v>2493</v>
      </c>
      <c r="E55" s="62"/>
      <c r="F55" s="62"/>
      <c r="G55" s="62"/>
      <c r="H55" s="62"/>
      <c r="I55" s="62"/>
      <c r="J55" s="62"/>
      <c r="K55" s="62"/>
      <c r="L55" s="63" t="s">
        <v>2494</v>
      </c>
    </row>
    <row r="56" customFormat="false" ht="33" hidden="false" customHeight="false" outlineLevel="0" collapsed="false">
      <c r="A56" s="62"/>
      <c r="B56" s="62"/>
      <c r="C56" s="62"/>
      <c r="D56" s="63" t="s">
        <v>2495</v>
      </c>
      <c r="E56" s="62"/>
      <c r="F56" s="62"/>
      <c r="G56" s="62"/>
      <c r="H56" s="62"/>
      <c r="I56" s="62"/>
      <c r="J56" s="62"/>
      <c r="K56" s="62"/>
      <c r="L56" s="62" t="s">
        <v>2496</v>
      </c>
    </row>
    <row r="57" customFormat="false" ht="33" hidden="false" customHeight="false" outlineLevel="0" collapsed="false">
      <c r="A57" s="62"/>
      <c r="B57" s="62"/>
      <c r="C57" s="62"/>
      <c r="D57" s="63" t="s">
        <v>2497</v>
      </c>
      <c r="E57" s="62"/>
      <c r="F57" s="62"/>
      <c r="G57" s="62"/>
      <c r="H57" s="62"/>
      <c r="I57" s="62"/>
      <c r="J57" s="62"/>
      <c r="K57" s="62"/>
      <c r="L57" s="62" t="s">
        <v>2498</v>
      </c>
    </row>
    <row r="58" customFormat="false" ht="33" hidden="false" customHeight="false" outlineLevel="0" collapsed="false">
      <c r="A58" s="62"/>
      <c r="B58" s="62"/>
      <c r="C58" s="62"/>
      <c r="D58" s="62" t="s">
        <v>2499</v>
      </c>
      <c r="E58" s="62"/>
      <c r="F58" s="62"/>
      <c r="G58" s="62"/>
      <c r="H58" s="62"/>
      <c r="I58" s="62"/>
      <c r="J58" s="62"/>
      <c r="K58" s="62"/>
      <c r="L58" s="63" t="s">
        <v>2500</v>
      </c>
    </row>
    <row r="59" customFormat="false" ht="33" hidden="false" customHeight="false" outlineLevel="0" collapsed="false">
      <c r="A59" s="62"/>
      <c r="B59" s="62"/>
      <c r="C59" s="62"/>
      <c r="D59" s="63" t="s">
        <v>2501</v>
      </c>
      <c r="E59" s="62"/>
      <c r="F59" s="62"/>
      <c r="G59" s="62"/>
      <c r="H59" s="62"/>
      <c r="I59" s="62"/>
      <c r="J59" s="62"/>
      <c r="K59" s="62"/>
      <c r="L59" s="63" t="s">
        <v>2502</v>
      </c>
    </row>
    <row r="60" customFormat="false" ht="33" hidden="false" customHeight="false" outlineLevel="0" collapsed="false">
      <c r="A60" s="62"/>
      <c r="B60" s="62"/>
      <c r="C60" s="62"/>
      <c r="D60" s="63" t="s">
        <v>2401</v>
      </c>
      <c r="E60" s="62"/>
      <c r="F60" s="62"/>
      <c r="G60" s="62"/>
      <c r="H60" s="62"/>
      <c r="I60" s="62"/>
      <c r="J60" s="62"/>
      <c r="K60" s="62"/>
      <c r="L60" s="63" t="s">
        <v>2503</v>
      </c>
    </row>
    <row r="61" customFormat="false" ht="33" hidden="false" customHeight="false" outlineLevel="0" collapsed="false">
      <c r="A61" s="62"/>
      <c r="B61" s="62"/>
      <c r="C61" s="62"/>
      <c r="D61" s="63" t="s">
        <v>1301</v>
      </c>
      <c r="E61" s="62"/>
      <c r="F61" s="62"/>
      <c r="G61" s="62"/>
      <c r="H61" s="62"/>
      <c r="I61" s="62"/>
      <c r="J61" s="62"/>
      <c r="K61" s="62"/>
      <c r="L61" s="63" t="s">
        <v>2504</v>
      </c>
    </row>
    <row r="62" customFormat="false" ht="17.25" hidden="false" customHeight="false" outlineLevel="0" collapsed="false">
      <c r="A62" s="62"/>
      <c r="B62" s="62"/>
      <c r="C62" s="62"/>
      <c r="D62" s="62" t="s">
        <v>2505</v>
      </c>
      <c r="E62" s="62"/>
      <c r="F62" s="62"/>
      <c r="G62" s="62"/>
      <c r="H62" s="62"/>
      <c r="I62" s="62"/>
      <c r="J62" s="62"/>
      <c r="K62" s="62"/>
      <c r="L62" s="63" t="s">
        <v>950</v>
      </c>
    </row>
    <row r="63" customFormat="false" ht="33" hidden="false" customHeight="false" outlineLevel="0" collapsed="false">
      <c r="A63" s="62"/>
      <c r="B63" s="62"/>
      <c r="C63" s="62"/>
      <c r="D63" s="63" t="s">
        <v>2506</v>
      </c>
      <c r="E63" s="62"/>
      <c r="F63" s="62"/>
      <c r="G63" s="62"/>
      <c r="H63" s="62"/>
      <c r="I63" s="62"/>
      <c r="J63" s="62"/>
      <c r="K63" s="62"/>
      <c r="L63" s="62" t="s">
        <v>2507</v>
      </c>
    </row>
    <row r="64" customFormat="false" ht="33" hidden="false" customHeight="false" outlineLevel="0" collapsed="false">
      <c r="A64" s="62"/>
      <c r="B64" s="62"/>
      <c r="C64" s="62"/>
      <c r="D64" s="63" t="s">
        <v>2508</v>
      </c>
      <c r="E64" s="62"/>
      <c r="F64" s="62"/>
      <c r="G64" s="62"/>
      <c r="H64" s="62"/>
      <c r="I64" s="62"/>
      <c r="J64" s="62"/>
      <c r="K64" s="62"/>
      <c r="L64" s="63" t="s">
        <v>2509</v>
      </c>
    </row>
    <row r="65" customFormat="false" ht="33" hidden="false" customHeight="false" outlineLevel="0" collapsed="false">
      <c r="A65" s="62"/>
      <c r="B65" s="62"/>
      <c r="C65" s="62"/>
      <c r="D65" s="63" t="s">
        <v>2445</v>
      </c>
      <c r="E65" s="62"/>
      <c r="F65" s="62"/>
      <c r="G65" s="62"/>
      <c r="H65" s="62"/>
      <c r="I65" s="62"/>
      <c r="J65" s="62"/>
      <c r="K65" s="62"/>
      <c r="L65" s="63" t="s">
        <v>2510</v>
      </c>
    </row>
    <row r="66" customFormat="false" ht="17.25" hidden="false" customHeight="false" outlineLevel="0" collapsed="false">
      <c r="A66" s="62"/>
      <c r="B66" s="62"/>
      <c r="C66" s="62"/>
      <c r="D66" s="62" t="s">
        <v>2511</v>
      </c>
      <c r="E66" s="62"/>
      <c r="F66" s="62"/>
      <c r="G66" s="62"/>
      <c r="H66" s="62"/>
      <c r="I66" s="62"/>
      <c r="J66" s="62"/>
      <c r="K66" s="62"/>
      <c r="L66" s="63" t="s">
        <v>2512</v>
      </c>
    </row>
    <row r="67" customFormat="false" ht="33" hidden="false" customHeight="false" outlineLevel="0" collapsed="false">
      <c r="A67" s="62"/>
      <c r="B67" s="62"/>
      <c r="C67" s="62"/>
      <c r="D67" s="63" t="s">
        <v>2513</v>
      </c>
      <c r="E67" s="62"/>
      <c r="F67" s="62"/>
      <c r="G67" s="62"/>
      <c r="H67" s="62"/>
      <c r="I67" s="62"/>
      <c r="J67" s="62"/>
      <c r="K67" s="62"/>
      <c r="L67" s="63" t="s">
        <v>2514</v>
      </c>
    </row>
    <row r="68" customFormat="false" ht="33" hidden="false" customHeight="false" outlineLevel="0" collapsed="false">
      <c r="A68" s="62"/>
      <c r="B68" s="62"/>
      <c r="C68" s="62"/>
      <c r="D68" s="63" t="s">
        <v>2515</v>
      </c>
      <c r="E68" s="62"/>
      <c r="F68" s="62"/>
      <c r="G68" s="62"/>
      <c r="H68" s="62"/>
      <c r="I68" s="62"/>
      <c r="J68" s="62"/>
      <c r="K68" s="62"/>
      <c r="L68" s="62" t="s">
        <v>2516</v>
      </c>
    </row>
    <row r="69" customFormat="false" ht="33" hidden="false" customHeight="false" outlineLevel="0" collapsed="false">
      <c r="A69" s="62"/>
      <c r="B69" s="62"/>
      <c r="C69" s="62"/>
      <c r="D69" s="63" t="s">
        <v>1021</v>
      </c>
      <c r="E69" s="62"/>
      <c r="F69" s="62"/>
      <c r="G69" s="62"/>
      <c r="H69" s="62"/>
      <c r="I69" s="62"/>
      <c r="J69" s="62"/>
      <c r="K69" s="62"/>
      <c r="L69" s="62" t="s">
        <v>2517</v>
      </c>
    </row>
    <row r="70" customFormat="false" ht="17.25" hidden="false" customHeight="false" outlineLevel="0" collapsed="false">
      <c r="A70" s="62"/>
      <c r="B70" s="62"/>
      <c r="C70" s="62"/>
      <c r="D70" s="63" t="s">
        <v>2518</v>
      </c>
      <c r="E70" s="62"/>
      <c r="F70" s="62"/>
      <c r="G70" s="62"/>
      <c r="H70" s="62"/>
      <c r="I70" s="62"/>
      <c r="J70" s="62"/>
      <c r="K70" s="62"/>
      <c r="L70" s="63" t="s">
        <v>2519</v>
      </c>
    </row>
    <row r="71" customFormat="false" ht="33" hidden="false" customHeight="false" outlineLevel="0" collapsed="false">
      <c r="A71" s="62"/>
      <c r="B71" s="62"/>
      <c r="C71" s="62"/>
      <c r="D71" s="62" t="s">
        <v>2520</v>
      </c>
      <c r="E71" s="62"/>
      <c r="F71" s="62"/>
      <c r="G71" s="62"/>
      <c r="H71" s="62"/>
      <c r="I71" s="62"/>
      <c r="J71" s="62"/>
      <c r="K71" s="62"/>
      <c r="L71" s="63" t="s">
        <v>2521</v>
      </c>
    </row>
    <row r="72" customFormat="false" ht="33" hidden="false" customHeight="false" outlineLevel="0" collapsed="false">
      <c r="A72" s="62"/>
      <c r="B72" s="62"/>
      <c r="C72" s="62"/>
      <c r="D72" s="63" t="s">
        <v>2522</v>
      </c>
      <c r="E72" s="62"/>
      <c r="F72" s="62"/>
      <c r="G72" s="62"/>
      <c r="H72" s="62"/>
      <c r="I72" s="62"/>
      <c r="J72" s="62"/>
      <c r="K72" s="62"/>
      <c r="L72" s="63" t="s">
        <v>2523</v>
      </c>
    </row>
    <row r="73" customFormat="false" ht="17.25" hidden="false" customHeight="false" outlineLevel="0" collapsed="false">
      <c r="A73" s="62"/>
      <c r="B73" s="62"/>
      <c r="C73" s="62"/>
      <c r="D73" s="63" t="s">
        <v>2524</v>
      </c>
      <c r="E73" s="62"/>
      <c r="F73" s="62"/>
      <c r="G73" s="62"/>
      <c r="H73" s="62"/>
      <c r="I73" s="62"/>
      <c r="J73" s="62"/>
      <c r="K73" s="62"/>
      <c r="L73" s="63" t="s">
        <v>2525</v>
      </c>
    </row>
    <row r="74" customFormat="false" ht="17.25" hidden="false" customHeight="false" outlineLevel="0" collapsed="false">
      <c r="A74" s="62"/>
      <c r="B74" s="62"/>
      <c r="C74" s="62"/>
      <c r="D74" s="63" t="s">
        <v>2526</v>
      </c>
      <c r="E74" s="62"/>
      <c r="F74" s="62"/>
      <c r="G74" s="62"/>
      <c r="H74" s="62"/>
      <c r="I74" s="62"/>
      <c r="J74" s="62"/>
      <c r="K74" s="62"/>
      <c r="L74" s="63" t="s">
        <v>838</v>
      </c>
    </row>
    <row r="75" customFormat="false" ht="17.25" hidden="false" customHeight="false" outlineLevel="0" collapsed="false">
      <c r="A75" s="62"/>
      <c r="B75" s="62"/>
      <c r="C75" s="62"/>
      <c r="D75" s="62" t="s">
        <v>2527</v>
      </c>
      <c r="E75" s="62"/>
      <c r="F75" s="62"/>
      <c r="G75" s="62"/>
      <c r="H75" s="62"/>
      <c r="I75" s="62"/>
      <c r="J75" s="62"/>
      <c r="K75" s="62"/>
      <c r="L75" s="62"/>
    </row>
    <row r="76" customFormat="false" ht="33" hidden="false" customHeight="false" outlineLevel="0" collapsed="false">
      <c r="A76" s="62"/>
      <c r="B76" s="62"/>
      <c r="C76" s="62"/>
      <c r="D76" s="63" t="s">
        <v>2528</v>
      </c>
      <c r="E76" s="62"/>
      <c r="F76" s="62"/>
      <c r="G76" s="62"/>
      <c r="H76" s="62"/>
      <c r="I76" s="62"/>
      <c r="J76" s="62"/>
      <c r="K76" s="62"/>
      <c r="L76" s="62"/>
    </row>
    <row r="77" customFormat="false" ht="33" hidden="false" customHeight="false" outlineLevel="0" collapsed="false">
      <c r="A77" s="62"/>
      <c r="B77" s="62"/>
      <c r="C77" s="62"/>
      <c r="D77" s="63" t="s">
        <v>2529</v>
      </c>
      <c r="E77" s="62"/>
      <c r="F77" s="62"/>
      <c r="G77" s="62"/>
      <c r="H77" s="62"/>
      <c r="I77" s="62"/>
      <c r="J77" s="62"/>
      <c r="K77" s="62"/>
      <c r="L77" s="62"/>
    </row>
    <row r="78" customFormat="false" ht="17.25" hidden="false" customHeight="false" outlineLevel="0" collapsed="false">
      <c r="A78" s="62"/>
      <c r="B78" s="62"/>
      <c r="C78" s="62"/>
      <c r="D78" s="63" t="s">
        <v>2530</v>
      </c>
      <c r="E78" s="62"/>
      <c r="F78" s="62"/>
      <c r="G78" s="62"/>
      <c r="H78" s="62"/>
      <c r="I78" s="62"/>
      <c r="J78" s="62"/>
      <c r="K78" s="62"/>
      <c r="L78" s="62"/>
    </row>
    <row r="79" customFormat="false" ht="17.25" hidden="false" customHeight="false" outlineLevel="0" collapsed="false">
      <c r="A79" s="62"/>
      <c r="B79" s="62"/>
      <c r="C79" s="62"/>
      <c r="D79" s="62" t="s">
        <v>2531</v>
      </c>
      <c r="E79" s="62"/>
      <c r="F79" s="62"/>
      <c r="G79" s="62"/>
      <c r="H79" s="62"/>
      <c r="I79" s="62"/>
      <c r="J79" s="62"/>
      <c r="K79" s="62"/>
      <c r="L79" s="62"/>
    </row>
    <row r="80" customFormat="false" ht="33" hidden="false" customHeight="false" outlineLevel="0" collapsed="false">
      <c r="A80" s="62"/>
      <c r="B80" s="62"/>
      <c r="C80" s="62"/>
      <c r="D80" s="63" t="s">
        <v>2532</v>
      </c>
      <c r="E80" s="62"/>
      <c r="F80" s="62"/>
      <c r="G80" s="62"/>
      <c r="H80" s="62"/>
      <c r="I80" s="62"/>
      <c r="J80" s="62"/>
      <c r="K80" s="62"/>
      <c r="L80" s="62"/>
    </row>
    <row r="81" customFormat="false" ht="33" hidden="false" customHeight="false" outlineLevel="0" collapsed="false">
      <c r="A81" s="62"/>
      <c r="B81" s="62"/>
      <c r="C81" s="62"/>
      <c r="D81" s="63" t="s">
        <v>2533</v>
      </c>
      <c r="E81" s="62"/>
      <c r="F81" s="62"/>
      <c r="G81" s="62"/>
      <c r="H81" s="62"/>
      <c r="I81" s="62"/>
      <c r="J81" s="62"/>
      <c r="K81" s="62"/>
      <c r="L81" s="62"/>
    </row>
    <row r="82" customFormat="false" ht="17.25" hidden="false" customHeight="false" outlineLevel="0" collapsed="false">
      <c r="A82" s="62"/>
      <c r="B82" s="62"/>
      <c r="C82" s="62"/>
      <c r="D82" s="63" t="s">
        <v>2534</v>
      </c>
      <c r="E82" s="62"/>
      <c r="F82" s="62"/>
      <c r="G82" s="62"/>
      <c r="H82" s="62"/>
      <c r="I82" s="62"/>
      <c r="J82" s="62"/>
      <c r="K82" s="62"/>
      <c r="L82" s="62"/>
    </row>
    <row r="83" customFormat="false" ht="17.25" hidden="false" customHeight="false" outlineLevel="0" collapsed="false">
      <c r="A83" s="62"/>
      <c r="B83" s="62"/>
      <c r="C83" s="62"/>
      <c r="D83" s="62" t="s">
        <v>2531</v>
      </c>
      <c r="E83" s="62"/>
      <c r="F83" s="62"/>
      <c r="G83" s="62"/>
      <c r="H83" s="62"/>
      <c r="I83" s="62"/>
      <c r="J83" s="62"/>
      <c r="K83" s="62"/>
      <c r="L83" s="62"/>
    </row>
    <row r="84" customFormat="false" ht="33" hidden="false" customHeight="false" outlineLevel="0" collapsed="false">
      <c r="A84" s="62"/>
      <c r="B84" s="62"/>
      <c r="C84" s="62"/>
      <c r="D84" s="63" t="s">
        <v>2535</v>
      </c>
      <c r="E84" s="62"/>
      <c r="F84" s="62"/>
      <c r="G84" s="62"/>
      <c r="H84" s="62"/>
      <c r="I84" s="62"/>
      <c r="J84" s="62"/>
      <c r="K84" s="62"/>
      <c r="L84" s="62"/>
    </row>
    <row r="85" customFormat="false" ht="17.25" hidden="false" customHeight="false" outlineLevel="0" collapsed="false">
      <c r="A85" s="62"/>
      <c r="B85" s="62"/>
      <c r="C85" s="62"/>
      <c r="D85" s="63" t="s">
        <v>2536</v>
      </c>
      <c r="E85" s="62"/>
      <c r="F85" s="62"/>
      <c r="G85" s="62"/>
      <c r="H85" s="62"/>
      <c r="I85" s="62"/>
      <c r="J85" s="62"/>
      <c r="K85" s="62"/>
      <c r="L85" s="62"/>
    </row>
    <row r="86" customFormat="false" ht="17.25" hidden="false" customHeight="false" outlineLevel="0" collapsed="false">
      <c r="A86" s="62"/>
      <c r="B86" s="62"/>
      <c r="C86" s="62"/>
      <c r="D86" s="63" t="s">
        <v>2537</v>
      </c>
      <c r="E86" s="62"/>
      <c r="F86" s="62"/>
      <c r="G86" s="62"/>
      <c r="H86" s="62"/>
      <c r="I86" s="62"/>
      <c r="J86" s="62"/>
      <c r="K86" s="62"/>
      <c r="L86" s="62"/>
    </row>
    <row r="87" customFormat="false" ht="17.25" hidden="false" customHeight="false" outlineLevel="0" collapsed="false">
      <c r="A87" s="62"/>
      <c r="B87" s="62"/>
      <c r="C87" s="62"/>
      <c r="D87" s="62" t="s">
        <v>2538</v>
      </c>
      <c r="E87" s="62"/>
      <c r="F87" s="62"/>
      <c r="G87" s="62"/>
      <c r="H87" s="62"/>
      <c r="I87" s="62"/>
      <c r="J87" s="62"/>
      <c r="K87" s="62"/>
      <c r="L87" s="62"/>
    </row>
    <row r="88" customFormat="false" ht="33" hidden="false" customHeight="false" outlineLevel="0" collapsed="false">
      <c r="A88" s="62"/>
      <c r="B88" s="62"/>
      <c r="C88" s="62"/>
      <c r="D88" s="63" t="s">
        <v>227</v>
      </c>
      <c r="E88" s="62"/>
      <c r="F88" s="62"/>
      <c r="G88" s="62"/>
      <c r="H88" s="62"/>
      <c r="I88" s="62"/>
      <c r="J88" s="62"/>
      <c r="K88" s="62"/>
      <c r="L88" s="62"/>
    </row>
    <row r="89" customFormat="false" ht="33" hidden="false" customHeight="false" outlineLevel="0" collapsed="false">
      <c r="A89" s="62"/>
      <c r="B89" s="62"/>
      <c r="C89" s="62"/>
      <c r="D89" s="63" t="s">
        <v>282</v>
      </c>
      <c r="E89" s="62"/>
      <c r="F89" s="62"/>
      <c r="G89" s="62"/>
      <c r="H89" s="62"/>
      <c r="I89" s="62"/>
      <c r="J89" s="62"/>
      <c r="K89" s="62"/>
      <c r="L89" s="62"/>
    </row>
    <row r="90" customFormat="false" ht="17.25" hidden="false" customHeight="false" outlineLevel="0" collapsed="false">
      <c r="A90" s="62"/>
      <c r="B90" s="62"/>
      <c r="C90" s="62"/>
      <c r="D90" s="63" t="s">
        <v>236</v>
      </c>
      <c r="E90" s="62"/>
      <c r="F90" s="62"/>
      <c r="G90" s="62"/>
      <c r="H90" s="62"/>
      <c r="I90" s="62"/>
      <c r="J90" s="62"/>
      <c r="K90" s="62"/>
      <c r="L90" s="62"/>
    </row>
    <row r="91" customFormat="false" ht="17.25" hidden="false" customHeight="false" outlineLevel="0" collapsed="false">
      <c r="A91" s="62"/>
      <c r="B91" s="62"/>
      <c r="C91" s="62"/>
      <c r="D91" s="62" t="s">
        <v>2539</v>
      </c>
      <c r="E91" s="62"/>
      <c r="F91" s="62"/>
      <c r="G91" s="62"/>
      <c r="H91" s="62"/>
      <c r="I91" s="62"/>
      <c r="J91" s="62"/>
      <c r="K91" s="62"/>
      <c r="L91" s="62"/>
    </row>
    <row r="92" customFormat="false" ht="33" hidden="false" customHeight="false" outlineLevel="0" collapsed="false">
      <c r="A92" s="62"/>
      <c r="B92" s="62"/>
      <c r="C92" s="62"/>
      <c r="D92" s="63" t="s">
        <v>836</v>
      </c>
      <c r="E92" s="62"/>
      <c r="F92" s="62"/>
      <c r="G92" s="62"/>
      <c r="H92" s="62"/>
      <c r="I92" s="62"/>
      <c r="J92" s="62"/>
      <c r="K92" s="62"/>
      <c r="L92" s="62"/>
    </row>
    <row r="93" customFormat="false" ht="33" hidden="false" customHeight="false" outlineLevel="0" collapsed="false">
      <c r="A93" s="62"/>
      <c r="B93" s="62"/>
      <c r="C93" s="62"/>
      <c r="D93" s="63" t="s">
        <v>837</v>
      </c>
      <c r="E93" s="62"/>
      <c r="F93" s="62"/>
      <c r="G93" s="62"/>
      <c r="H93" s="62"/>
      <c r="I93" s="62"/>
      <c r="J93" s="62"/>
      <c r="K93" s="62"/>
      <c r="L93" s="62"/>
    </row>
    <row r="94" customFormat="false" ht="17.25" hidden="false" customHeight="false" outlineLevel="0" collapsed="false">
      <c r="A94" s="62"/>
      <c r="B94" s="62"/>
      <c r="C94" s="62"/>
      <c r="D94" s="63" t="s">
        <v>2540</v>
      </c>
      <c r="E94" s="62"/>
      <c r="F94" s="62"/>
      <c r="G94" s="62"/>
      <c r="H94" s="62"/>
      <c r="I94" s="62"/>
      <c r="J94" s="62"/>
      <c r="K94" s="62"/>
      <c r="L94" s="62"/>
    </row>
    <row r="95" customFormat="false" ht="17.25" hidden="false" customHeight="false" outlineLevel="0" collapsed="false">
      <c r="A95" s="62"/>
      <c r="B95" s="62"/>
      <c r="C95" s="62"/>
      <c r="D95" s="62" t="s">
        <v>2541</v>
      </c>
      <c r="E95" s="62"/>
      <c r="F95" s="62"/>
      <c r="G95" s="62"/>
      <c r="H95" s="62"/>
      <c r="I95" s="62"/>
      <c r="J95" s="62"/>
      <c r="K95" s="62"/>
      <c r="L95" s="62"/>
    </row>
    <row r="96" customFormat="false" ht="17.25" hidden="false" customHeight="false" outlineLevel="0" collapsed="false">
      <c r="A96" s="62"/>
      <c r="B96" s="62"/>
      <c r="C96" s="62"/>
      <c r="D96" s="63" t="s">
        <v>2542</v>
      </c>
      <c r="E96" s="62"/>
      <c r="F96" s="62"/>
      <c r="G96" s="62"/>
      <c r="H96" s="62"/>
      <c r="I96" s="62"/>
      <c r="J96" s="62"/>
      <c r="K96" s="62"/>
      <c r="L96" s="62"/>
    </row>
    <row r="97" customFormat="false" ht="33" hidden="false" customHeight="false" outlineLevel="0" collapsed="false">
      <c r="A97" s="62"/>
      <c r="B97" s="62"/>
      <c r="C97" s="62"/>
      <c r="D97" s="63" t="s">
        <v>2543</v>
      </c>
      <c r="E97" s="62"/>
      <c r="F97" s="62"/>
      <c r="G97" s="62"/>
      <c r="H97" s="62"/>
      <c r="I97" s="62"/>
      <c r="J97" s="62"/>
      <c r="K97" s="62"/>
      <c r="L97" s="62"/>
    </row>
    <row r="98" customFormat="false" ht="17.25" hidden="false" customHeight="false" outlineLevel="0" collapsed="false">
      <c r="A98" s="62"/>
      <c r="B98" s="62"/>
      <c r="C98" s="62"/>
      <c r="D98" s="63" t="s">
        <v>2544</v>
      </c>
      <c r="E98" s="62"/>
      <c r="F98" s="62"/>
      <c r="G98" s="62"/>
      <c r="H98" s="62"/>
      <c r="I98" s="62"/>
      <c r="J98" s="62"/>
      <c r="K98" s="62"/>
      <c r="L98" s="62"/>
    </row>
    <row r="99" customFormat="false" ht="17.25" hidden="false" customHeight="false" outlineLevel="0" collapsed="false">
      <c r="A99" s="62"/>
      <c r="B99" s="62"/>
      <c r="C99" s="62"/>
      <c r="D99" s="62" t="s">
        <v>2520</v>
      </c>
      <c r="E99" s="62"/>
      <c r="F99" s="62"/>
      <c r="G99" s="62"/>
      <c r="H99" s="62"/>
      <c r="I99" s="62"/>
      <c r="J99" s="62"/>
      <c r="K99" s="62"/>
      <c r="L99" s="62"/>
    </row>
    <row r="100" customFormat="false" ht="17.25" hidden="false" customHeight="false" outlineLevel="0" collapsed="false">
      <c r="A100" s="62"/>
      <c r="B100" s="62"/>
      <c r="C100" s="62"/>
      <c r="D100" s="63" t="s">
        <v>2545</v>
      </c>
      <c r="E100" s="62"/>
      <c r="F100" s="62"/>
      <c r="G100" s="62"/>
      <c r="H100" s="62"/>
      <c r="I100" s="62"/>
      <c r="J100" s="62"/>
      <c r="K100" s="62"/>
      <c r="L100" s="62"/>
    </row>
    <row r="101" customFormat="false" ht="17.25" hidden="false" customHeight="false" outlineLevel="0" collapsed="false">
      <c r="A101" s="62"/>
      <c r="B101" s="62"/>
      <c r="C101" s="62"/>
      <c r="D101" s="63" t="s">
        <v>2546</v>
      </c>
      <c r="E101" s="62"/>
      <c r="F101" s="62"/>
      <c r="G101" s="62"/>
      <c r="H101" s="62"/>
      <c r="I101" s="62"/>
      <c r="J101" s="62"/>
      <c r="K101" s="62"/>
      <c r="L101" s="62"/>
    </row>
    <row r="102" customFormat="false" ht="17.25" hidden="false" customHeight="false" outlineLevel="0" collapsed="false">
      <c r="A102" s="62"/>
      <c r="B102" s="62"/>
      <c r="C102" s="62"/>
      <c r="D102" s="63" t="s">
        <v>2547</v>
      </c>
      <c r="E102" s="62"/>
      <c r="F102" s="62"/>
      <c r="G102" s="62"/>
      <c r="H102" s="62"/>
      <c r="I102" s="62"/>
      <c r="J102" s="62"/>
      <c r="K102" s="62"/>
      <c r="L102" s="62"/>
    </row>
    <row r="103" customFormat="false" ht="17.25" hidden="false" customHeight="false" outlineLevel="0" collapsed="false">
      <c r="A103" s="62"/>
      <c r="B103" s="62"/>
      <c r="C103" s="62"/>
      <c r="D103" s="62" t="s">
        <v>2548</v>
      </c>
      <c r="E103" s="62"/>
      <c r="F103" s="62"/>
      <c r="G103" s="62"/>
      <c r="H103" s="62"/>
      <c r="I103" s="62"/>
      <c r="J103" s="62"/>
      <c r="K103" s="62"/>
      <c r="L103" s="62"/>
    </row>
    <row r="104" customFormat="false" ht="17.25" hidden="false" customHeight="false" outlineLevel="0" collapsed="false">
      <c r="A104" s="62"/>
      <c r="B104" s="62"/>
      <c r="C104" s="62"/>
      <c r="D104" s="63" t="s">
        <v>2549</v>
      </c>
      <c r="E104" s="62"/>
      <c r="F104" s="62"/>
      <c r="G104" s="62"/>
      <c r="H104" s="62"/>
      <c r="I104" s="62"/>
      <c r="J104" s="62"/>
      <c r="K104" s="62"/>
      <c r="L104" s="62"/>
    </row>
    <row r="105" customFormat="false" ht="33" hidden="false" customHeight="false" outlineLevel="0" collapsed="false">
      <c r="A105" s="62"/>
      <c r="B105" s="62"/>
      <c r="C105" s="62"/>
      <c r="D105" s="63" t="s">
        <v>2347</v>
      </c>
      <c r="E105" s="62"/>
      <c r="F105" s="62"/>
      <c r="G105" s="62"/>
      <c r="H105" s="62"/>
      <c r="I105" s="62"/>
      <c r="J105" s="62"/>
      <c r="K105" s="62"/>
      <c r="L105" s="62"/>
    </row>
    <row r="106" customFormat="false" ht="17.25" hidden="false" customHeight="false" outlineLevel="0" collapsed="false">
      <c r="A106" s="62"/>
      <c r="B106" s="62"/>
      <c r="C106" s="62"/>
      <c r="D106" s="63" t="s">
        <v>2550</v>
      </c>
      <c r="E106" s="62"/>
      <c r="F106" s="62"/>
      <c r="G106" s="62"/>
      <c r="H106" s="62"/>
      <c r="I106" s="62"/>
      <c r="J106" s="62"/>
      <c r="K106" s="62"/>
      <c r="L106" s="62"/>
    </row>
    <row r="107" customFormat="false" ht="17.25" hidden="false" customHeight="false" outlineLevel="0" collapsed="false">
      <c r="A107" s="62"/>
      <c r="B107" s="62"/>
      <c r="C107" s="62"/>
      <c r="D107" s="62" t="s">
        <v>2551</v>
      </c>
      <c r="E107" s="62"/>
      <c r="F107" s="62"/>
      <c r="G107" s="62"/>
      <c r="H107" s="62"/>
      <c r="I107" s="62"/>
      <c r="J107" s="62"/>
      <c r="K107" s="62"/>
      <c r="L107" s="62"/>
    </row>
    <row r="108" customFormat="false" ht="33" hidden="false" customHeight="false" outlineLevel="0" collapsed="false">
      <c r="A108" s="62"/>
      <c r="B108" s="62"/>
      <c r="C108" s="62"/>
      <c r="D108" s="63" t="s">
        <v>2552</v>
      </c>
      <c r="E108" s="62"/>
      <c r="F108" s="62"/>
      <c r="G108" s="62"/>
      <c r="H108" s="62"/>
      <c r="I108" s="62"/>
      <c r="J108" s="62"/>
      <c r="K108" s="62"/>
      <c r="L108" s="62"/>
    </row>
    <row r="109" customFormat="false" ht="33" hidden="false" customHeight="false" outlineLevel="0" collapsed="false">
      <c r="A109" s="62"/>
      <c r="B109" s="62"/>
      <c r="C109" s="62"/>
      <c r="D109" s="63" t="s">
        <v>2347</v>
      </c>
      <c r="E109" s="62"/>
      <c r="F109" s="62"/>
      <c r="G109" s="62"/>
      <c r="H109" s="62"/>
      <c r="I109" s="62"/>
      <c r="J109" s="62"/>
      <c r="K109" s="62"/>
      <c r="L109" s="62"/>
    </row>
    <row r="110" customFormat="false" ht="17.25" hidden="false" customHeight="false" outlineLevel="0" collapsed="false">
      <c r="A110" s="62"/>
      <c r="B110" s="62"/>
      <c r="C110" s="62"/>
      <c r="D110" s="63" t="s">
        <v>2550</v>
      </c>
      <c r="E110" s="62"/>
      <c r="F110" s="62"/>
      <c r="G110" s="62"/>
      <c r="H110" s="62"/>
      <c r="I110" s="62"/>
      <c r="J110" s="62"/>
      <c r="K110" s="62"/>
      <c r="L110" s="62"/>
    </row>
    <row r="111" customFormat="false" ht="17.25" hidden="false" customHeight="false" outlineLevel="0" collapsed="false">
      <c r="A111" s="62"/>
      <c r="B111" s="62"/>
      <c r="C111" s="62"/>
      <c r="D111" s="62" t="s">
        <v>2553</v>
      </c>
      <c r="E111" s="62"/>
      <c r="F111" s="62"/>
      <c r="G111" s="62"/>
      <c r="H111" s="62"/>
      <c r="I111" s="62"/>
      <c r="J111" s="62"/>
      <c r="K111" s="62"/>
      <c r="L111" s="62"/>
    </row>
    <row r="112" customFormat="false" ht="33" hidden="false" customHeight="false" outlineLevel="0" collapsed="false">
      <c r="A112" s="62"/>
      <c r="B112" s="62"/>
      <c r="C112" s="62"/>
      <c r="D112" s="63" t="s">
        <v>2554</v>
      </c>
      <c r="E112" s="62"/>
      <c r="F112" s="62"/>
      <c r="G112" s="62"/>
      <c r="H112" s="62"/>
      <c r="I112" s="62"/>
      <c r="J112" s="62"/>
      <c r="K112" s="62"/>
      <c r="L112" s="62"/>
    </row>
    <row r="113" customFormat="false" ht="33" hidden="false" customHeight="false" outlineLevel="0" collapsed="false">
      <c r="A113" s="62"/>
      <c r="B113" s="62"/>
      <c r="C113" s="62"/>
      <c r="D113" s="63" t="s">
        <v>2555</v>
      </c>
      <c r="E113" s="62"/>
      <c r="F113" s="62"/>
      <c r="G113" s="62"/>
      <c r="H113" s="62"/>
      <c r="I113" s="62"/>
      <c r="J113" s="62"/>
      <c r="K113" s="62"/>
      <c r="L113" s="62"/>
    </row>
    <row r="114" customFormat="false" ht="33" hidden="false" customHeight="false" outlineLevel="0" collapsed="false">
      <c r="A114" s="62"/>
      <c r="B114" s="62"/>
      <c r="C114" s="62"/>
      <c r="D114" s="63" t="s">
        <v>2556</v>
      </c>
      <c r="E114" s="62"/>
      <c r="F114" s="62"/>
      <c r="G114" s="62"/>
      <c r="H114" s="62"/>
      <c r="I114" s="62"/>
      <c r="J114" s="62"/>
      <c r="K114" s="62"/>
      <c r="L114" s="62"/>
    </row>
    <row r="115" customFormat="false" ht="17.25" hidden="false" customHeight="false" outlineLevel="0" collapsed="false">
      <c r="A115" s="62"/>
      <c r="B115" s="62"/>
      <c r="C115" s="62"/>
      <c r="D115" s="63" t="s">
        <v>2550</v>
      </c>
      <c r="E115" s="62"/>
      <c r="F115" s="62"/>
      <c r="G115" s="62"/>
      <c r="H115" s="62"/>
      <c r="I115" s="62"/>
      <c r="J115" s="62"/>
      <c r="K115" s="62"/>
      <c r="L115" s="62"/>
    </row>
    <row r="116" customFormat="false" ht="33" hidden="false" customHeight="false" outlineLevel="0" collapsed="false">
      <c r="A116" s="62"/>
      <c r="B116" s="62"/>
      <c r="C116" s="62"/>
      <c r="D116" s="63" t="s">
        <v>244</v>
      </c>
      <c r="E116" s="62"/>
      <c r="F116" s="62"/>
      <c r="G116" s="62"/>
      <c r="H116" s="62"/>
      <c r="I116" s="62"/>
      <c r="J116" s="62"/>
      <c r="K116" s="62"/>
      <c r="L116" s="62"/>
    </row>
    <row r="117" customFormat="false" ht="17.25" hidden="false" customHeight="false" outlineLevel="0" collapsed="false">
      <c r="A117" s="62"/>
      <c r="B117" s="62"/>
      <c r="C117" s="62"/>
      <c r="D117" s="62" t="s">
        <v>2557</v>
      </c>
      <c r="E117" s="62"/>
      <c r="F117" s="62"/>
      <c r="G117" s="62"/>
      <c r="H117" s="62"/>
      <c r="I117" s="62"/>
      <c r="J117" s="62"/>
      <c r="K117" s="62"/>
      <c r="L117" s="62"/>
    </row>
    <row r="118" customFormat="false" ht="33" hidden="false" customHeight="false" outlineLevel="0" collapsed="false">
      <c r="A118" s="62"/>
      <c r="B118" s="62"/>
      <c r="C118" s="62"/>
      <c r="D118" s="63" t="s">
        <v>2556</v>
      </c>
      <c r="E118" s="62"/>
      <c r="F118" s="62"/>
      <c r="G118" s="62"/>
      <c r="H118" s="62"/>
      <c r="I118" s="62"/>
      <c r="J118" s="62"/>
      <c r="K118" s="62"/>
      <c r="L118" s="62"/>
    </row>
    <row r="119" customFormat="false" ht="17.25" hidden="false" customHeight="false" outlineLevel="0" collapsed="false">
      <c r="A119" s="62"/>
      <c r="B119" s="62"/>
      <c r="C119" s="62"/>
      <c r="D119" s="63" t="s">
        <v>2338</v>
      </c>
      <c r="E119" s="62"/>
      <c r="F119" s="62"/>
      <c r="G119" s="62"/>
      <c r="H119" s="62"/>
      <c r="I119" s="62"/>
      <c r="J119" s="62"/>
      <c r="K119" s="62"/>
      <c r="L119" s="62"/>
    </row>
    <row r="120" customFormat="false" ht="17.25" hidden="false" customHeight="false" outlineLevel="0" collapsed="false">
      <c r="A120" s="62"/>
      <c r="B120" s="62"/>
      <c r="C120" s="62"/>
      <c r="D120" s="63" t="s">
        <v>2340</v>
      </c>
      <c r="E120" s="62"/>
      <c r="F120" s="62"/>
      <c r="G120" s="62"/>
      <c r="H120" s="62"/>
      <c r="I120" s="62"/>
      <c r="J120" s="62"/>
      <c r="K120" s="62"/>
      <c r="L120" s="62"/>
    </row>
    <row r="121" customFormat="false" ht="33" hidden="false" customHeight="false" outlineLevel="0" collapsed="false">
      <c r="A121" s="62"/>
      <c r="B121" s="62"/>
      <c r="C121" s="62"/>
      <c r="D121" s="62" t="s">
        <v>2558</v>
      </c>
      <c r="E121" s="62"/>
      <c r="F121" s="62"/>
      <c r="G121" s="62"/>
      <c r="H121" s="62"/>
      <c r="I121" s="62"/>
      <c r="J121" s="62"/>
      <c r="K121" s="62"/>
      <c r="L121" s="62"/>
    </row>
    <row r="122" customFormat="false" ht="17.25" hidden="false" customHeight="false" outlineLevel="0" collapsed="false">
      <c r="A122" s="62"/>
      <c r="B122" s="62"/>
      <c r="C122" s="62"/>
      <c r="D122" s="63" t="s">
        <v>2334</v>
      </c>
      <c r="E122" s="62"/>
      <c r="F122" s="62"/>
      <c r="G122" s="62"/>
      <c r="H122" s="62"/>
      <c r="I122" s="62"/>
      <c r="J122" s="62"/>
      <c r="K122" s="62"/>
      <c r="L122" s="62"/>
    </row>
    <row r="123" customFormat="false" ht="17.25" hidden="false" customHeight="false" outlineLevel="0" collapsed="false">
      <c r="A123" s="62"/>
      <c r="B123" s="62"/>
      <c r="C123" s="62"/>
      <c r="D123" s="63" t="s">
        <v>2336</v>
      </c>
      <c r="E123" s="62"/>
      <c r="F123" s="62"/>
      <c r="G123" s="62"/>
      <c r="H123" s="62"/>
      <c r="I123" s="62"/>
      <c r="J123" s="62"/>
      <c r="K123" s="62"/>
      <c r="L123" s="62"/>
    </row>
    <row r="124" customFormat="false" ht="17.25" hidden="false" customHeight="false" outlineLevel="0" collapsed="false">
      <c r="A124" s="62"/>
      <c r="B124" s="62"/>
      <c r="C124" s="62"/>
      <c r="D124" s="63" t="s">
        <v>2338</v>
      </c>
      <c r="E124" s="62"/>
      <c r="F124" s="62"/>
      <c r="G124" s="62"/>
      <c r="H124" s="62"/>
      <c r="I124" s="62"/>
      <c r="J124" s="62"/>
      <c r="K124" s="62"/>
      <c r="L124" s="62"/>
    </row>
    <row r="125" customFormat="false" ht="17.25" hidden="false" customHeight="false" outlineLevel="0" collapsed="false">
      <c r="A125" s="62"/>
      <c r="B125" s="62"/>
      <c r="C125" s="62"/>
      <c r="D125" s="63" t="s">
        <v>2340</v>
      </c>
      <c r="E125" s="62"/>
      <c r="F125" s="62"/>
      <c r="G125" s="62"/>
      <c r="H125" s="62"/>
      <c r="I125" s="62"/>
      <c r="J125" s="62"/>
      <c r="K125" s="62"/>
      <c r="L125" s="62"/>
    </row>
    <row r="126" customFormat="false" ht="33" hidden="false" customHeight="false" outlineLevel="0" collapsed="false">
      <c r="A126" s="62"/>
      <c r="B126" s="62"/>
      <c r="C126" s="62"/>
      <c r="D126" s="63" t="s">
        <v>244</v>
      </c>
      <c r="E126" s="62"/>
      <c r="F126" s="62"/>
      <c r="G126" s="62"/>
      <c r="H126" s="62"/>
      <c r="I126" s="62"/>
      <c r="J126" s="62"/>
      <c r="K126" s="62"/>
      <c r="L126" s="62"/>
    </row>
    <row r="127" customFormat="false" ht="17.25" hidden="false" customHeight="false" outlineLevel="0" collapsed="false">
      <c r="A127" s="62"/>
      <c r="B127" s="62"/>
      <c r="C127" s="62"/>
      <c r="D127" s="62" t="s">
        <v>2559</v>
      </c>
      <c r="E127" s="62"/>
      <c r="F127" s="62"/>
      <c r="G127" s="62"/>
      <c r="H127" s="62"/>
      <c r="I127" s="62"/>
      <c r="J127" s="62"/>
      <c r="K127" s="62"/>
      <c r="L127" s="62"/>
    </row>
    <row r="128" customFormat="false" ht="33" hidden="false" customHeight="false" outlineLevel="0" collapsed="false">
      <c r="A128" s="62"/>
      <c r="B128" s="62"/>
      <c r="C128" s="62"/>
      <c r="D128" s="63" t="s">
        <v>2345</v>
      </c>
      <c r="E128" s="62"/>
      <c r="F128" s="62"/>
      <c r="G128" s="62"/>
      <c r="H128" s="62"/>
      <c r="I128" s="62"/>
      <c r="J128" s="62"/>
      <c r="K128" s="62"/>
      <c r="L128" s="62"/>
    </row>
    <row r="129" customFormat="false" ht="33" hidden="false" customHeight="false" outlineLevel="0" collapsed="false">
      <c r="A129" s="62"/>
      <c r="B129" s="62"/>
      <c r="C129" s="62"/>
      <c r="D129" s="63" t="s">
        <v>2347</v>
      </c>
      <c r="E129" s="62"/>
      <c r="F129" s="62"/>
      <c r="G129" s="62"/>
      <c r="H129" s="62"/>
      <c r="I129" s="62"/>
      <c r="J129" s="62"/>
      <c r="K129" s="62"/>
      <c r="L129" s="62"/>
    </row>
    <row r="130" customFormat="false" ht="17.25" hidden="false" customHeight="false" outlineLevel="0" collapsed="false">
      <c r="A130" s="62"/>
      <c r="B130" s="62"/>
      <c r="C130" s="62"/>
      <c r="D130" s="63" t="s">
        <v>2349</v>
      </c>
      <c r="E130" s="62"/>
      <c r="F130" s="62"/>
      <c r="G130" s="62"/>
      <c r="H130" s="62"/>
      <c r="I130" s="62"/>
      <c r="J130" s="62"/>
      <c r="K130" s="62"/>
      <c r="L130" s="62"/>
    </row>
    <row r="131" customFormat="false" ht="17.25" hidden="false" customHeight="false" outlineLevel="0" collapsed="false">
      <c r="A131" s="62"/>
      <c r="B131" s="62"/>
      <c r="C131" s="62"/>
      <c r="D131" s="62" t="s">
        <v>2560</v>
      </c>
      <c r="E131" s="62"/>
      <c r="F131" s="62"/>
      <c r="G131" s="62"/>
      <c r="H131" s="62"/>
      <c r="I131" s="62"/>
      <c r="J131" s="62"/>
      <c r="K131" s="62"/>
      <c r="L131" s="62"/>
    </row>
    <row r="132" customFormat="false" ht="33" hidden="false" customHeight="false" outlineLevel="0" collapsed="false">
      <c r="A132" s="62"/>
      <c r="B132" s="62"/>
      <c r="C132" s="62"/>
      <c r="D132" s="63" t="s">
        <v>2561</v>
      </c>
      <c r="E132" s="62"/>
      <c r="F132" s="62"/>
      <c r="G132" s="62"/>
      <c r="H132" s="62"/>
      <c r="I132" s="62"/>
      <c r="J132" s="62"/>
      <c r="K132" s="62"/>
      <c r="L132" s="62"/>
    </row>
    <row r="133" customFormat="false" ht="33" hidden="false" customHeight="false" outlineLevel="0" collapsed="false">
      <c r="A133" s="62"/>
      <c r="B133" s="62"/>
      <c r="C133" s="62"/>
      <c r="D133" s="63" t="s">
        <v>255</v>
      </c>
      <c r="E133" s="62"/>
      <c r="F133" s="62"/>
      <c r="G133" s="62"/>
      <c r="H133" s="62"/>
      <c r="I133" s="62"/>
      <c r="J133" s="62"/>
      <c r="K133" s="62"/>
      <c r="L133" s="62"/>
    </row>
    <row r="134" customFormat="false" ht="17.25" hidden="false" customHeight="false" outlineLevel="0" collapsed="false">
      <c r="A134" s="62"/>
      <c r="B134" s="62"/>
      <c r="C134" s="62"/>
      <c r="D134" s="63" t="s">
        <v>2562</v>
      </c>
      <c r="E134" s="62"/>
      <c r="F134" s="62"/>
      <c r="G134" s="62"/>
      <c r="H134" s="62"/>
      <c r="I134" s="62"/>
      <c r="J134" s="62"/>
      <c r="K134" s="62"/>
      <c r="L134" s="62"/>
    </row>
    <row r="135" customFormat="false" ht="17.25" hidden="false" customHeight="false" outlineLevel="0" collapsed="false">
      <c r="A135" s="62"/>
      <c r="B135" s="62"/>
      <c r="C135" s="62"/>
      <c r="D135" s="62" t="s">
        <v>2520</v>
      </c>
      <c r="E135" s="62"/>
      <c r="F135" s="62"/>
      <c r="G135" s="62"/>
      <c r="H135" s="62"/>
      <c r="I135" s="62"/>
      <c r="J135" s="62"/>
      <c r="K135" s="62"/>
      <c r="L135" s="62"/>
    </row>
    <row r="136" customFormat="false" ht="17.25" hidden="false" customHeight="false" outlineLevel="0" collapsed="false">
      <c r="A136" s="62"/>
      <c r="B136" s="62"/>
      <c r="C136" s="62"/>
      <c r="D136" s="63" t="s">
        <v>2563</v>
      </c>
      <c r="E136" s="62"/>
      <c r="F136" s="62"/>
      <c r="G136" s="62"/>
      <c r="H136" s="62"/>
      <c r="I136" s="62"/>
      <c r="J136" s="62"/>
      <c r="K136" s="62"/>
      <c r="L136" s="62"/>
    </row>
    <row r="137" customFormat="false" ht="17.25" hidden="false" customHeight="false" outlineLevel="0" collapsed="false">
      <c r="A137" s="62"/>
      <c r="B137" s="62"/>
      <c r="C137" s="62"/>
      <c r="D137" s="63" t="s">
        <v>2564</v>
      </c>
      <c r="E137" s="62"/>
      <c r="F137" s="62"/>
      <c r="G137" s="62"/>
      <c r="H137" s="62"/>
      <c r="I137" s="62"/>
      <c r="J137" s="62"/>
      <c r="K137" s="62"/>
      <c r="L137" s="62"/>
    </row>
    <row r="138" customFormat="false" ht="17.25" hidden="false" customHeight="false" outlineLevel="0" collapsed="false">
      <c r="A138" s="62"/>
      <c r="B138" s="62"/>
      <c r="C138" s="62"/>
      <c r="D138" s="63" t="s">
        <v>2565</v>
      </c>
      <c r="E138" s="62"/>
      <c r="F138" s="62"/>
      <c r="G138" s="62"/>
      <c r="H138" s="62"/>
      <c r="I138" s="62"/>
      <c r="J138" s="62"/>
      <c r="K138" s="62"/>
      <c r="L138" s="62"/>
    </row>
    <row r="139" customFormat="false" ht="17.25" hidden="false" customHeight="false" outlineLevel="0" collapsed="false">
      <c r="A139" s="62"/>
      <c r="B139" s="62"/>
      <c r="C139" s="62"/>
      <c r="D139" s="62" t="s">
        <v>2520</v>
      </c>
      <c r="E139" s="62"/>
      <c r="F139" s="62"/>
      <c r="G139" s="62"/>
      <c r="H139" s="62"/>
      <c r="I139" s="62"/>
      <c r="J139" s="62"/>
      <c r="K139" s="62"/>
      <c r="L139" s="62"/>
    </row>
    <row r="140" customFormat="false" ht="33" hidden="false" customHeight="false" outlineLevel="0" collapsed="false">
      <c r="A140" s="62"/>
      <c r="B140" s="62"/>
      <c r="C140" s="62"/>
      <c r="D140" s="63" t="s">
        <v>2566</v>
      </c>
      <c r="E140" s="62"/>
      <c r="F140" s="62"/>
      <c r="G140" s="62"/>
      <c r="H140" s="62"/>
      <c r="I140" s="62"/>
      <c r="J140" s="62"/>
      <c r="K140" s="62"/>
      <c r="L140" s="62"/>
    </row>
    <row r="141" customFormat="false" ht="33" hidden="false" customHeight="false" outlineLevel="0" collapsed="false">
      <c r="A141" s="62"/>
      <c r="B141" s="62"/>
      <c r="C141" s="62"/>
      <c r="D141" s="63" t="s">
        <v>2567</v>
      </c>
      <c r="E141" s="62"/>
      <c r="F141" s="62"/>
      <c r="G141" s="62"/>
      <c r="H141" s="62"/>
      <c r="I141" s="62"/>
      <c r="J141" s="62"/>
      <c r="K141" s="62"/>
      <c r="L141" s="62"/>
    </row>
    <row r="142" customFormat="false" ht="17.25" hidden="false" customHeight="false" outlineLevel="0" collapsed="false">
      <c r="A142" s="62"/>
      <c r="B142" s="62"/>
      <c r="C142" s="62"/>
      <c r="D142" s="63" t="s">
        <v>2568</v>
      </c>
      <c r="E142" s="62"/>
      <c r="F142" s="62"/>
      <c r="G142" s="62"/>
      <c r="H142" s="62"/>
      <c r="I142" s="62"/>
      <c r="J142" s="62"/>
      <c r="K142" s="62"/>
      <c r="L142" s="62"/>
    </row>
    <row r="143" customFormat="false" ht="17.25" hidden="false" customHeight="false" outlineLevel="0" collapsed="false">
      <c r="A143" s="62"/>
      <c r="B143" s="62"/>
      <c r="C143" s="62"/>
      <c r="D143" s="62" t="s">
        <v>2527</v>
      </c>
      <c r="E143" s="62"/>
      <c r="F143" s="62"/>
      <c r="G143" s="62"/>
      <c r="H143" s="62"/>
      <c r="I143" s="62"/>
      <c r="J143" s="62"/>
      <c r="K143" s="62"/>
      <c r="L143" s="62"/>
    </row>
    <row r="144" customFormat="false" ht="33" hidden="false" customHeight="false" outlineLevel="0" collapsed="false">
      <c r="A144" s="62"/>
      <c r="B144" s="62"/>
      <c r="C144" s="62"/>
      <c r="D144" s="63" t="s">
        <v>2569</v>
      </c>
      <c r="E144" s="62"/>
      <c r="F144" s="62"/>
      <c r="G144" s="62"/>
      <c r="H144" s="62"/>
      <c r="I144" s="62"/>
      <c r="J144" s="62"/>
      <c r="K144" s="62"/>
      <c r="L144" s="62"/>
    </row>
    <row r="145" customFormat="false" ht="33" hidden="false" customHeight="false" outlineLevel="0" collapsed="false">
      <c r="A145" s="62"/>
      <c r="B145" s="62"/>
      <c r="C145" s="62"/>
      <c r="D145" s="63" t="s">
        <v>255</v>
      </c>
      <c r="E145" s="62"/>
      <c r="F145" s="62"/>
      <c r="G145" s="62"/>
      <c r="H145" s="62"/>
      <c r="I145" s="62"/>
      <c r="J145" s="62"/>
      <c r="K145" s="62"/>
      <c r="L145" s="62"/>
    </row>
    <row r="146" customFormat="false" ht="17.25" hidden="false" customHeight="false" outlineLevel="0" collapsed="false">
      <c r="A146" s="62"/>
      <c r="B146" s="62"/>
      <c r="C146" s="62"/>
      <c r="D146" s="63" t="s">
        <v>2570</v>
      </c>
      <c r="E146" s="62"/>
      <c r="F146" s="62"/>
      <c r="G146" s="62"/>
      <c r="H146" s="62"/>
      <c r="I146" s="62"/>
      <c r="J146" s="62"/>
      <c r="K146" s="62"/>
      <c r="L146" s="62"/>
    </row>
    <row r="147" customFormat="false" ht="17.25" hidden="false" customHeight="false" outlineLevel="0" collapsed="false">
      <c r="A147" s="62"/>
      <c r="B147" s="62"/>
      <c r="C147" s="62"/>
      <c r="D147" s="62" t="s">
        <v>2520</v>
      </c>
      <c r="E147" s="62"/>
      <c r="F147" s="62"/>
      <c r="G147" s="62"/>
      <c r="H147" s="62"/>
      <c r="I147" s="62"/>
      <c r="J147" s="62"/>
      <c r="K147" s="62"/>
      <c r="L147" s="62"/>
    </row>
    <row r="148" customFormat="false" ht="17.25" hidden="false" customHeight="false" outlineLevel="0" collapsed="false">
      <c r="A148" s="62"/>
      <c r="B148" s="62"/>
      <c r="C148" s="62"/>
      <c r="D148" s="63" t="s">
        <v>2571</v>
      </c>
      <c r="E148" s="62"/>
      <c r="F148" s="62"/>
      <c r="G148" s="62"/>
      <c r="H148" s="62"/>
      <c r="I148" s="62"/>
      <c r="J148" s="62"/>
      <c r="K148" s="62"/>
      <c r="L148" s="62"/>
    </row>
    <row r="149" customFormat="false" ht="33" hidden="false" customHeight="false" outlineLevel="0" collapsed="false">
      <c r="A149" s="62"/>
      <c r="B149" s="62"/>
      <c r="C149" s="62"/>
      <c r="D149" s="63" t="s">
        <v>2572</v>
      </c>
      <c r="E149" s="62"/>
      <c r="F149" s="62"/>
      <c r="G149" s="62"/>
      <c r="H149" s="62"/>
      <c r="I149" s="62"/>
      <c r="J149" s="62"/>
      <c r="K149" s="62"/>
      <c r="L149" s="62"/>
    </row>
    <row r="150" customFormat="false" ht="33" hidden="false" customHeight="false" outlineLevel="0" collapsed="false">
      <c r="A150" s="62"/>
      <c r="B150" s="62"/>
      <c r="C150" s="62"/>
      <c r="D150" s="63" t="s">
        <v>1007</v>
      </c>
      <c r="E150" s="62"/>
      <c r="F150" s="62"/>
      <c r="G150" s="62"/>
      <c r="H150" s="62"/>
      <c r="I150" s="62"/>
      <c r="J150" s="62"/>
      <c r="K150" s="62"/>
      <c r="L150" s="62"/>
    </row>
    <row r="151" customFormat="false" ht="17.25" hidden="false" customHeight="false" outlineLevel="0" collapsed="false">
      <c r="A151" s="62"/>
      <c r="B151" s="62"/>
      <c r="C151" s="62"/>
      <c r="D151" s="63" t="s">
        <v>2573</v>
      </c>
      <c r="E151" s="62"/>
      <c r="F151" s="62"/>
      <c r="G151" s="62"/>
      <c r="H151" s="62"/>
      <c r="I151" s="62"/>
      <c r="J151" s="62"/>
      <c r="K151" s="62"/>
      <c r="L151" s="62"/>
    </row>
    <row r="152" customFormat="false" ht="33" hidden="false" customHeight="false" outlineLevel="0" collapsed="false">
      <c r="A152" s="62"/>
      <c r="B152" s="62"/>
      <c r="C152" s="62"/>
      <c r="D152" s="63" t="s">
        <v>244</v>
      </c>
      <c r="E152" s="62"/>
      <c r="F152" s="62"/>
      <c r="G152" s="62"/>
      <c r="H152" s="62"/>
      <c r="I152" s="62"/>
      <c r="J152" s="62"/>
      <c r="K152" s="62"/>
      <c r="L152" s="62"/>
    </row>
    <row r="153" customFormat="false" ht="17.25" hidden="false" customHeight="false" outlineLevel="0" collapsed="false">
      <c r="A153" s="62"/>
      <c r="B153" s="62"/>
      <c r="C153" s="62"/>
      <c r="D153" s="62" t="s">
        <v>2520</v>
      </c>
      <c r="E153" s="62"/>
      <c r="F153" s="62"/>
      <c r="G153" s="62"/>
      <c r="H153" s="62"/>
      <c r="I153" s="62"/>
      <c r="J153" s="62"/>
      <c r="K153" s="62"/>
      <c r="L153" s="62"/>
    </row>
    <row r="154" customFormat="false" ht="17.25" hidden="false" customHeight="false" outlineLevel="0" collapsed="false">
      <c r="A154" s="62"/>
      <c r="B154" s="62"/>
      <c r="C154" s="62"/>
      <c r="D154" s="63" t="s">
        <v>233</v>
      </c>
      <c r="E154" s="62"/>
      <c r="F154" s="62"/>
      <c r="G154" s="62"/>
      <c r="H154" s="62"/>
      <c r="I154" s="62"/>
      <c r="J154" s="62"/>
      <c r="K154" s="62"/>
      <c r="L154" s="62"/>
    </row>
    <row r="155" customFormat="false" ht="15.75" hidden="false" customHeight="false" outlineLevel="0" collapsed="false">
      <c r="A155" s="3" t="s">
        <v>211</v>
      </c>
    </row>
    <row r="162" customFormat="false" ht="15.75" hidden="false" customHeight="false" outlineLevel="0" collapsed="false">
      <c r="A162" s="65" t="s">
        <v>281</v>
      </c>
    </row>
  </sheetData>
  <hyperlinks>
    <hyperlink ref="M1" location="Index!A1" display="Index"/>
    <hyperlink ref="A155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8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7.15"/>
    <col collapsed="false" customWidth="true" hidden="false" outlineLevel="0" max="5" min="5" style="0" width="17.86"/>
    <col collapsed="false" customWidth="true" hidden="false" outlineLevel="0" max="12" min="12" style="0" width="13.86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206</v>
      </c>
      <c r="C2" s="57" t="s">
        <v>204</v>
      </c>
      <c r="D2" s="59" t="n">
        <v>313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530</v>
      </c>
      <c r="B4" s="62" t="n">
        <v>1042</v>
      </c>
      <c r="C4" s="63" t="s">
        <v>2297</v>
      </c>
      <c r="D4" s="63" t="s">
        <v>2410</v>
      </c>
      <c r="E4" s="63" t="s">
        <v>876</v>
      </c>
      <c r="F4" s="62"/>
      <c r="G4" s="62" t="s">
        <v>2298</v>
      </c>
      <c r="H4" s="62"/>
      <c r="I4" s="62"/>
      <c r="J4" s="62"/>
      <c r="K4" s="62"/>
      <c r="L4" s="62" t="s">
        <v>2574</v>
      </c>
    </row>
    <row r="5" customFormat="false" ht="33" hidden="false" customHeight="false" outlineLevel="0" collapsed="false">
      <c r="A5" s="62" t="s">
        <v>231</v>
      </c>
      <c r="B5" s="62"/>
      <c r="C5" s="63" t="s">
        <v>2300</v>
      </c>
      <c r="D5" s="63" t="s">
        <v>2414</v>
      </c>
      <c r="E5" s="62" t="s">
        <v>2575</v>
      </c>
      <c r="F5" s="62"/>
      <c r="G5" s="62" t="n">
        <v>14</v>
      </c>
      <c r="H5" s="62" t="s">
        <v>771</v>
      </c>
      <c r="I5" s="62"/>
      <c r="J5" s="62"/>
      <c r="K5" s="62"/>
      <c r="L5" s="62" t="s">
        <v>2576</v>
      </c>
    </row>
    <row r="6" customFormat="false" ht="33" hidden="false" customHeight="false" outlineLevel="0" collapsed="false">
      <c r="A6" s="62" t="s">
        <v>2405</v>
      </c>
      <c r="B6" s="62"/>
      <c r="C6" s="62"/>
      <c r="D6" s="63" t="s">
        <v>1301</v>
      </c>
      <c r="E6" s="63" t="s">
        <v>2577</v>
      </c>
      <c r="F6" s="62"/>
      <c r="G6" s="62" t="n">
        <v>17</v>
      </c>
      <c r="H6" s="62" t="s">
        <v>1493</v>
      </c>
      <c r="I6" s="62"/>
      <c r="J6" s="62"/>
      <c r="K6" s="62"/>
      <c r="L6" s="62" t="s">
        <v>2302</v>
      </c>
    </row>
    <row r="7" customFormat="false" ht="33" hidden="false" customHeight="false" outlineLevel="0" collapsed="false">
      <c r="A7" s="62"/>
      <c r="B7" s="62"/>
      <c r="C7" s="62"/>
      <c r="D7" s="62" t="s">
        <v>2578</v>
      </c>
      <c r="E7" s="63" t="s">
        <v>2452</v>
      </c>
      <c r="F7" s="62"/>
      <c r="G7" s="62" t="n">
        <v>21</v>
      </c>
      <c r="H7" s="62" t="s">
        <v>2579</v>
      </c>
      <c r="I7" s="62"/>
      <c r="J7" s="62"/>
      <c r="K7" s="62"/>
      <c r="L7" s="62" t="s">
        <v>2580</v>
      </c>
    </row>
    <row r="8" customFormat="false" ht="33" hidden="false" customHeight="false" outlineLevel="0" collapsed="false">
      <c r="A8" s="62"/>
      <c r="B8" s="62"/>
      <c r="C8" s="62"/>
      <c r="D8" s="63" t="s">
        <v>2420</v>
      </c>
      <c r="E8" s="63" t="s">
        <v>2581</v>
      </c>
      <c r="F8" s="62"/>
      <c r="G8" s="62" t="n">
        <v>22</v>
      </c>
      <c r="H8" s="62" t="s">
        <v>771</v>
      </c>
      <c r="I8" s="62"/>
      <c r="J8" s="62"/>
      <c r="K8" s="62"/>
      <c r="L8" s="62" t="s">
        <v>2582</v>
      </c>
    </row>
    <row r="9" customFormat="false" ht="33" hidden="false" customHeight="false" outlineLevel="0" collapsed="false">
      <c r="A9" s="62"/>
      <c r="B9" s="62"/>
      <c r="C9" s="62"/>
      <c r="D9" s="63" t="s">
        <v>2401</v>
      </c>
      <c r="E9" s="63" t="s">
        <v>2583</v>
      </c>
      <c r="F9" s="62"/>
      <c r="G9" s="62" t="n">
        <v>23</v>
      </c>
      <c r="H9" s="62" t="s">
        <v>771</v>
      </c>
      <c r="I9" s="62"/>
      <c r="J9" s="62"/>
      <c r="K9" s="62"/>
      <c r="L9" s="62" t="s">
        <v>2584</v>
      </c>
    </row>
    <row r="10" customFormat="false" ht="33" hidden="false" customHeight="false" outlineLevel="0" collapsed="false">
      <c r="A10" s="62"/>
      <c r="B10" s="62"/>
      <c r="C10" s="62"/>
      <c r="D10" s="63" t="s">
        <v>1301</v>
      </c>
      <c r="E10" s="63" t="s">
        <v>917</v>
      </c>
      <c r="F10" s="62"/>
      <c r="G10" s="62" t="n">
        <v>24</v>
      </c>
      <c r="H10" s="62" t="s">
        <v>771</v>
      </c>
      <c r="I10" s="62"/>
      <c r="J10" s="62"/>
      <c r="K10" s="62"/>
      <c r="L10" s="62" t="s">
        <v>2585</v>
      </c>
    </row>
    <row r="11" customFormat="false" ht="17.25" hidden="false" customHeight="false" outlineLevel="0" collapsed="false">
      <c r="A11" s="62"/>
      <c r="B11" s="62"/>
      <c r="C11" s="62"/>
      <c r="D11" s="62" t="s">
        <v>2428</v>
      </c>
      <c r="E11" s="62" t="s">
        <v>1274</v>
      </c>
      <c r="F11" s="62"/>
      <c r="G11" s="62" t="s">
        <v>2586</v>
      </c>
      <c r="H11" s="62"/>
      <c r="I11" s="62"/>
      <c r="J11" s="62"/>
      <c r="K11" s="62"/>
      <c r="L11" s="62" t="s">
        <v>2587</v>
      </c>
    </row>
    <row r="12" customFormat="false" ht="33" hidden="false" customHeight="false" outlineLevel="0" collapsed="false">
      <c r="A12" s="62"/>
      <c r="B12" s="62"/>
      <c r="C12" s="62"/>
      <c r="D12" s="63" t="s">
        <v>2358</v>
      </c>
      <c r="E12" s="63" t="s">
        <v>289</v>
      </c>
      <c r="F12" s="62"/>
      <c r="G12" s="62" t="n">
        <v>1</v>
      </c>
      <c r="H12" s="62" t="s">
        <v>771</v>
      </c>
      <c r="I12" s="62"/>
      <c r="J12" s="62"/>
      <c r="K12" s="62"/>
      <c r="L12" s="62" t="s">
        <v>2588</v>
      </c>
    </row>
    <row r="13" customFormat="false" ht="33" hidden="false" customHeight="false" outlineLevel="0" collapsed="false">
      <c r="A13" s="62"/>
      <c r="B13" s="62"/>
      <c r="C13" s="62"/>
      <c r="D13" s="63" t="s">
        <v>2401</v>
      </c>
      <c r="E13" s="63" t="s">
        <v>2375</v>
      </c>
      <c r="F13" s="62"/>
      <c r="G13" s="62" t="n">
        <v>2</v>
      </c>
      <c r="H13" s="62" t="s">
        <v>2589</v>
      </c>
      <c r="I13" s="62"/>
      <c r="J13" s="62"/>
      <c r="K13" s="62"/>
      <c r="L13" s="62" t="s">
        <v>2590</v>
      </c>
    </row>
    <row r="14" customFormat="false" ht="33" hidden="false" customHeight="false" outlineLevel="0" collapsed="false">
      <c r="A14" s="62"/>
      <c r="B14" s="62"/>
      <c r="C14" s="62"/>
      <c r="D14" s="63" t="s">
        <v>1301</v>
      </c>
      <c r="E14" s="63" t="s">
        <v>2431</v>
      </c>
      <c r="F14" s="62"/>
      <c r="G14" s="62" t="s">
        <v>267</v>
      </c>
      <c r="H14" s="62" t="s">
        <v>268</v>
      </c>
      <c r="I14" s="62"/>
      <c r="J14" s="62"/>
      <c r="K14" s="62"/>
      <c r="L14" s="62" t="s">
        <v>2417</v>
      </c>
    </row>
    <row r="15" customFormat="false" ht="17.25" hidden="false" customHeight="false" outlineLevel="0" collapsed="false">
      <c r="A15" s="62"/>
      <c r="B15" s="62"/>
      <c r="C15" s="62"/>
      <c r="D15" s="62" t="s">
        <v>2591</v>
      </c>
      <c r="E15" s="63" t="s">
        <v>2592</v>
      </c>
      <c r="F15" s="62"/>
      <c r="G15" s="63" t="s">
        <v>2277</v>
      </c>
      <c r="H15" s="62" t="s">
        <v>2593</v>
      </c>
      <c r="I15" s="62"/>
      <c r="J15" s="62"/>
      <c r="K15" s="62"/>
      <c r="L15" s="62" t="s">
        <v>2594</v>
      </c>
    </row>
    <row r="16" customFormat="false" ht="33" hidden="false" customHeight="false" outlineLevel="0" collapsed="false">
      <c r="A16" s="62"/>
      <c r="B16" s="62"/>
      <c r="C16" s="62"/>
      <c r="D16" s="63" t="s">
        <v>2595</v>
      </c>
      <c r="E16" s="63" t="s">
        <v>2304</v>
      </c>
      <c r="F16" s="62"/>
      <c r="G16" s="63" t="s">
        <v>270</v>
      </c>
      <c r="H16" s="62"/>
      <c r="I16" s="62"/>
      <c r="J16" s="62"/>
      <c r="K16" s="62"/>
      <c r="L16" s="62" t="s">
        <v>2419</v>
      </c>
    </row>
    <row r="17" customFormat="false" ht="33" hidden="false" customHeight="false" outlineLevel="0" collapsed="false">
      <c r="A17" s="62"/>
      <c r="B17" s="62"/>
      <c r="C17" s="62"/>
      <c r="D17" s="63" t="s">
        <v>2401</v>
      </c>
      <c r="E17" s="63" t="s">
        <v>2596</v>
      </c>
      <c r="F17" s="62"/>
      <c r="G17" s="62" t="s">
        <v>267</v>
      </c>
      <c r="H17" s="62"/>
      <c r="I17" s="62"/>
      <c r="J17" s="62"/>
      <c r="K17" s="62"/>
      <c r="L17" s="62" t="s">
        <v>2597</v>
      </c>
    </row>
    <row r="18" customFormat="false" ht="17.25" hidden="false" customHeight="false" outlineLevel="0" collapsed="false">
      <c r="A18" s="62"/>
      <c r="B18" s="62"/>
      <c r="C18" s="62"/>
      <c r="D18" s="63" t="s">
        <v>1301</v>
      </c>
      <c r="E18" s="63" t="s">
        <v>2598</v>
      </c>
      <c r="F18" s="62"/>
      <c r="G18" s="62" t="s">
        <v>2593</v>
      </c>
      <c r="H18" s="62"/>
      <c r="I18" s="62"/>
      <c r="J18" s="62"/>
      <c r="K18" s="62"/>
      <c r="L18" s="62" t="s">
        <v>2585</v>
      </c>
    </row>
    <row r="19" customFormat="false" ht="33" hidden="false" customHeight="false" outlineLevel="0" collapsed="false">
      <c r="A19" s="62"/>
      <c r="B19" s="62"/>
      <c r="C19" s="62"/>
      <c r="D19" s="62" t="s">
        <v>2599</v>
      </c>
      <c r="E19" s="63" t="s">
        <v>2600</v>
      </c>
      <c r="F19" s="62"/>
      <c r="G19" s="62" t="s">
        <v>267</v>
      </c>
      <c r="H19" s="62"/>
      <c r="I19" s="62"/>
      <c r="J19" s="62"/>
      <c r="K19" s="62"/>
      <c r="L19" s="62" t="s">
        <v>2601</v>
      </c>
    </row>
    <row r="20" customFormat="false" ht="33" hidden="false" customHeight="false" outlineLevel="0" collapsed="false">
      <c r="A20" s="62"/>
      <c r="B20" s="62"/>
      <c r="C20" s="62"/>
      <c r="D20" s="63" t="s">
        <v>2440</v>
      </c>
      <c r="E20" s="62" t="s">
        <v>2602</v>
      </c>
      <c r="F20" s="62"/>
      <c r="G20" s="62" t="s">
        <v>2603</v>
      </c>
      <c r="H20" s="62"/>
      <c r="I20" s="62"/>
      <c r="J20" s="62"/>
      <c r="K20" s="62"/>
      <c r="L20" s="62" t="s">
        <v>2425</v>
      </c>
    </row>
    <row r="21" customFormat="false" ht="17.25" hidden="false" customHeight="false" outlineLevel="0" collapsed="false">
      <c r="A21" s="62"/>
      <c r="B21" s="62"/>
      <c r="C21" s="62"/>
      <c r="D21" s="63" t="s">
        <v>2442</v>
      </c>
      <c r="E21" s="63" t="s">
        <v>233</v>
      </c>
      <c r="F21" s="62"/>
      <c r="G21" s="62"/>
      <c r="H21" s="62"/>
      <c r="I21" s="62"/>
      <c r="J21" s="62"/>
      <c r="K21" s="62"/>
      <c r="L21" s="62" t="s">
        <v>2427</v>
      </c>
    </row>
    <row r="22" customFormat="false" ht="17.25" hidden="false" customHeight="false" outlineLevel="0" collapsed="false">
      <c r="A22" s="62"/>
      <c r="B22" s="62"/>
      <c r="C22" s="62"/>
      <c r="D22" s="63" t="s">
        <v>2445</v>
      </c>
      <c r="E22" s="63" t="s">
        <v>289</v>
      </c>
      <c r="F22" s="62"/>
      <c r="G22" s="62"/>
      <c r="H22" s="62"/>
      <c r="I22" s="62"/>
      <c r="J22" s="62"/>
      <c r="K22" s="62"/>
      <c r="L22" s="62" t="s">
        <v>2430</v>
      </c>
    </row>
    <row r="23" customFormat="false" ht="33" hidden="false" customHeight="false" outlineLevel="0" collapsed="false">
      <c r="A23" s="62"/>
      <c r="B23" s="62"/>
      <c r="C23" s="62"/>
      <c r="D23" s="62" t="s">
        <v>2448</v>
      </c>
      <c r="E23" s="62"/>
      <c r="F23" s="62"/>
      <c r="G23" s="62"/>
      <c r="H23" s="62"/>
      <c r="I23" s="62"/>
      <c r="J23" s="62"/>
      <c r="K23" s="62"/>
      <c r="L23" s="62" t="s">
        <v>2303</v>
      </c>
    </row>
    <row r="24" customFormat="false" ht="33" hidden="false" customHeight="false" outlineLevel="0" collapsed="false">
      <c r="A24" s="62"/>
      <c r="B24" s="62"/>
      <c r="C24" s="62"/>
      <c r="D24" s="63" t="s">
        <v>2315</v>
      </c>
      <c r="E24" s="62"/>
      <c r="F24" s="62"/>
      <c r="G24" s="62"/>
      <c r="H24" s="62"/>
      <c r="I24" s="62"/>
      <c r="J24" s="62"/>
      <c r="K24" s="62"/>
      <c r="L24" s="63" t="s">
        <v>2604</v>
      </c>
    </row>
    <row r="25" customFormat="false" ht="33" hidden="false" customHeight="false" outlineLevel="0" collapsed="false">
      <c r="A25" s="62"/>
      <c r="B25" s="62"/>
      <c r="C25" s="62"/>
      <c r="D25" s="63" t="s">
        <v>2452</v>
      </c>
      <c r="E25" s="62"/>
      <c r="F25" s="62"/>
      <c r="G25" s="62"/>
      <c r="H25" s="62"/>
      <c r="I25" s="62"/>
      <c r="J25" s="62"/>
      <c r="K25" s="62"/>
      <c r="L25" s="63" t="s">
        <v>2605</v>
      </c>
    </row>
    <row r="26" customFormat="false" ht="33" hidden="false" customHeight="false" outlineLevel="0" collapsed="false">
      <c r="A26" s="62"/>
      <c r="B26" s="62"/>
      <c r="C26" s="62"/>
      <c r="D26" s="63" t="s">
        <v>2318</v>
      </c>
      <c r="E26" s="62"/>
      <c r="F26" s="62"/>
      <c r="G26" s="62"/>
      <c r="H26" s="62"/>
      <c r="I26" s="62"/>
      <c r="J26" s="62"/>
      <c r="K26" s="62"/>
      <c r="L26" s="63" t="s">
        <v>2606</v>
      </c>
    </row>
    <row r="27" customFormat="false" ht="17.25" hidden="false" customHeight="false" outlineLevel="0" collapsed="false">
      <c r="A27" s="62"/>
      <c r="B27" s="62"/>
      <c r="C27" s="62"/>
      <c r="D27" s="63" t="s">
        <v>1259</v>
      </c>
      <c r="E27" s="62"/>
      <c r="F27" s="62"/>
      <c r="G27" s="62"/>
      <c r="H27" s="62"/>
      <c r="I27" s="62"/>
      <c r="J27" s="62"/>
      <c r="K27" s="62"/>
      <c r="L27" s="63" t="s">
        <v>2607</v>
      </c>
    </row>
    <row r="28" customFormat="false" ht="17.25" hidden="false" customHeight="false" outlineLevel="0" collapsed="false">
      <c r="A28" s="62"/>
      <c r="B28" s="62"/>
      <c r="C28" s="62"/>
      <c r="D28" s="63" t="s">
        <v>2321</v>
      </c>
      <c r="E28" s="62"/>
      <c r="F28" s="62"/>
      <c r="G28" s="62"/>
      <c r="H28" s="62"/>
      <c r="I28" s="62"/>
      <c r="J28" s="62"/>
      <c r="K28" s="62"/>
      <c r="L28" s="63" t="s">
        <v>2316</v>
      </c>
    </row>
    <row r="29" customFormat="false" ht="17.25" hidden="false" customHeight="false" outlineLevel="0" collapsed="false">
      <c r="A29" s="62"/>
      <c r="B29" s="62"/>
      <c r="C29" s="62"/>
      <c r="D29" s="63" t="s">
        <v>2323</v>
      </c>
      <c r="E29" s="62"/>
      <c r="F29" s="62"/>
      <c r="G29" s="62"/>
      <c r="H29" s="62"/>
      <c r="I29" s="62"/>
      <c r="J29" s="62"/>
      <c r="K29" s="62"/>
      <c r="L29" s="63" t="s">
        <v>2456</v>
      </c>
    </row>
    <row r="30" customFormat="false" ht="17.25" hidden="false" customHeight="false" outlineLevel="0" collapsed="false">
      <c r="A30" s="62"/>
      <c r="B30" s="62"/>
      <c r="C30" s="62"/>
      <c r="D30" s="63" t="s">
        <v>2458</v>
      </c>
      <c r="E30" s="62"/>
      <c r="F30" s="62"/>
      <c r="G30" s="62"/>
      <c r="H30" s="62"/>
      <c r="I30" s="62"/>
      <c r="J30" s="62"/>
      <c r="K30" s="62"/>
      <c r="L30" s="63" t="s">
        <v>838</v>
      </c>
    </row>
    <row r="31" customFormat="false" ht="33" hidden="false" customHeight="false" outlineLevel="0" collapsed="false">
      <c r="A31" s="62"/>
      <c r="B31" s="62"/>
      <c r="C31" s="62"/>
      <c r="D31" s="63" t="s">
        <v>917</v>
      </c>
      <c r="E31" s="62"/>
      <c r="F31" s="62"/>
      <c r="G31" s="62"/>
      <c r="H31" s="62"/>
      <c r="I31" s="62"/>
      <c r="J31" s="62"/>
      <c r="K31" s="62"/>
      <c r="L31" s="62" t="s">
        <v>2489</v>
      </c>
    </row>
    <row r="32" customFormat="false" ht="33" hidden="false" customHeight="false" outlineLevel="0" collapsed="false">
      <c r="A32" s="62"/>
      <c r="B32" s="62"/>
      <c r="C32" s="62"/>
      <c r="D32" s="62" t="s">
        <v>2462</v>
      </c>
      <c r="E32" s="62"/>
      <c r="F32" s="62"/>
      <c r="G32" s="62"/>
      <c r="H32" s="62"/>
      <c r="I32" s="62"/>
      <c r="J32" s="62"/>
      <c r="K32" s="62"/>
      <c r="L32" s="63" t="s">
        <v>2490</v>
      </c>
    </row>
    <row r="33" customFormat="false" ht="33" hidden="false" customHeight="false" outlineLevel="0" collapsed="false">
      <c r="A33" s="62"/>
      <c r="B33" s="62"/>
      <c r="C33" s="62"/>
      <c r="D33" s="63" t="s">
        <v>2463</v>
      </c>
      <c r="E33" s="62"/>
      <c r="F33" s="62"/>
      <c r="G33" s="62"/>
      <c r="H33" s="62"/>
      <c r="I33" s="62"/>
      <c r="J33" s="62"/>
      <c r="K33" s="62"/>
      <c r="L33" s="63" t="s">
        <v>2492</v>
      </c>
    </row>
    <row r="34" customFormat="false" ht="33" hidden="false" customHeight="false" outlineLevel="0" collapsed="false">
      <c r="A34" s="62"/>
      <c r="B34" s="62"/>
      <c r="C34" s="62"/>
      <c r="D34" s="63" t="s">
        <v>2465</v>
      </c>
      <c r="E34" s="62"/>
      <c r="F34" s="62"/>
      <c r="G34" s="62"/>
      <c r="H34" s="62"/>
      <c r="I34" s="62"/>
      <c r="J34" s="62"/>
      <c r="K34" s="62"/>
      <c r="L34" s="63" t="s">
        <v>2494</v>
      </c>
    </row>
    <row r="35" customFormat="false" ht="33" hidden="false" customHeight="false" outlineLevel="0" collapsed="false">
      <c r="A35" s="62"/>
      <c r="B35" s="62"/>
      <c r="C35" s="62"/>
      <c r="D35" s="63" t="s">
        <v>2467</v>
      </c>
      <c r="E35" s="62"/>
      <c r="F35" s="62"/>
      <c r="G35" s="62"/>
      <c r="H35" s="62"/>
      <c r="I35" s="62"/>
      <c r="J35" s="62"/>
      <c r="K35" s="62"/>
      <c r="L35" s="62" t="s">
        <v>2496</v>
      </c>
    </row>
    <row r="36" customFormat="false" ht="33" hidden="false" customHeight="false" outlineLevel="0" collapsed="false">
      <c r="A36" s="62"/>
      <c r="B36" s="62"/>
      <c r="C36" s="62"/>
      <c r="D36" s="62" t="s">
        <v>2448</v>
      </c>
      <c r="E36" s="62"/>
      <c r="F36" s="62"/>
      <c r="G36" s="62"/>
      <c r="H36" s="62"/>
      <c r="I36" s="62"/>
      <c r="J36" s="62"/>
      <c r="K36" s="62"/>
      <c r="L36" s="62" t="s">
        <v>2498</v>
      </c>
    </row>
    <row r="37" customFormat="false" ht="48.75" hidden="false" customHeight="false" outlineLevel="0" collapsed="false">
      <c r="A37" s="62"/>
      <c r="B37" s="62"/>
      <c r="C37" s="62"/>
      <c r="D37" s="63" t="s">
        <v>2470</v>
      </c>
      <c r="E37" s="62"/>
      <c r="F37" s="62"/>
      <c r="G37" s="62"/>
      <c r="H37" s="62"/>
      <c r="I37" s="62"/>
      <c r="J37" s="62"/>
      <c r="K37" s="62"/>
      <c r="L37" s="63" t="s">
        <v>2500</v>
      </c>
    </row>
    <row r="38" customFormat="false" ht="33" hidden="false" customHeight="false" outlineLevel="0" collapsed="false">
      <c r="A38" s="62"/>
      <c r="B38" s="62"/>
      <c r="C38" s="62"/>
      <c r="D38" s="63" t="s">
        <v>2472</v>
      </c>
      <c r="E38" s="62"/>
      <c r="F38" s="62"/>
      <c r="G38" s="62"/>
      <c r="H38" s="62"/>
      <c r="I38" s="62"/>
      <c r="J38" s="62"/>
      <c r="K38" s="62"/>
      <c r="L38" s="63" t="s">
        <v>2502</v>
      </c>
    </row>
    <row r="39" customFormat="false" ht="48.75" hidden="false" customHeight="false" outlineLevel="0" collapsed="false">
      <c r="A39" s="62"/>
      <c r="B39" s="62"/>
      <c r="C39" s="62"/>
      <c r="D39" s="63" t="s">
        <v>2474</v>
      </c>
      <c r="E39" s="62"/>
      <c r="F39" s="62"/>
      <c r="G39" s="62"/>
      <c r="H39" s="62"/>
      <c r="I39" s="62"/>
      <c r="J39" s="62"/>
      <c r="K39" s="62"/>
      <c r="L39" s="63" t="s">
        <v>2503</v>
      </c>
    </row>
    <row r="40" customFormat="false" ht="33" hidden="false" customHeight="false" outlineLevel="0" collapsed="false">
      <c r="A40" s="62"/>
      <c r="B40" s="62"/>
      <c r="C40" s="62"/>
      <c r="D40" s="62" t="s">
        <v>2476</v>
      </c>
      <c r="E40" s="62"/>
      <c r="F40" s="62"/>
      <c r="G40" s="62"/>
      <c r="H40" s="62"/>
      <c r="I40" s="62"/>
      <c r="J40" s="62"/>
      <c r="K40" s="62"/>
      <c r="L40" s="63" t="s">
        <v>2504</v>
      </c>
    </row>
    <row r="41" customFormat="false" ht="17.25" hidden="false" customHeight="false" outlineLevel="0" collapsed="false">
      <c r="A41" s="62"/>
      <c r="B41" s="62"/>
      <c r="C41" s="62"/>
      <c r="D41" s="63" t="s">
        <v>246</v>
      </c>
      <c r="E41" s="62"/>
      <c r="F41" s="62"/>
      <c r="G41" s="62"/>
      <c r="H41" s="62"/>
      <c r="I41" s="62"/>
      <c r="J41" s="62"/>
      <c r="K41" s="62"/>
      <c r="L41" s="63" t="s">
        <v>950</v>
      </c>
    </row>
    <row r="42" customFormat="false" ht="33" hidden="false" customHeight="false" outlineLevel="0" collapsed="false">
      <c r="A42" s="62"/>
      <c r="B42" s="62"/>
      <c r="C42" s="62"/>
      <c r="D42" s="63" t="s">
        <v>2401</v>
      </c>
      <c r="E42" s="62"/>
      <c r="F42" s="62"/>
      <c r="G42" s="62"/>
      <c r="H42" s="62"/>
      <c r="I42" s="62"/>
      <c r="J42" s="62"/>
      <c r="K42" s="62"/>
      <c r="L42" s="62" t="s">
        <v>2507</v>
      </c>
    </row>
    <row r="43" customFormat="false" ht="33" hidden="false" customHeight="false" outlineLevel="0" collapsed="false">
      <c r="A43" s="62"/>
      <c r="B43" s="62"/>
      <c r="C43" s="62"/>
      <c r="D43" s="63" t="s">
        <v>2480</v>
      </c>
      <c r="E43" s="62"/>
      <c r="F43" s="62"/>
      <c r="G43" s="62"/>
      <c r="H43" s="62"/>
      <c r="I43" s="62"/>
      <c r="J43" s="62"/>
      <c r="K43" s="62"/>
      <c r="L43" s="63" t="s">
        <v>2509</v>
      </c>
    </row>
    <row r="44" customFormat="false" ht="33" hidden="false" customHeight="false" outlineLevel="0" collapsed="false">
      <c r="A44" s="62"/>
      <c r="B44" s="62"/>
      <c r="C44" s="62"/>
      <c r="D44" s="62" t="s">
        <v>2482</v>
      </c>
      <c r="E44" s="62"/>
      <c r="F44" s="62"/>
      <c r="G44" s="62"/>
      <c r="H44" s="62"/>
      <c r="I44" s="62"/>
      <c r="J44" s="62"/>
      <c r="K44" s="62"/>
      <c r="L44" s="63" t="s">
        <v>2510</v>
      </c>
    </row>
    <row r="45" customFormat="false" ht="33" hidden="false" customHeight="false" outlineLevel="0" collapsed="false">
      <c r="A45" s="62"/>
      <c r="B45" s="62"/>
      <c r="C45" s="62"/>
      <c r="D45" s="63" t="s">
        <v>1468</v>
      </c>
      <c r="E45" s="62"/>
      <c r="F45" s="62"/>
      <c r="G45" s="62"/>
      <c r="H45" s="62"/>
      <c r="I45" s="62"/>
      <c r="J45" s="62"/>
      <c r="K45" s="62"/>
      <c r="L45" s="63" t="s">
        <v>2512</v>
      </c>
    </row>
    <row r="46" customFormat="false" ht="48.75" hidden="false" customHeight="false" outlineLevel="0" collapsed="false">
      <c r="A46" s="62"/>
      <c r="B46" s="62"/>
      <c r="C46" s="62"/>
      <c r="D46" s="63" t="s">
        <v>227</v>
      </c>
      <c r="E46" s="62"/>
      <c r="F46" s="62"/>
      <c r="G46" s="62"/>
      <c r="H46" s="62"/>
      <c r="I46" s="62"/>
      <c r="J46" s="62"/>
      <c r="K46" s="62"/>
      <c r="L46" s="63" t="s">
        <v>2514</v>
      </c>
    </row>
    <row r="47" customFormat="false" ht="33" hidden="false" customHeight="false" outlineLevel="0" collapsed="false">
      <c r="A47" s="62"/>
      <c r="B47" s="62"/>
      <c r="C47" s="62"/>
      <c r="D47" s="63" t="s">
        <v>240</v>
      </c>
      <c r="E47" s="62"/>
      <c r="F47" s="62"/>
      <c r="G47" s="62"/>
      <c r="H47" s="62"/>
      <c r="I47" s="62"/>
      <c r="J47" s="62"/>
      <c r="K47" s="62"/>
      <c r="L47" s="62" t="s">
        <v>2516</v>
      </c>
    </row>
    <row r="48" customFormat="false" ht="48.75" hidden="false" customHeight="false" outlineLevel="0" collapsed="false">
      <c r="A48" s="62"/>
      <c r="B48" s="62"/>
      <c r="C48" s="62"/>
      <c r="D48" s="62" t="s">
        <v>2487</v>
      </c>
      <c r="E48" s="62"/>
      <c r="F48" s="62"/>
      <c r="G48" s="62"/>
      <c r="H48" s="62"/>
      <c r="I48" s="62"/>
      <c r="J48" s="62"/>
      <c r="K48" s="62"/>
      <c r="L48" s="62" t="s">
        <v>2517</v>
      </c>
    </row>
    <row r="49" customFormat="false" ht="33" hidden="false" customHeight="false" outlineLevel="0" collapsed="false">
      <c r="A49" s="62"/>
      <c r="B49" s="62"/>
      <c r="C49" s="62"/>
      <c r="D49" s="63" t="s">
        <v>2488</v>
      </c>
      <c r="E49" s="62"/>
      <c r="F49" s="62"/>
      <c r="G49" s="62"/>
      <c r="H49" s="62"/>
      <c r="I49" s="62"/>
      <c r="J49" s="62"/>
      <c r="K49" s="62"/>
      <c r="L49" s="63" t="s">
        <v>2519</v>
      </c>
    </row>
    <row r="50" customFormat="false" ht="33" hidden="false" customHeight="false" outlineLevel="0" collapsed="false">
      <c r="A50" s="62"/>
      <c r="B50" s="62"/>
      <c r="C50" s="62"/>
      <c r="D50" s="63" t="s">
        <v>2401</v>
      </c>
      <c r="E50" s="62"/>
      <c r="F50" s="62"/>
      <c r="G50" s="62"/>
      <c r="H50" s="62"/>
      <c r="I50" s="62"/>
      <c r="J50" s="62"/>
      <c r="K50" s="62"/>
      <c r="L50" s="63" t="s">
        <v>2521</v>
      </c>
    </row>
    <row r="51" customFormat="false" ht="33" hidden="false" customHeight="false" outlineLevel="0" collapsed="false">
      <c r="A51" s="62"/>
      <c r="B51" s="62"/>
      <c r="C51" s="62"/>
      <c r="D51" s="63" t="s">
        <v>1301</v>
      </c>
      <c r="E51" s="62"/>
      <c r="F51" s="62"/>
      <c r="G51" s="62"/>
      <c r="H51" s="62"/>
      <c r="I51" s="62"/>
      <c r="J51" s="62"/>
      <c r="K51" s="62"/>
      <c r="L51" s="63" t="s">
        <v>2523</v>
      </c>
    </row>
    <row r="52" customFormat="false" ht="17.25" hidden="false" customHeight="false" outlineLevel="0" collapsed="false">
      <c r="A52" s="62"/>
      <c r="B52" s="62"/>
      <c r="C52" s="62"/>
      <c r="D52" s="62" t="s">
        <v>2491</v>
      </c>
      <c r="E52" s="62"/>
      <c r="F52" s="62"/>
      <c r="G52" s="62"/>
      <c r="H52" s="62"/>
      <c r="I52" s="62"/>
      <c r="J52" s="62"/>
      <c r="K52" s="62"/>
      <c r="L52" s="63" t="s">
        <v>2525</v>
      </c>
    </row>
    <row r="53" customFormat="false" ht="17.25" hidden="false" customHeight="false" outlineLevel="0" collapsed="false">
      <c r="A53" s="62"/>
      <c r="B53" s="62"/>
      <c r="C53" s="62"/>
      <c r="D53" s="63" t="s">
        <v>2501</v>
      </c>
      <c r="E53" s="62"/>
      <c r="F53" s="62"/>
      <c r="G53" s="62"/>
      <c r="H53" s="62"/>
      <c r="I53" s="62"/>
      <c r="J53" s="62"/>
      <c r="K53" s="62"/>
      <c r="L53" s="63" t="s">
        <v>838</v>
      </c>
    </row>
    <row r="54" customFormat="false" ht="17.25" hidden="false" customHeight="false" outlineLevel="0" collapsed="false">
      <c r="A54" s="62"/>
      <c r="B54" s="62"/>
      <c r="C54" s="62"/>
      <c r="D54" s="63" t="s">
        <v>2401</v>
      </c>
      <c r="E54" s="62"/>
      <c r="F54" s="62"/>
      <c r="G54" s="62"/>
      <c r="H54" s="62"/>
      <c r="I54" s="62"/>
      <c r="J54" s="62"/>
      <c r="K54" s="62"/>
      <c r="L54" s="62"/>
    </row>
    <row r="55" customFormat="false" ht="17.25" hidden="false" customHeight="false" outlineLevel="0" collapsed="false">
      <c r="A55" s="62"/>
      <c r="B55" s="62"/>
      <c r="C55" s="62"/>
      <c r="D55" s="63" t="s">
        <v>1301</v>
      </c>
      <c r="E55" s="62"/>
      <c r="F55" s="62"/>
      <c r="G55" s="62"/>
      <c r="H55" s="62"/>
      <c r="I55" s="62"/>
      <c r="J55" s="62"/>
      <c r="K55" s="62"/>
      <c r="L55" s="62"/>
    </row>
    <row r="56" customFormat="false" ht="17.25" hidden="false" customHeight="false" outlineLevel="0" collapsed="false">
      <c r="A56" s="62"/>
      <c r="B56" s="62"/>
      <c r="C56" s="62"/>
      <c r="D56" s="62" t="s">
        <v>2608</v>
      </c>
      <c r="E56" s="62"/>
      <c r="F56" s="62"/>
      <c r="G56" s="62"/>
      <c r="H56" s="62"/>
      <c r="I56" s="62"/>
      <c r="J56" s="62"/>
      <c r="K56" s="62"/>
      <c r="L56" s="62"/>
    </row>
    <row r="57" customFormat="false" ht="33" hidden="false" customHeight="false" outlineLevel="0" collapsed="false">
      <c r="A57" s="62"/>
      <c r="B57" s="62"/>
      <c r="C57" s="62"/>
      <c r="D57" s="63" t="s">
        <v>2506</v>
      </c>
      <c r="E57" s="62"/>
      <c r="F57" s="62"/>
      <c r="G57" s="62"/>
      <c r="H57" s="62"/>
      <c r="I57" s="62"/>
      <c r="J57" s="62"/>
      <c r="K57" s="62"/>
      <c r="L57" s="62"/>
    </row>
    <row r="58" customFormat="false" ht="17.25" hidden="false" customHeight="false" outlineLevel="0" collapsed="false">
      <c r="A58" s="62"/>
      <c r="B58" s="62"/>
      <c r="C58" s="62"/>
      <c r="D58" s="63" t="s">
        <v>2508</v>
      </c>
      <c r="E58" s="62"/>
      <c r="F58" s="62"/>
      <c r="G58" s="62"/>
      <c r="H58" s="62"/>
      <c r="I58" s="62"/>
      <c r="J58" s="62"/>
      <c r="K58" s="62"/>
      <c r="L58" s="62"/>
    </row>
    <row r="59" customFormat="false" ht="17.25" hidden="false" customHeight="false" outlineLevel="0" collapsed="false">
      <c r="A59" s="62"/>
      <c r="B59" s="62"/>
      <c r="C59" s="62"/>
      <c r="D59" s="63" t="s">
        <v>2445</v>
      </c>
      <c r="E59" s="62"/>
      <c r="F59" s="62"/>
      <c r="G59" s="62"/>
      <c r="H59" s="62"/>
      <c r="I59" s="62"/>
      <c r="J59" s="62"/>
      <c r="K59" s="62"/>
      <c r="L59" s="62"/>
    </row>
    <row r="60" customFormat="false" ht="17.25" hidden="false" customHeight="false" outlineLevel="0" collapsed="false">
      <c r="A60" s="62"/>
      <c r="B60" s="62"/>
      <c r="C60" s="62"/>
      <c r="D60" s="62" t="s">
        <v>2609</v>
      </c>
      <c r="E60" s="62"/>
      <c r="F60" s="62"/>
      <c r="G60" s="62"/>
      <c r="H60" s="62"/>
      <c r="I60" s="62"/>
      <c r="J60" s="62"/>
      <c r="K60" s="62"/>
      <c r="L60" s="62"/>
    </row>
    <row r="61" customFormat="false" ht="33" hidden="false" customHeight="false" outlineLevel="0" collapsed="false">
      <c r="A61" s="62"/>
      <c r="B61" s="62"/>
      <c r="C61" s="62"/>
      <c r="D61" s="63" t="s">
        <v>2513</v>
      </c>
      <c r="E61" s="62"/>
      <c r="F61" s="62"/>
      <c r="G61" s="62"/>
      <c r="H61" s="62"/>
      <c r="I61" s="62"/>
      <c r="J61" s="62"/>
      <c r="K61" s="62"/>
      <c r="L61" s="62"/>
    </row>
    <row r="62" customFormat="false" ht="33" hidden="false" customHeight="false" outlineLevel="0" collapsed="false">
      <c r="A62" s="62"/>
      <c r="B62" s="62"/>
      <c r="C62" s="62"/>
      <c r="D62" s="63" t="s">
        <v>2515</v>
      </c>
      <c r="E62" s="62"/>
      <c r="F62" s="62"/>
      <c r="G62" s="62"/>
      <c r="H62" s="62"/>
      <c r="I62" s="62"/>
      <c r="J62" s="62"/>
      <c r="K62" s="62"/>
      <c r="L62" s="62"/>
    </row>
    <row r="63" customFormat="false" ht="17.25" hidden="false" customHeight="false" outlineLevel="0" collapsed="false">
      <c r="A63" s="62"/>
      <c r="B63" s="62"/>
      <c r="C63" s="62"/>
      <c r="D63" s="63" t="s">
        <v>1021</v>
      </c>
      <c r="E63" s="62"/>
      <c r="F63" s="62"/>
      <c r="G63" s="62"/>
      <c r="H63" s="62"/>
      <c r="I63" s="62"/>
      <c r="J63" s="62"/>
      <c r="K63" s="62"/>
      <c r="L63" s="62"/>
    </row>
    <row r="64" customFormat="false" ht="17.25" hidden="false" customHeight="false" outlineLevel="0" collapsed="false">
      <c r="A64" s="62"/>
      <c r="B64" s="62"/>
      <c r="C64" s="62"/>
      <c r="D64" s="63" t="s">
        <v>2518</v>
      </c>
      <c r="E64" s="62"/>
      <c r="F64" s="62"/>
      <c r="G64" s="62"/>
      <c r="H64" s="62"/>
      <c r="I64" s="62"/>
      <c r="J64" s="62"/>
      <c r="K64" s="62"/>
      <c r="L64" s="62"/>
    </row>
    <row r="65" customFormat="false" ht="17.25" hidden="false" customHeight="false" outlineLevel="0" collapsed="false">
      <c r="A65" s="62"/>
      <c r="B65" s="62"/>
      <c r="C65" s="62"/>
      <c r="D65" s="62" t="s">
        <v>2520</v>
      </c>
      <c r="E65" s="62"/>
      <c r="F65" s="62"/>
      <c r="G65" s="62"/>
      <c r="H65" s="62"/>
      <c r="I65" s="62"/>
      <c r="J65" s="62"/>
      <c r="K65" s="62"/>
      <c r="L65" s="62"/>
    </row>
    <row r="66" customFormat="false" ht="33" hidden="false" customHeight="false" outlineLevel="0" collapsed="false">
      <c r="A66" s="62"/>
      <c r="B66" s="62"/>
      <c r="C66" s="62"/>
      <c r="D66" s="63" t="s">
        <v>2522</v>
      </c>
      <c r="E66" s="62"/>
      <c r="F66" s="62"/>
      <c r="G66" s="62"/>
      <c r="H66" s="62"/>
      <c r="I66" s="62"/>
      <c r="J66" s="62"/>
      <c r="K66" s="62"/>
      <c r="L66" s="62"/>
    </row>
    <row r="67" customFormat="false" ht="17.25" hidden="false" customHeight="false" outlineLevel="0" collapsed="false">
      <c r="A67" s="62"/>
      <c r="B67" s="62"/>
      <c r="C67" s="62"/>
      <c r="D67" s="63" t="s">
        <v>2524</v>
      </c>
      <c r="E67" s="62"/>
      <c r="F67" s="62"/>
      <c r="G67" s="62"/>
      <c r="H67" s="62"/>
      <c r="I67" s="62"/>
      <c r="J67" s="62"/>
      <c r="K67" s="62"/>
      <c r="L67" s="62"/>
    </row>
    <row r="68" customFormat="false" ht="17.25" hidden="false" customHeight="false" outlineLevel="0" collapsed="false">
      <c r="A68" s="62"/>
      <c r="B68" s="62"/>
      <c r="C68" s="62"/>
      <c r="D68" s="63" t="s">
        <v>2526</v>
      </c>
      <c r="E68" s="62"/>
      <c r="F68" s="62"/>
      <c r="G68" s="62"/>
      <c r="H68" s="62"/>
      <c r="I68" s="62"/>
      <c r="J68" s="62"/>
      <c r="K68" s="62"/>
      <c r="L68" s="62"/>
    </row>
    <row r="69" customFormat="false" ht="17.25" hidden="false" customHeight="false" outlineLevel="0" collapsed="false">
      <c r="A69" s="62"/>
      <c r="B69" s="62"/>
      <c r="C69" s="62"/>
      <c r="D69" s="62" t="s">
        <v>2527</v>
      </c>
      <c r="E69" s="62"/>
      <c r="F69" s="62"/>
      <c r="G69" s="62"/>
      <c r="H69" s="62"/>
      <c r="I69" s="62"/>
      <c r="J69" s="62"/>
      <c r="K69" s="62"/>
      <c r="L69" s="62"/>
    </row>
    <row r="70" customFormat="false" ht="33" hidden="false" customHeight="false" outlineLevel="0" collapsed="false">
      <c r="A70" s="62"/>
      <c r="B70" s="62"/>
      <c r="C70" s="62"/>
      <c r="D70" s="63" t="s">
        <v>2528</v>
      </c>
      <c r="E70" s="62"/>
      <c r="F70" s="62"/>
      <c r="G70" s="62"/>
      <c r="H70" s="62"/>
      <c r="I70" s="62"/>
      <c r="J70" s="62"/>
      <c r="K70" s="62"/>
      <c r="L70" s="62"/>
    </row>
    <row r="71" customFormat="false" ht="17.25" hidden="false" customHeight="false" outlineLevel="0" collapsed="false">
      <c r="A71" s="62"/>
      <c r="B71" s="62"/>
      <c r="C71" s="62"/>
      <c r="D71" s="63" t="s">
        <v>2529</v>
      </c>
      <c r="E71" s="62"/>
      <c r="F71" s="62"/>
      <c r="G71" s="62"/>
      <c r="H71" s="62"/>
      <c r="I71" s="62"/>
      <c r="J71" s="62"/>
      <c r="K71" s="62"/>
      <c r="L71" s="62"/>
    </row>
    <row r="72" customFormat="false" ht="17.25" hidden="false" customHeight="false" outlineLevel="0" collapsed="false">
      <c r="A72" s="62"/>
      <c r="B72" s="62"/>
      <c r="C72" s="62"/>
      <c r="D72" s="63" t="s">
        <v>2530</v>
      </c>
      <c r="E72" s="62"/>
      <c r="F72" s="62"/>
      <c r="G72" s="62"/>
      <c r="H72" s="62"/>
      <c r="I72" s="62"/>
      <c r="J72" s="62"/>
      <c r="K72" s="62"/>
      <c r="L72" s="62"/>
    </row>
    <row r="73" customFormat="false" ht="17.25" hidden="false" customHeight="false" outlineLevel="0" collapsed="false">
      <c r="A73" s="62"/>
      <c r="B73" s="62"/>
      <c r="C73" s="62"/>
      <c r="D73" s="62" t="s">
        <v>2531</v>
      </c>
      <c r="E73" s="62"/>
      <c r="F73" s="62"/>
      <c r="G73" s="62"/>
      <c r="H73" s="62"/>
      <c r="I73" s="62"/>
      <c r="J73" s="62"/>
      <c r="K73" s="62"/>
      <c r="L73" s="62"/>
    </row>
    <row r="74" customFormat="false" ht="33" hidden="false" customHeight="false" outlineLevel="0" collapsed="false">
      <c r="A74" s="62"/>
      <c r="B74" s="62"/>
      <c r="C74" s="62"/>
      <c r="D74" s="63" t="s">
        <v>2532</v>
      </c>
      <c r="E74" s="62"/>
      <c r="F74" s="62"/>
      <c r="G74" s="62"/>
      <c r="H74" s="62"/>
      <c r="I74" s="62"/>
      <c r="J74" s="62"/>
      <c r="K74" s="62"/>
      <c r="L74" s="62"/>
    </row>
    <row r="75" customFormat="false" ht="17.25" hidden="false" customHeight="false" outlineLevel="0" collapsed="false">
      <c r="A75" s="62"/>
      <c r="B75" s="62"/>
      <c r="C75" s="62"/>
      <c r="D75" s="63" t="s">
        <v>2533</v>
      </c>
      <c r="E75" s="62"/>
      <c r="F75" s="62"/>
      <c r="G75" s="62"/>
      <c r="H75" s="62"/>
      <c r="I75" s="62"/>
      <c r="J75" s="62"/>
      <c r="K75" s="62"/>
      <c r="L75" s="62"/>
    </row>
    <row r="76" customFormat="false" ht="17.25" hidden="false" customHeight="false" outlineLevel="0" collapsed="false">
      <c r="A76" s="62"/>
      <c r="B76" s="62"/>
      <c r="C76" s="62"/>
      <c r="D76" s="63" t="s">
        <v>2534</v>
      </c>
      <c r="E76" s="62"/>
      <c r="F76" s="62"/>
      <c r="G76" s="62"/>
      <c r="H76" s="62"/>
      <c r="I76" s="62"/>
      <c r="J76" s="62"/>
      <c r="K76" s="62"/>
      <c r="L76" s="62"/>
    </row>
    <row r="77" customFormat="false" ht="17.25" hidden="false" customHeight="false" outlineLevel="0" collapsed="false">
      <c r="A77" s="62"/>
      <c r="B77" s="62"/>
      <c r="C77" s="62"/>
      <c r="D77" s="62" t="s">
        <v>2531</v>
      </c>
      <c r="E77" s="62"/>
      <c r="F77" s="62"/>
      <c r="G77" s="62"/>
      <c r="H77" s="62"/>
      <c r="I77" s="62"/>
      <c r="J77" s="62"/>
      <c r="K77" s="62"/>
      <c r="L77" s="62"/>
    </row>
    <row r="78" customFormat="false" ht="33" hidden="false" customHeight="false" outlineLevel="0" collapsed="false">
      <c r="A78" s="62"/>
      <c r="B78" s="62"/>
      <c r="C78" s="62"/>
      <c r="D78" s="63" t="s">
        <v>2535</v>
      </c>
      <c r="E78" s="62"/>
      <c r="F78" s="62"/>
      <c r="G78" s="62"/>
      <c r="H78" s="62"/>
      <c r="I78" s="62"/>
      <c r="J78" s="62"/>
      <c r="K78" s="62"/>
      <c r="L78" s="62"/>
    </row>
    <row r="79" customFormat="false" ht="17.25" hidden="false" customHeight="false" outlineLevel="0" collapsed="false">
      <c r="A79" s="62"/>
      <c r="B79" s="62"/>
      <c r="C79" s="62"/>
      <c r="D79" s="63" t="s">
        <v>2536</v>
      </c>
      <c r="E79" s="62"/>
      <c r="F79" s="62"/>
      <c r="G79" s="62"/>
      <c r="H79" s="62"/>
      <c r="I79" s="62"/>
      <c r="J79" s="62"/>
      <c r="K79" s="62"/>
      <c r="L79" s="62"/>
    </row>
    <row r="80" customFormat="false" ht="17.25" hidden="false" customHeight="false" outlineLevel="0" collapsed="false">
      <c r="A80" s="62"/>
      <c r="B80" s="62"/>
      <c r="C80" s="62"/>
      <c r="D80" s="63" t="s">
        <v>2537</v>
      </c>
      <c r="E80" s="62"/>
      <c r="F80" s="62"/>
      <c r="G80" s="62"/>
      <c r="H80" s="62"/>
      <c r="I80" s="62"/>
      <c r="J80" s="62"/>
      <c r="K80" s="62"/>
      <c r="L80" s="62"/>
    </row>
    <row r="81" customFormat="false" ht="17.25" hidden="false" customHeight="false" outlineLevel="0" collapsed="false">
      <c r="A81" s="62"/>
      <c r="B81" s="62"/>
      <c r="C81" s="62"/>
      <c r="D81" s="62" t="s">
        <v>2538</v>
      </c>
      <c r="E81" s="62"/>
      <c r="F81" s="62"/>
      <c r="G81" s="62"/>
      <c r="H81" s="62"/>
      <c r="I81" s="62"/>
      <c r="J81" s="62"/>
      <c r="K81" s="62"/>
      <c r="L81" s="62"/>
    </row>
    <row r="82" customFormat="false" ht="17.25" hidden="false" customHeight="false" outlineLevel="0" collapsed="false">
      <c r="A82" s="62"/>
      <c r="B82" s="62"/>
      <c r="C82" s="62"/>
      <c r="D82" s="63" t="s">
        <v>227</v>
      </c>
      <c r="E82" s="62"/>
      <c r="F82" s="62"/>
      <c r="G82" s="62"/>
      <c r="H82" s="62"/>
      <c r="I82" s="62"/>
      <c r="J82" s="62"/>
      <c r="K82" s="62"/>
      <c r="L82" s="62"/>
    </row>
    <row r="83" customFormat="false" ht="17.25" hidden="false" customHeight="false" outlineLevel="0" collapsed="false">
      <c r="A83" s="62"/>
      <c r="B83" s="62"/>
      <c r="C83" s="62"/>
      <c r="D83" s="63" t="s">
        <v>282</v>
      </c>
      <c r="E83" s="62"/>
      <c r="F83" s="62"/>
      <c r="G83" s="62"/>
      <c r="H83" s="62"/>
      <c r="I83" s="62"/>
      <c r="J83" s="62"/>
      <c r="K83" s="62"/>
      <c r="L83" s="62"/>
    </row>
    <row r="84" customFormat="false" ht="17.25" hidden="false" customHeight="false" outlineLevel="0" collapsed="false">
      <c r="A84" s="62"/>
      <c r="B84" s="62"/>
      <c r="C84" s="62"/>
      <c r="D84" s="63" t="s">
        <v>236</v>
      </c>
      <c r="E84" s="62"/>
      <c r="F84" s="62"/>
      <c r="G84" s="62"/>
      <c r="H84" s="62"/>
      <c r="I84" s="62"/>
      <c r="J84" s="62"/>
      <c r="K84" s="62"/>
      <c r="L84" s="62"/>
    </row>
    <row r="85" customFormat="false" ht="17.25" hidden="false" customHeight="false" outlineLevel="0" collapsed="false">
      <c r="A85" s="62"/>
      <c r="B85" s="62"/>
      <c r="C85" s="62"/>
      <c r="D85" s="62" t="s">
        <v>2610</v>
      </c>
      <c r="E85" s="62"/>
      <c r="F85" s="62"/>
      <c r="G85" s="62"/>
      <c r="H85" s="62"/>
      <c r="I85" s="62"/>
      <c r="J85" s="62"/>
      <c r="K85" s="62"/>
      <c r="L85" s="62"/>
    </row>
    <row r="86" customFormat="false" ht="17.25" hidden="false" customHeight="false" outlineLevel="0" collapsed="false">
      <c r="A86" s="62"/>
      <c r="B86" s="62"/>
      <c r="C86" s="62"/>
      <c r="D86" s="63" t="s">
        <v>836</v>
      </c>
      <c r="E86" s="62"/>
      <c r="F86" s="62"/>
      <c r="G86" s="62"/>
      <c r="H86" s="62"/>
      <c r="I86" s="62"/>
      <c r="J86" s="62"/>
      <c r="K86" s="62"/>
      <c r="L86" s="62"/>
    </row>
    <row r="87" customFormat="false" ht="17.25" hidden="false" customHeight="false" outlineLevel="0" collapsed="false">
      <c r="A87" s="62"/>
      <c r="B87" s="62"/>
      <c r="C87" s="62"/>
      <c r="D87" s="63" t="s">
        <v>837</v>
      </c>
      <c r="E87" s="62"/>
      <c r="F87" s="62"/>
      <c r="G87" s="62"/>
      <c r="H87" s="62"/>
      <c r="I87" s="62"/>
      <c r="J87" s="62"/>
      <c r="K87" s="62"/>
      <c r="L87" s="62"/>
    </row>
    <row r="88" customFormat="false" ht="17.25" hidden="false" customHeight="false" outlineLevel="0" collapsed="false">
      <c r="A88" s="62"/>
      <c r="B88" s="62"/>
      <c r="C88" s="62"/>
      <c r="D88" s="63" t="s">
        <v>2540</v>
      </c>
      <c r="E88" s="62"/>
      <c r="F88" s="62"/>
      <c r="G88" s="62"/>
      <c r="H88" s="62"/>
      <c r="I88" s="62"/>
      <c r="J88" s="62"/>
      <c r="K88" s="62"/>
      <c r="L88" s="62"/>
    </row>
    <row r="89" customFormat="false" ht="17.25" hidden="false" customHeight="false" outlineLevel="0" collapsed="false">
      <c r="A89" s="62"/>
      <c r="B89" s="62"/>
      <c r="C89" s="62"/>
      <c r="D89" s="62" t="s">
        <v>2541</v>
      </c>
      <c r="E89" s="62"/>
      <c r="F89" s="62"/>
      <c r="G89" s="62"/>
      <c r="H89" s="62"/>
      <c r="I89" s="62"/>
      <c r="J89" s="62"/>
      <c r="K89" s="62"/>
      <c r="L89" s="62"/>
    </row>
    <row r="90" customFormat="false" ht="17.25" hidden="false" customHeight="false" outlineLevel="0" collapsed="false">
      <c r="A90" s="62"/>
      <c r="B90" s="62"/>
      <c r="C90" s="62"/>
      <c r="D90" s="63" t="s">
        <v>2542</v>
      </c>
      <c r="E90" s="62"/>
      <c r="F90" s="62"/>
      <c r="G90" s="62"/>
      <c r="H90" s="62"/>
      <c r="I90" s="62"/>
      <c r="J90" s="62"/>
      <c r="K90" s="62"/>
      <c r="L90" s="62"/>
    </row>
    <row r="91" customFormat="false" ht="17.25" hidden="false" customHeight="false" outlineLevel="0" collapsed="false">
      <c r="A91" s="62"/>
      <c r="B91" s="62"/>
      <c r="C91" s="62"/>
      <c r="D91" s="63" t="s">
        <v>2543</v>
      </c>
      <c r="E91" s="62"/>
      <c r="F91" s="62"/>
      <c r="G91" s="62"/>
      <c r="H91" s="62"/>
      <c r="I91" s="62"/>
      <c r="J91" s="62"/>
      <c r="K91" s="62"/>
      <c r="L91" s="62"/>
    </row>
    <row r="92" customFormat="false" ht="17.25" hidden="false" customHeight="false" outlineLevel="0" collapsed="false">
      <c r="A92" s="62"/>
      <c r="B92" s="62"/>
      <c r="C92" s="62"/>
      <c r="D92" s="63" t="s">
        <v>2544</v>
      </c>
      <c r="E92" s="62"/>
      <c r="F92" s="62"/>
      <c r="G92" s="62"/>
      <c r="H92" s="62"/>
      <c r="I92" s="62"/>
      <c r="J92" s="62"/>
      <c r="K92" s="62"/>
      <c r="L92" s="62"/>
    </row>
    <row r="93" customFormat="false" ht="17.25" hidden="false" customHeight="false" outlineLevel="0" collapsed="false">
      <c r="A93" s="62"/>
      <c r="B93" s="62"/>
      <c r="C93" s="62"/>
      <c r="D93" s="62" t="s">
        <v>2520</v>
      </c>
      <c r="E93" s="62"/>
      <c r="F93" s="62"/>
      <c r="G93" s="62"/>
      <c r="H93" s="62"/>
      <c r="I93" s="62"/>
      <c r="J93" s="62"/>
      <c r="K93" s="62"/>
      <c r="L93" s="62"/>
    </row>
    <row r="94" customFormat="false" ht="17.25" hidden="false" customHeight="false" outlineLevel="0" collapsed="false">
      <c r="A94" s="62"/>
      <c r="B94" s="62"/>
      <c r="C94" s="62"/>
      <c r="D94" s="63" t="s">
        <v>2545</v>
      </c>
      <c r="E94" s="62"/>
      <c r="F94" s="62"/>
      <c r="G94" s="62"/>
      <c r="H94" s="62"/>
      <c r="I94" s="62"/>
      <c r="J94" s="62"/>
      <c r="K94" s="62"/>
      <c r="L94" s="62"/>
    </row>
    <row r="95" customFormat="false" ht="17.25" hidden="false" customHeight="false" outlineLevel="0" collapsed="false">
      <c r="A95" s="62"/>
      <c r="B95" s="62"/>
      <c r="C95" s="62"/>
      <c r="D95" s="63" t="s">
        <v>2546</v>
      </c>
      <c r="E95" s="62"/>
      <c r="F95" s="62"/>
      <c r="G95" s="62"/>
      <c r="H95" s="62"/>
      <c r="I95" s="62"/>
      <c r="J95" s="62"/>
      <c r="K95" s="62"/>
      <c r="L95" s="62"/>
    </row>
    <row r="96" customFormat="false" ht="17.25" hidden="false" customHeight="false" outlineLevel="0" collapsed="false">
      <c r="A96" s="62"/>
      <c r="B96" s="62"/>
      <c r="C96" s="62"/>
      <c r="D96" s="63" t="s">
        <v>2547</v>
      </c>
      <c r="E96" s="62"/>
      <c r="F96" s="62"/>
      <c r="G96" s="62"/>
      <c r="H96" s="62"/>
      <c r="I96" s="62"/>
      <c r="J96" s="62"/>
      <c r="K96" s="62"/>
      <c r="L96" s="62"/>
    </row>
    <row r="97" customFormat="false" ht="17.25" hidden="false" customHeight="false" outlineLevel="0" collapsed="false">
      <c r="A97" s="62"/>
      <c r="B97" s="62"/>
      <c r="C97" s="62"/>
      <c r="D97" s="62" t="s">
        <v>2548</v>
      </c>
      <c r="E97" s="62"/>
      <c r="F97" s="62"/>
      <c r="G97" s="62"/>
      <c r="H97" s="62"/>
      <c r="I97" s="62"/>
      <c r="J97" s="62"/>
      <c r="K97" s="62"/>
      <c r="L97" s="62"/>
    </row>
    <row r="98" customFormat="false" ht="17.25" hidden="false" customHeight="false" outlineLevel="0" collapsed="false">
      <c r="A98" s="62"/>
      <c r="B98" s="62"/>
      <c r="C98" s="62"/>
      <c r="D98" s="63" t="s">
        <v>2549</v>
      </c>
      <c r="E98" s="62"/>
      <c r="F98" s="62"/>
      <c r="G98" s="62"/>
      <c r="H98" s="62"/>
      <c r="I98" s="62"/>
      <c r="J98" s="62"/>
      <c r="K98" s="62"/>
      <c r="L98" s="62"/>
    </row>
    <row r="99" customFormat="false" ht="17.25" hidden="false" customHeight="false" outlineLevel="0" collapsed="false">
      <c r="A99" s="62"/>
      <c r="B99" s="62"/>
      <c r="C99" s="62"/>
      <c r="D99" s="63" t="s">
        <v>2347</v>
      </c>
      <c r="E99" s="62"/>
      <c r="F99" s="62"/>
      <c r="G99" s="62"/>
      <c r="H99" s="62"/>
      <c r="I99" s="62"/>
      <c r="J99" s="62"/>
      <c r="K99" s="62"/>
      <c r="L99" s="62"/>
    </row>
    <row r="100" customFormat="false" ht="17.25" hidden="false" customHeight="false" outlineLevel="0" collapsed="false">
      <c r="A100" s="62"/>
      <c r="B100" s="62"/>
      <c r="C100" s="62"/>
      <c r="D100" s="63" t="s">
        <v>2550</v>
      </c>
      <c r="E100" s="62"/>
      <c r="F100" s="62"/>
      <c r="G100" s="62"/>
      <c r="H100" s="62"/>
      <c r="I100" s="62"/>
      <c r="J100" s="62"/>
      <c r="K100" s="62"/>
      <c r="L100" s="62"/>
    </row>
    <row r="101" customFormat="false" ht="17.25" hidden="false" customHeight="false" outlineLevel="0" collapsed="false">
      <c r="A101" s="62"/>
      <c r="B101" s="62"/>
      <c r="C101" s="62"/>
      <c r="D101" s="62" t="s">
        <v>2551</v>
      </c>
      <c r="E101" s="62"/>
      <c r="F101" s="62"/>
      <c r="G101" s="62"/>
      <c r="H101" s="62"/>
      <c r="I101" s="62"/>
      <c r="J101" s="62"/>
      <c r="K101" s="62"/>
      <c r="L101" s="62"/>
    </row>
    <row r="102" customFormat="false" ht="17.25" hidden="false" customHeight="false" outlineLevel="0" collapsed="false">
      <c r="A102" s="62"/>
      <c r="B102" s="62"/>
      <c r="C102" s="62"/>
      <c r="D102" s="63" t="s">
        <v>2552</v>
      </c>
      <c r="E102" s="62"/>
      <c r="F102" s="62"/>
      <c r="G102" s="62"/>
      <c r="H102" s="62"/>
      <c r="I102" s="62"/>
      <c r="J102" s="62"/>
      <c r="K102" s="62"/>
      <c r="L102" s="62"/>
    </row>
    <row r="103" customFormat="false" ht="17.25" hidden="false" customHeight="false" outlineLevel="0" collapsed="false">
      <c r="A103" s="62"/>
      <c r="B103" s="62"/>
      <c r="C103" s="62"/>
      <c r="D103" s="63" t="s">
        <v>2347</v>
      </c>
      <c r="E103" s="62"/>
      <c r="F103" s="62"/>
      <c r="G103" s="62"/>
      <c r="H103" s="62"/>
      <c r="I103" s="62"/>
      <c r="J103" s="62"/>
      <c r="K103" s="62"/>
      <c r="L103" s="62"/>
    </row>
    <row r="104" customFormat="false" ht="17.25" hidden="false" customHeight="false" outlineLevel="0" collapsed="false">
      <c r="A104" s="62"/>
      <c r="B104" s="62"/>
      <c r="C104" s="62"/>
      <c r="D104" s="63" t="s">
        <v>2550</v>
      </c>
      <c r="E104" s="62"/>
      <c r="F104" s="62"/>
      <c r="G104" s="62"/>
      <c r="H104" s="62"/>
      <c r="I104" s="62"/>
      <c r="J104" s="62"/>
      <c r="K104" s="62"/>
      <c r="L104" s="62"/>
    </row>
    <row r="105" customFormat="false" ht="17.25" hidden="false" customHeight="false" outlineLevel="0" collapsed="false">
      <c r="A105" s="62"/>
      <c r="B105" s="62"/>
      <c r="C105" s="62"/>
      <c r="D105" s="62" t="s">
        <v>2553</v>
      </c>
      <c r="E105" s="62"/>
      <c r="F105" s="62"/>
      <c r="G105" s="62"/>
      <c r="H105" s="62"/>
      <c r="I105" s="62"/>
      <c r="J105" s="62"/>
      <c r="K105" s="62"/>
      <c r="L105" s="62"/>
    </row>
    <row r="106" customFormat="false" ht="17.25" hidden="false" customHeight="false" outlineLevel="0" collapsed="false">
      <c r="A106" s="62"/>
      <c r="B106" s="62"/>
      <c r="C106" s="62"/>
      <c r="D106" s="63" t="s">
        <v>2554</v>
      </c>
      <c r="E106" s="62"/>
      <c r="F106" s="62"/>
      <c r="G106" s="62"/>
      <c r="H106" s="62"/>
      <c r="I106" s="62"/>
      <c r="J106" s="62"/>
      <c r="K106" s="62"/>
      <c r="L106" s="62"/>
    </row>
    <row r="107" customFormat="false" ht="17.25" hidden="false" customHeight="false" outlineLevel="0" collapsed="false">
      <c r="A107" s="62"/>
      <c r="B107" s="62"/>
      <c r="C107" s="62"/>
      <c r="D107" s="63" t="s">
        <v>2555</v>
      </c>
      <c r="E107" s="62"/>
      <c r="F107" s="62"/>
      <c r="G107" s="62"/>
      <c r="H107" s="62"/>
      <c r="I107" s="62"/>
      <c r="J107" s="62"/>
      <c r="K107" s="62"/>
      <c r="L107" s="62"/>
    </row>
    <row r="108" customFormat="false" ht="17.25" hidden="false" customHeight="false" outlineLevel="0" collapsed="false">
      <c r="A108" s="62"/>
      <c r="B108" s="62"/>
      <c r="C108" s="62"/>
      <c r="D108" s="63" t="s">
        <v>2556</v>
      </c>
      <c r="E108" s="62"/>
      <c r="F108" s="62"/>
      <c r="G108" s="62"/>
      <c r="H108" s="62"/>
      <c r="I108" s="62"/>
      <c r="J108" s="62"/>
      <c r="K108" s="62"/>
      <c r="L108" s="62"/>
    </row>
    <row r="109" customFormat="false" ht="17.25" hidden="false" customHeight="false" outlineLevel="0" collapsed="false">
      <c r="A109" s="62"/>
      <c r="B109" s="62"/>
      <c r="C109" s="62"/>
      <c r="D109" s="63" t="s">
        <v>2550</v>
      </c>
      <c r="E109" s="62"/>
      <c r="F109" s="62"/>
      <c r="G109" s="62"/>
      <c r="H109" s="62"/>
      <c r="I109" s="62"/>
      <c r="J109" s="62"/>
      <c r="K109" s="62"/>
      <c r="L109" s="62"/>
    </row>
    <row r="110" customFormat="false" ht="17.25" hidden="false" customHeight="false" outlineLevel="0" collapsed="false">
      <c r="A110" s="62"/>
      <c r="B110" s="62"/>
      <c r="C110" s="62"/>
      <c r="D110" s="63" t="s">
        <v>244</v>
      </c>
      <c r="E110" s="62"/>
      <c r="F110" s="62"/>
      <c r="G110" s="62"/>
      <c r="H110" s="62"/>
      <c r="I110" s="62"/>
      <c r="J110" s="62"/>
      <c r="K110" s="62"/>
      <c r="L110" s="62"/>
    </row>
    <row r="111" customFormat="false" ht="17.25" hidden="false" customHeight="false" outlineLevel="0" collapsed="false">
      <c r="A111" s="62"/>
      <c r="B111" s="62"/>
      <c r="C111" s="62"/>
      <c r="D111" s="62" t="s">
        <v>2557</v>
      </c>
      <c r="E111" s="62"/>
      <c r="F111" s="62"/>
      <c r="G111" s="62"/>
      <c r="H111" s="62"/>
      <c r="I111" s="62"/>
      <c r="J111" s="62"/>
      <c r="K111" s="62"/>
      <c r="L111" s="62"/>
    </row>
    <row r="112" customFormat="false" ht="17.25" hidden="false" customHeight="false" outlineLevel="0" collapsed="false">
      <c r="A112" s="62"/>
      <c r="B112" s="62"/>
      <c r="C112" s="62"/>
      <c r="D112" s="63" t="s">
        <v>2556</v>
      </c>
      <c r="E112" s="62"/>
      <c r="F112" s="62"/>
      <c r="G112" s="62"/>
      <c r="H112" s="62"/>
      <c r="I112" s="62"/>
      <c r="J112" s="62"/>
      <c r="K112" s="62"/>
      <c r="L112" s="62"/>
    </row>
    <row r="113" customFormat="false" ht="17.25" hidden="false" customHeight="false" outlineLevel="0" collapsed="false">
      <c r="A113" s="62"/>
      <c r="B113" s="62"/>
      <c r="C113" s="62"/>
      <c r="D113" s="63" t="s">
        <v>2338</v>
      </c>
      <c r="E113" s="62"/>
      <c r="F113" s="62"/>
      <c r="G113" s="62"/>
      <c r="H113" s="62"/>
      <c r="I113" s="62"/>
      <c r="J113" s="62"/>
      <c r="K113" s="62"/>
      <c r="L113" s="62"/>
    </row>
    <row r="114" customFormat="false" ht="17.25" hidden="false" customHeight="false" outlineLevel="0" collapsed="false">
      <c r="A114" s="62"/>
      <c r="B114" s="62"/>
      <c r="C114" s="62"/>
      <c r="D114" s="63" t="s">
        <v>2340</v>
      </c>
      <c r="E114" s="62"/>
      <c r="F114" s="62"/>
      <c r="G114" s="62"/>
      <c r="H114" s="62"/>
      <c r="I114" s="62"/>
      <c r="J114" s="62"/>
      <c r="K114" s="62"/>
      <c r="L114" s="62"/>
    </row>
    <row r="115" customFormat="false" ht="17.25" hidden="false" customHeight="false" outlineLevel="0" collapsed="false">
      <c r="A115" s="62"/>
      <c r="B115" s="62"/>
      <c r="C115" s="62"/>
      <c r="D115" s="62" t="s">
        <v>2611</v>
      </c>
      <c r="E115" s="62"/>
      <c r="F115" s="62"/>
      <c r="G115" s="62"/>
      <c r="H115" s="62"/>
      <c r="I115" s="62"/>
      <c r="J115" s="62"/>
      <c r="K115" s="62"/>
      <c r="L115" s="62"/>
    </row>
    <row r="116" customFormat="false" ht="17.25" hidden="false" customHeight="false" outlineLevel="0" collapsed="false">
      <c r="A116" s="62"/>
      <c r="B116" s="62"/>
      <c r="C116" s="62"/>
      <c r="D116" s="63" t="s">
        <v>2334</v>
      </c>
      <c r="E116" s="62"/>
      <c r="F116" s="62"/>
      <c r="G116" s="62"/>
      <c r="H116" s="62"/>
      <c r="I116" s="62"/>
      <c r="J116" s="62"/>
      <c r="K116" s="62"/>
      <c r="L116" s="62"/>
    </row>
    <row r="117" customFormat="false" ht="17.25" hidden="false" customHeight="false" outlineLevel="0" collapsed="false">
      <c r="A117" s="62"/>
      <c r="B117" s="62"/>
      <c r="C117" s="62"/>
      <c r="D117" s="63" t="s">
        <v>2336</v>
      </c>
      <c r="E117" s="62"/>
      <c r="F117" s="62"/>
      <c r="G117" s="62"/>
      <c r="H117" s="62"/>
      <c r="I117" s="62"/>
      <c r="J117" s="62"/>
      <c r="K117" s="62"/>
      <c r="L117" s="62"/>
    </row>
    <row r="118" customFormat="false" ht="17.25" hidden="false" customHeight="false" outlineLevel="0" collapsed="false">
      <c r="A118" s="62"/>
      <c r="B118" s="62"/>
      <c r="C118" s="62"/>
      <c r="D118" s="63" t="s">
        <v>2338</v>
      </c>
      <c r="E118" s="62"/>
      <c r="F118" s="62"/>
      <c r="G118" s="62"/>
      <c r="H118" s="62"/>
      <c r="I118" s="62"/>
      <c r="J118" s="62"/>
      <c r="K118" s="62"/>
      <c r="L118" s="62"/>
    </row>
    <row r="119" customFormat="false" ht="17.25" hidden="false" customHeight="false" outlineLevel="0" collapsed="false">
      <c r="A119" s="62"/>
      <c r="B119" s="62"/>
      <c r="C119" s="62"/>
      <c r="D119" s="63" t="s">
        <v>2340</v>
      </c>
      <c r="E119" s="62"/>
      <c r="F119" s="62"/>
      <c r="G119" s="62"/>
      <c r="H119" s="62"/>
      <c r="I119" s="62"/>
      <c r="J119" s="62"/>
      <c r="K119" s="62"/>
      <c r="L119" s="62"/>
    </row>
    <row r="120" customFormat="false" ht="17.25" hidden="false" customHeight="false" outlineLevel="0" collapsed="false">
      <c r="A120" s="62"/>
      <c r="B120" s="62"/>
      <c r="C120" s="62"/>
      <c r="D120" s="63" t="s">
        <v>244</v>
      </c>
      <c r="E120" s="62"/>
      <c r="F120" s="62"/>
      <c r="G120" s="62"/>
      <c r="H120" s="62"/>
      <c r="I120" s="62"/>
      <c r="J120" s="62"/>
      <c r="K120" s="62"/>
      <c r="L120" s="62"/>
    </row>
    <row r="121" customFormat="false" ht="17.25" hidden="false" customHeight="false" outlineLevel="0" collapsed="false">
      <c r="A121" s="62"/>
      <c r="B121" s="62"/>
      <c r="C121" s="62"/>
      <c r="D121" s="62" t="s">
        <v>2559</v>
      </c>
      <c r="E121" s="62"/>
      <c r="F121" s="62"/>
      <c r="G121" s="62"/>
      <c r="H121" s="62"/>
      <c r="I121" s="62"/>
      <c r="J121" s="62"/>
      <c r="K121" s="62"/>
      <c r="L121" s="62"/>
    </row>
    <row r="122" customFormat="false" ht="33" hidden="false" customHeight="false" outlineLevel="0" collapsed="false">
      <c r="A122" s="62"/>
      <c r="B122" s="62"/>
      <c r="C122" s="62"/>
      <c r="D122" s="63" t="s">
        <v>2345</v>
      </c>
      <c r="E122" s="62"/>
      <c r="F122" s="62"/>
      <c r="G122" s="62"/>
      <c r="H122" s="62"/>
      <c r="I122" s="62"/>
      <c r="J122" s="62"/>
      <c r="K122" s="62"/>
      <c r="L122" s="62"/>
    </row>
    <row r="123" customFormat="false" ht="17.25" hidden="false" customHeight="false" outlineLevel="0" collapsed="false">
      <c r="A123" s="62"/>
      <c r="B123" s="62"/>
      <c r="C123" s="62"/>
      <c r="D123" s="63" t="s">
        <v>2347</v>
      </c>
      <c r="E123" s="62"/>
      <c r="F123" s="62"/>
      <c r="G123" s="62"/>
      <c r="H123" s="62"/>
      <c r="I123" s="62"/>
      <c r="J123" s="62"/>
      <c r="K123" s="62"/>
      <c r="L123" s="62"/>
    </row>
    <row r="124" customFormat="false" ht="17.25" hidden="false" customHeight="false" outlineLevel="0" collapsed="false">
      <c r="A124" s="62"/>
      <c r="B124" s="62"/>
      <c r="C124" s="62"/>
      <c r="D124" s="63" t="s">
        <v>2349</v>
      </c>
      <c r="E124" s="62"/>
      <c r="F124" s="62"/>
      <c r="G124" s="62"/>
      <c r="H124" s="62"/>
      <c r="I124" s="62"/>
      <c r="J124" s="62"/>
      <c r="K124" s="62"/>
      <c r="L124" s="62"/>
    </row>
    <row r="125" customFormat="false" ht="17.25" hidden="false" customHeight="false" outlineLevel="0" collapsed="false">
      <c r="A125" s="62"/>
      <c r="B125" s="62"/>
      <c r="C125" s="62"/>
      <c r="D125" s="62" t="s">
        <v>2560</v>
      </c>
      <c r="E125" s="62"/>
      <c r="F125" s="62"/>
      <c r="G125" s="62"/>
      <c r="H125" s="62"/>
      <c r="I125" s="62"/>
      <c r="J125" s="62"/>
      <c r="K125" s="62"/>
      <c r="L125" s="62"/>
    </row>
    <row r="126" customFormat="false" ht="33" hidden="false" customHeight="false" outlineLevel="0" collapsed="false">
      <c r="A126" s="62"/>
      <c r="B126" s="62"/>
      <c r="C126" s="62"/>
      <c r="D126" s="63" t="s">
        <v>2561</v>
      </c>
      <c r="E126" s="62"/>
      <c r="F126" s="62"/>
      <c r="G126" s="62"/>
      <c r="H126" s="62"/>
      <c r="I126" s="62"/>
      <c r="J126" s="62"/>
      <c r="K126" s="62"/>
      <c r="L126" s="62"/>
    </row>
    <row r="127" customFormat="false" ht="17.25" hidden="false" customHeight="false" outlineLevel="0" collapsed="false">
      <c r="A127" s="62"/>
      <c r="B127" s="62"/>
      <c r="C127" s="62"/>
      <c r="D127" s="63" t="s">
        <v>255</v>
      </c>
      <c r="E127" s="62"/>
      <c r="F127" s="62"/>
      <c r="G127" s="62"/>
      <c r="H127" s="62"/>
      <c r="I127" s="62"/>
      <c r="J127" s="62"/>
      <c r="K127" s="62"/>
      <c r="L127" s="62"/>
    </row>
    <row r="128" customFormat="false" ht="17.25" hidden="false" customHeight="false" outlineLevel="0" collapsed="false">
      <c r="A128" s="62"/>
      <c r="B128" s="62"/>
      <c r="C128" s="62"/>
      <c r="D128" s="63" t="s">
        <v>2562</v>
      </c>
      <c r="E128" s="62"/>
      <c r="F128" s="62"/>
      <c r="G128" s="62"/>
      <c r="H128" s="62"/>
      <c r="I128" s="62"/>
      <c r="J128" s="62"/>
      <c r="K128" s="62"/>
      <c r="L128" s="62"/>
    </row>
    <row r="129" customFormat="false" ht="17.25" hidden="false" customHeight="false" outlineLevel="0" collapsed="false">
      <c r="A129" s="62"/>
      <c r="B129" s="62"/>
      <c r="C129" s="62"/>
      <c r="D129" s="62" t="s">
        <v>2520</v>
      </c>
      <c r="E129" s="62"/>
      <c r="F129" s="62"/>
      <c r="G129" s="62"/>
      <c r="H129" s="62"/>
      <c r="I129" s="62"/>
      <c r="J129" s="62"/>
      <c r="K129" s="62"/>
      <c r="L129" s="62"/>
    </row>
    <row r="130" customFormat="false" ht="17.25" hidden="false" customHeight="false" outlineLevel="0" collapsed="false">
      <c r="A130" s="62"/>
      <c r="B130" s="62"/>
      <c r="C130" s="62"/>
      <c r="D130" s="63" t="s">
        <v>2563</v>
      </c>
      <c r="E130" s="62"/>
      <c r="F130" s="62"/>
      <c r="G130" s="62"/>
      <c r="H130" s="62"/>
      <c r="I130" s="62"/>
      <c r="J130" s="62"/>
      <c r="K130" s="62"/>
      <c r="L130" s="62"/>
    </row>
    <row r="131" customFormat="false" ht="17.25" hidden="false" customHeight="false" outlineLevel="0" collapsed="false">
      <c r="A131" s="62"/>
      <c r="B131" s="62"/>
      <c r="C131" s="62"/>
      <c r="D131" s="63" t="s">
        <v>2564</v>
      </c>
      <c r="E131" s="62"/>
      <c r="F131" s="62"/>
      <c r="G131" s="62"/>
      <c r="H131" s="62"/>
      <c r="I131" s="62"/>
      <c r="J131" s="62"/>
      <c r="K131" s="62"/>
      <c r="L131" s="62"/>
    </row>
    <row r="132" customFormat="false" ht="17.25" hidden="false" customHeight="false" outlineLevel="0" collapsed="false">
      <c r="A132" s="62"/>
      <c r="B132" s="62"/>
      <c r="C132" s="62"/>
      <c r="D132" s="63" t="s">
        <v>2565</v>
      </c>
      <c r="E132" s="62"/>
      <c r="F132" s="62"/>
      <c r="G132" s="62"/>
      <c r="H132" s="62"/>
      <c r="I132" s="62"/>
      <c r="J132" s="62"/>
      <c r="K132" s="62"/>
      <c r="L132" s="62"/>
    </row>
    <row r="133" customFormat="false" ht="17.25" hidden="false" customHeight="false" outlineLevel="0" collapsed="false">
      <c r="A133" s="62"/>
      <c r="B133" s="62"/>
      <c r="C133" s="62"/>
      <c r="D133" s="62" t="s">
        <v>2520</v>
      </c>
      <c r="E133" s="62"/>
      <c r="F133" s="62"/>
      <c r="G133" s="62"/>
      <c r="H133" s="62"/>
      <c r="I133" s="62"/>
      <c r="J133" s="62"/>
      <c r="K133" s="62"/>
      <c r="L133" s="62"/>
    </row>
    <row r="134" customFormat="false" ht="17.25" hidden="false" customHeight="false" outlineLevel="0" collapsed="false">
      <c r="A134" s="62"/>
      <c r="B134" s="62"/>
      <c r="C134" s="62"/>
      <c r="D134" s="63" t="s">
        <v>2566</v>
      </c>
      <c r="E134" s="62"/>
      <c r="F134" s="62"/>
      <c r="G134" s="62"/>
      <c r="H134" s="62"/>
      <c r="I134" s="62"/>
      <c r="J134" s="62"/>
      <c r="K134" s="62"/>
      <c r="L134" s="62"/>
    </row>
    <row r="135" customFormat="false" ht="17.25" hidden="false" customHeight="false" outlineLevel="0" collapsed="false">
      <c r="A135" s="62"/>
      <c r="B135" s="62"/>
      <c r="C135" s="62"/>
      <c r="D135" s="63" t="s">
        <v>2567</v>
      </c>
      <c r="E135" s="62"/>
      <c r="F135" s="62"/>
      <c r="G135" s="62"/>
      <c r="H135" s="62"/>
      <c r="I135" s="62"/>
      <c r="J135" s="62"/>
      <c r="K135" s="62"/>
      <c r="L135" s="62"/>
    </row>
    <row r="136" customFormat="false" ht="17.25" hidden="false" customHeight="false" outlineLevel="0" collapsed="false">
      <c r="A136" s="62"/>
      <c r="B136" s="62"/>
      <c r="C136" s="62"/>
      <c r="D136" s="63" t="s">
        <v>2568</v>
      </c>
      <c r="E136" s="62"/>
      <c r="F136" s="62"/>
      <c r="G136" s="62"/>
      <c r="H136" s="62"/>
      <c r="I136" s="62"/>
      <c r="J136" s="62"/>
      <c r="K136" s="62"/>
      <c r="L136" s="62"/>
    </row>
    <row r="137" customFormat="false" ht="17.25" hidden="false" customHeight="false" outlineLevel="0" collapsed="false">
      <c r="A137" s="62"/>
      <c r="B137" s="62"/>
      <c r="C137" s="62"/>
      <c r="D137" s="62" t="s">
        <v>2527</v>
      </c>
      <c r="E137" s="62"/>
      <c r="F137" s="62"/>
      <c r="G137" s="62"/>
      <c r="H137" s="62"/>
      <c r="I137" s="62"/>
      <c r="J137" s="62"/>
      <c r="K137" s="62"/>
      <c r="L137" s="62"/>
    </row>
    <row r="138" customFormat="false" ht="33" hidden="false" customHeight="false" outlineLevel="0" collapsed="false">
      <c r="A138" s="62"/>
      <c r="B138" s="62"/>
      <c r="C138" s="62"/>
      <c r="D138" s="63" t="s">
        <v>2569</v>
      </c>
      <c r="E138" s="62"/>
      <c r="F138" s="62"/>
      <c r="G138" s="62"/>
      <c r="H138" s="62"/>
      <c r="I138" s="62"/>
      <c r="J138" s="62"/>
      <c r="K138" s="62"/>
      <c r="L138" s="62"/>
    </row>
    <row r="139" customFormat="false" ht="17.25" hidden="false" customHeight="false" outlineLevel="0" collapsed="false">
      <c r="A139" s="62"/>
      <c r="B139" s="62"/>
      <c r="C139" s="62"/>
      <c r="D139" s="63" t="s">
        <v>255</v>
      </c>
      <c r="E139" s="62"/>
      <c r="F139" s="62"/>
      <c r="G139" s="62"/>
      <c r="H139" s="62"/>
      <c r="I139" s="62"/>
      <c r="J139" s="62"/>
      <c r="K139" s="62"/>
      <c r="L139" s="62"/>
    </row>
    <row r="140" customFormat="false" ht="17.25" hidden="false" customHeight="false" outlineLevel="0" collapsed="false">
      <c r="A140" s="62"/>
      <c r="B140" s="62"/>
      <c r="C140" s="62"/>
      <c r="D140" s="63" t="s">
        <v>2570</v>
      </c>
      <c r="E140" s="62"/>
      <c r="F140" s="62"/>
      <c r="G140" s="62"/>
      <c r="H140" s="62"/>
      <c r="I140" s="62"/>
      <c r="J140" s="62"/>
      <c r="K140" s="62"/>
      <c r="L140" s="62"/>
    </row>
    <row r="141" customFormat="false" ht="17.25" hidden="false" customHeight="false" outlineLevel="0" collapsed="false">
      <c r="A141" s="62"/>
      <c r="B141" s="62"/>
      <c r="C141" s="62"/>
      <c r="D141" s="62" t="s">
        <v>2520</v>
      </c>
      <c r="E141" s="62"/>
      <c r="F141" s="62"/>
      <c r="G141" s="62"/>
      <c r="H141" s="62"/>
      <c r="I141" s="62"/>
      <c r="J141" s="62"/>
      <c r="K141" s="62"/>
      <c r="L141" s="62"/>
    </row>
    <row r="142" customFormat="false" ht="17.25" hidden="false" customHeight="false" outlineLevel="0" collapsed="false">
      <c r="A142" s="62"/>
      <c r="B142" s="62"/>
      <c r="C142" s="62"/>
      <c r="D142" s="63" t="s">
        <v>2571</v>
      </c>
      <c r="E142" s="62"/>
      <c r="F142" s="62"/>
      <c r="G142" s="62"/>
      <c r="H142" s="62"/>
      <c r="I142" s="62"/>
      <c r="J142" s="62"/>
      <c r="K142" s="62"/>
      <c r="L142" s="62"/>
    </row>
    <row r="143" customFormat="false" ht="33" hidden="false" customHeight="false" outlineLevel="0" collapsed="false">
      <c r="A143" s="62"/>
      <c r="B143" s="62"/>
      <c r="C143" s="62"/>
      <c r="D143" s="63" t="s">
        <v>2572</v>
      </c>
      <c r="E143" s="62"/>
      <c r="F143" s="62"/>
      <c r="G143" s="62"/>
      <c r="H143" s="62"/>
      <c r="I143" s="62"/>
      <c r="J143" s="62"/>
      <c r="K143" s="62"/>
      <c r="L143" s="62"/>
    </row>
    <row r="144" customFormat="false" ht="17.25" hidden="false" customHeight="false" outlineLevel="0" collapsed="false">
      <c r="A144" s="62"/>
      <c r="B144" s="62"/>
      <c r="C144" s="62"/>
      <c r="D144" s="63" t="s">
        <v>1007</v>
      </c>
      <c r="E144" s="62"/>
      <c r="F144" s="62"/>
      <c r="G144" s="62"/>
      <c r="H144" s="62"/>
      <c r="I144" s="62"/>
      <c r="J144" s="62"/>
      <c r="K144" s="62"/>
      <c r="L144" s="62"/>
    </row>
    <row r="145" customFormat="false" ht="17.25" hidden="false" customHeight="false" outlineLevel="0" collapsed="false">
      <c r="A145" s="62"/>
      <c r="B145" s="62"/>
      <c r="C145" s="62"/>
      <c r="D145" s="63" t="s">
        <v>2573</v>
      </c>
      <c r="E145" s="62"/>
      <c r="F145" s="62"/>
      <c r="G145" s="62"/>
      <c r="H145" s="62"/>
      <c r="I145" s="62"/>
      <c r="J145" s="62"/>
      <c r="K145" s="62"/>
      <c r="L145" s="62"/>
    </row>
    <row r="146" customFormat="false" ht="17.25" hidden="false" customHeight="false" outlineLevel="0" collapsed="false">
      <c r="A146" s="62"/>
      <c r="B146" s="62"/>
      <c r="C146" s="62"/>
      <c r="D146" s="63" t="s">
        <v>244</v>
      </c>
      <c r="E146" s="62"/>
      <c r="F146" s="62"/>
      <c r="G146" s="62"/>
      <c r="H146" s="62"/>
      <c r="I146" s="62"/>
      <c r="J146" s="62"/>
      <c r="K146" s="62"/>
      <c r="L146" s="62"/>
    </row>
    <row r="147" customFormat="false" ht="17.25" hidden="false" customHeight="false" outlineLevel="0" collapsed="false">
      <c r="A147" s="62"/>
      <c r="B147" s="62"/>
      <c r="C147" s="62"/>
      <c r="D147" s="62" t="s">
        <v>2520</v>
      </c>
      <c r="E147" s="62"/>
      <c r="F147" s="62"/>
      <c r="G147" s="62"/>
      <c r="H147" s="62"/>
      <c r="I147" s="62"/>
      <c r="J147" s="62"/>
      <c r="K147" s="62"/>
      <c r="L147" s="62"/>
    </row>
    <row r="148" customFormat="false" ht="33" hidden="false" customHeight="false" outlineLevel="0" collapsed="false">
      <c r="A148" s="62"/>
      <c r="B148" s="62"/>
      <c r="C148" s="62"/>
      <c r="D148" s="63" t="s">
        <v>2612</v>
      </c>
      <c r="E148" s="62"/>
      <c r="F148" s="62"/>
      <c r="G148" s="62"/>
      <c r="H148" s="62"/>
      <c r="I148" s="62"/>
      <c r="J148" s="62"/>
      <c r="K148" s="62"/>
      <c r="L148" s="62"/>
    </row>
    <row r="149" customFormat="false" ht="17.25" hidden="false" customHeight="false" outlineLevel="0" collapsed="false">
      <c r="A149" s="62"/>
      <c r="B149" s="62"/>
      <c r="C149" s="62"/>
      <c r="D149" s="63" t="s">
        <v>227</v>
      </c>
      <c r="E149" s="62"/>
      <c r="F149" s="62"/>
      <c r="G149" s="62"/>
      <c r="H149" s="62"/>
      <c r="I149" s="62"/>
      <c r="J149" s="62"/>
      <c r="K149" s="62"/>
      <c r="L149" s="62"/>
    </row>
    <row r="150" customFormat="false" ht="17.25" hidden="false" customHeight="false" outlineLevel="0" collapsed="false">
      <c r="A150" s="62"/>
      <c r="B150" s="62"/>
      <c r="C150" s="62"/>
      <c r="D150" s="63" t="s">
        <v>240</v>
      </c>
      <c r="E150" s="62"/>
      <c r="F150" s="62"/>
      <c r="G150" s="62"/>
      <c r="H150" s="62"/>
      <c r="I150" s="62"/>
      <c r="J150" s="62"/>
      <c r="K150" s="62"/>
      <c r="L150" s="62"/>
    </row>
    <row r="151" customFormat="false" ht="17.25" hidden="false" customHeight="false" outlineLevel="0" collapsed="false">
      <c r="A151" s="62"/>
      <c r="B151" s="62"/>
      <c r="C151" s="62"/>
      <c r="D151" s="62" t="s">
        <v>2613</v>
      </c>
      <c r="E151" s="62"/>
      <c r="F151" s="62"/>
      <c r="G151" s="62"/>
      <c r="H151" s="62"/>
      <c r="I151" s="62"/>
      <c r="J151" s="62"/>
      <c r="K151" s="62"/>
      <c r="L151" s="62"/>
    </row>
    <row r="152" customFormat="false" ht="17.25" hidden="false" customHeight="false" outlineLevel="0" collapsed="false">
      <c r="A152" s="62"/>
      <c r="B152" s="62"/>
      <c r="C152" s="62"/>
      <c r="D152" s="63" t="s">
        <v>2378</v>
      </c>
      <c r="E152" s="62"/>
      <c r="F152" s="62"/>
      <c r="G152" s="62"/>
      <c r="H152" s="62"/>
      <c r="I152" s="62"/>
      <c r="J152" s="62"/>
      <c r="K152" s="62"/>
      <c r="L152" s="62"/>
    </row>
    <row r="153" customFormat="false" ht="17.25" hidden="false" customHeight="false" outlineLevel="0" collapsed="false">
      <c r="A153" s="62"/>
      <c r="B153" s="62"/>
      <c r="C153" s="62"/>
      <c r="D153" s="63" t="s">
        <v>2379</v>
      </c>
      <c r="E153" s="62"/>
      <c r="F153" s="62"/>
      <c r="G153" s="62"/>
      <c r="H153" s="62"/>
      <c r="I153" s="62"/>
      <c r="J153" s="62"/>
      <c r="K153" s="62"/>
      <c r="L153" s="62"/>
    </row>
    <row r="154" customFormat="false" ht="17.25" hidden="false" customHeight="false" outlineLevel="0" collapsed="false">
      <c r="A154" s="62"/>
      <c r="B154" s="62"/>
      <c r="C154" s="62"/>
      <c r="D154" s="63" t="s">
        <v>2380</v>
      </c>
      <c r="E154" s="62"/>
      <c r="F154" s="62"/>
      <c r="G154" s="62"/>
      <c r="H154" s="62"/>
      <c r="I154" s="62"/>
      <c r="J154" s="62"/>
      <c r="K154" s="62"/>
      <c r="L154" s="62"/>
    </row>
    <row r="155" customFormat="false" ht="17.25" hidden="false" customHeight="false" outlineLevel="0" collapsed="false">
      <c r="A155" s="62"/>
      <c r="B155" s="62"/>
      <c r="C155" s="62"/>
      <c r="D155" s="62" t="s">
        <v>2614</v>
      </c>
      <c r="E155" s="62"/>
      <c r="F155" s="62"/>
      <c r="G155" s="62"/>
      <c r="H155" s="62"/>
      <c r="I155" s="62"/>
      <c r="J155" s="62"/>
      <c r="K155" s="62"/>
      <c r="L155" s="62"/>
    </row>
    <row r="156" customFormat="false" ht="17.25" hidden="false" customHeight="false" outlineLevel="0" collapsed="false">
      <c r="A156" s="62"/>
      <c r="B156" s="62"/>
      <c r="C156" s="62"/>
      <c r="D156" s="63" t="s">
        <v>2382</v>
      </c>
      <c r="E156" s="62"/>
      <c r="F156" s="62"/>
      <c r="G156" s="62"/>
      <c r="H156" s="62"/>
      <c r="I156" s="62"/>
      <c r="J156" s="62"/>
      <c r="K156" s="62"/>
      <c r="L156" s="62"/>
    </row>
    <row r="157" customFormat="false" ht="17.25" hidden="false" customHeight="false" outlineLevel="0" collapsed="false">
      <c r="A157" s="62"/>
      <c r="B157" s="62"/>
      <c r="C157" s="62"/>
      <c r="D157" s="63" t="s">
        <v>2383</v>
      </c>
      <c r="E157" s="62"/>
      <c r="F157" s="62"/>
      <c r="G157" s="62"/>
      <c r="H157" s="62"/>
      <c r="I157" s="62"/>
      <c r="J157" s="62"/>
      <c r="K157" s="62"/>
      <c r="L157" s="62"/>
    </row>
    <row r="158" customFormat="false" ht="17.25" hidden="false" customHeight="false" outlineLevel="0" collapsed="false">
      <c r="A158" s="62"/>
      <c r="B158" s="62"/>
      <c r="C158" s="62"/>
      <c r="D158" s="63" t="s">
        <v>2615</v>
      </c>
      <c r="E158" s="62"/>
      <c r="F158" s="62"/>
      <c r="G158" s="62"/>
      <c r="H158" s="62"/>
      <c r="I158" s="62"/>
      <c r="J158" s="62"/>
      <c r="K158" s="62"/>
      <c r="L158" s="62"/>
    </row>
    <row r="159" customFormat="false" ht="17.25" hidden="false" customHeight="false" outlineLevel="0" collapsed="false">
      <c r="A159" s="62"/>
      <c r="B159" s="62"/>
      <c r="C159" s="62"/>
      <c r="D159" s="62" t="s">
        <v>2613</v>
      </c>
      <c r="E159" s="62"/>
      <c r="F159" s="62"/>
      <c r="G159" s="62"/>
      <c r="H159" s="62"/>
      <c r="I159" s="62"/>
      <c r="J159" s="62"/>
      <c r="K159" s="62"/>
      <c r="L159" s="62"/>
    </row>
    <row r="160" customFormat="false" ht="17.25" hidden="false" customHeight="false" outlineLevel="0" collapsed="false">
      <c r="A160" s="62"/>
      <c r="B160" s="62"/>
      <c r="C160" s="62"/>
      <c r="D160" s="63" t="s">
        <v>233</v>
      </c>
      <c r="E160" s="62"/>
      <c r="F160" s="62"/>
      <c r="G160" s="62"/>
      <c r="H160" s="62"/>
      <c r="I160" s="62"/>
      <c r="J160" s="62"/>
      <c r="K160" s="62"/>
      <c r="L160" s="62"/>
    </row>
    <row r="161" customFormat="false" ht="15.75" hidden="false" customHeight="false" outlineLevel="0" collapsed="false">
      <c r="A161" s="3" t="s">
        <v>211</v>
      </c>
    </row>
    <row r="168" customFormat="false" ht="15.75" hidden="false" customHeight="false" outlineLevel="0" collapsed="false">
      <c r="A168" s="65" t="s">
        <v>281</v>
      </c>
    </row>
  </sheetData>
  <hyperlinks>
    <hyperlink ref="M1" location="Index!A1" display="Index"/>
    <hyperlink ref="A161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2"/>
  <sheetViews>
    <sheetView showFormulas="false" showGridLines="true" showRowColHeaders="true" showZeros="true" rightToLeft="false" tabSelected="false" showOutlineSymbols="true" defaultGridColor="true" view="normal" topLeftCell="A243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4.29"/>
    <col collapsed="false" customWidth="true" hidden="false" outlineLevel="0" max="12" min="12" style="0" width="18.71"/>
  </cols>
  <sheetData>
    <row r="1" customFormat="false" ht="15" hidden="false" customHeight="false" outlineLevel="0" collapsed="false">
      <c r="A1" s="20" t="s">
        <v>213</v>
      </c>
      <c r="M1" s="21" t="s">
        <v>82</v>
      </c>
    </row>
    <row r="2" customFormat="false" ht="30.75" hidden="false" customHeight="false" outlineLevel="0" collapsed="false">
      <c r="A2" s="57" t="s">
        <v>202</v>
      </c>
      <c r="B2" s="58" t="s">
        <v>206</v>
      </c>
      <c r="C2" s="57" t="s">
        <v>204</v>
      </c>
      <c r="D2" s="59" t="n">
        <v>313</v>
      </c>
      <c r="E2" s="57" t="s">
        <v>205</v>
      </c>
      <c r="F2" s="58" t="s">
        <v>206</v>
      </c>
      <c r="G2" s="57" t="s">
        <v>207</v>
      </c>
      <c r="H2" s="58" t="s">
        <v>208</v>
      </c>
      <c r="I2" s="57" t="s">
        <v>209</v>
      </c>
      <c r="J2" s="59" t="s">
        <v>763</v>
      </c>
    </row>
    <row r="3" customFormat="false" ht="159" hidden="false" customHeight="false" outlineLevel="0" collapsed="false">
      <c r="A3" s="61" t="s">
        <v>214</v>
      </c>
      <c r="B3" s="61" t="s">
        <v>215</v>
      </c>
      <c r="C3" s="61" t="s">
        <v>216</v>
      </c>
      <c r="D3" s="61" t="s">
        <v>217</v>
      </c>
      <c r="E3" s="61" t="s">
        <v>218</v>
      </c>
      <c r="F3" s="61" t="s">
        <v>219</v>
      </c>
      <c r="G3" s="61" t="s">
        <v>220</v>
      </c>
      <c r="H3" s="61" t="s">
        <v>221</v>
      </c>
      <c r="I3" s="61" t="s">
        <v>222</v>
      </c>
      <c r="J3" s="61" t="s">
        <v>223</v>
      </c>
      <c r="K3" s="61" t="s">
        <v>224</v>
      </c>
      <c r="L3" s="61" t="s">
        <v>225</v>
      </c>
    </row>
    <row r="4" customFormat="false" ht="33" hidden="false" customHeight="false" outlineLevel="0" collapsed="false">
      <c r="A4" s="62" t="n">
        <v>531</v>
      </c>
      <c r="B4" s="62" t="n">
        <v>1043</v>
      </c>
      <c r="C4" s="63" t="s">
        <v>2297</v>
      </c>
      <c r="D4" s="63" t="s">
        <v>2373</v>
      </c>
      <c r="E4" s="63" t="s">
        <v>876</v>
      </c>
      <c r="F4" s="62"/>
      <c r="G4" s="62" t="s">
        <v>2399</v>
      </c>
      <c r="H4" s="62"/>
      <c r="I4" s="62"/>
      <c r="J4" s="62"/>
      <c r="K4" s="62"/>
      <c r="L4" s="62" t="s">
        <v>2616</v>
      </c>
    </row>
    <row r="5" customFormat="false" ht="33" hidden="false" customHeight="false" outlineLevel="0" collapsed="false">
      <c r="A5" s="62" t="s">
        <v>231</v>
      </c>
      <c r="B5" s="62"/>
      <c r="C5" s="63" t="s">
        <v>2300</v>
      </c>
      <c r="D5" s="63" t="s">
        <v>2401</v>
      </c>
      <c r="E5" s="62" t="s">
        <v>2617</v>
      </c>
      <c r="F5" s="62"/>
      <c r="G5" s="62" t="n">
        <v>12</v>
      </c>
      <c r="H5" s="62" t="s">
        <v>2618</v>
      </c>
      <c r="I5" s="62"/>
      <c r="J5" s="62"/>
      <c r="K5" s="62"/>
      <c r="L5" s="62" t="s">
        <v>2619</v>
      </c>
    </row>
    <row r="6" customFormat="false" ht="33" hidden="false" customHeight="false" outlineLevel="0" collapsed="false">
      <c r="A6" s="62" t="s">
        <v>2405</v>
      </c>
      <c r="B6" s="62"/>
      <c r="C6" s="62"/>
      <c r="D6" s="63" t="s">
        <v>1301</v>
      </c>
      <c r="E6" s="63" t="s">
        <v>2431</v>
      </c>
      <c r="F6" s="62"/>
      <c r="G6" s="62" t="n">
        <v>13</v>
      </c>
      <c r="H6" s="62" t="s">
        <v>2620</v>
      </c>
      <c r="I6" s="62"/>
      <c r="J6" s="62"/>
      <c r="K6" s="62"/>
      <c r="L6" s="63" t="s">
        <v>2621</v>
      </c>
    </row>
    <row r="7" customFormat="false" ht="33" hidden="false" customHeight="false" outlineLevel="0" collapsed="false">
      <c r="A7" s="62"/>
      <c r="B7" s="62"/>
      <c r="C7" s="62"/>
      <c r="D7" s="62" t="s">
        <v>2622</v>
      </c>
      <c r="E7" s="63" t="s">
        <v>2598</v>
      </c>
      <c r="F7" s="62"/>
      <c r="G7" s="62"/>
      <c r="H7" s="62"/>
      <c r="I7" s="62"/>
      <c r="J7" s="62"/>
      <c r="K7" s="62"/>
      <c r="L7" s="63" t="s">
        <v>2606</v>
      </c>
    </row>
    <row r="8" customFormat="false" ht="33" hidden="false" customHeight="false" outlineLevel="0" collapsed="false">
      <c r="A8" s="62"/>
      <c r="B8" s="62"/>
      <c r="C8" s="62"/>
      <c r="D8" s="63" t="s">
        <v>2410</v>
      </c>
      <c r="E8" s="63" t="s">
        <v>244</v>
      </c>
      <c r="F8" s="62"/>
      <c r="G8" s="62" t="n">
        <v>18</v>
      </c>
      <c r="H8" s="62" t="s">
        <v>2623</v>
      </c>
      <c r="I8" s="62"/>
      <c r="J8" s="62"/>
      <c r="K8" s="62"/>
      <c r="L8" s="63" t="s">
        <v>2607</v>
      </c>
    </row>
    <row r="9" customFormat="false" ht="33" hidden="false" customHeight="false" outlineLevel="0" collapsed="false">
      <c r="A9" s="62"/>
      <c r="B9" s="62"/>
      <c r="C9" s="62"/>
      <c r="D9" s="63" t="s">
        <v>2414</v>
      </c>
      <c r="E9" s="62" t="s">
        <v>2624</v>
      </c>
      <c r="F9" s="62"/>
      <c r="G9" s="62"/>
      <c r="H9" s="62"/>
      <c r="I9" s="62"/>
      <c r="J9" s="62"/>
      <c r="K9" s="62"/>
      <c r="L9" s="63" t="s">
        <v>2316</v>
      </c>
    </row>
    <row r="10" customFormat="false" ht="33" hidden="false" customHeight="false" outlineLevel="0" collapsed="false">
      <c r="A10" s="62"/>
      <c r="B10" s="62"/>
      <c r="C10" s="62"/>
      <c r="D10" s="63" t="s">
        <v>1301</v>
      </c>
      <c r="E10" s="63" t="s">
        <v>289</v>
      </c>
      <c r="F10" s="62"/>
      <c r="G10" s="62" t="n">
        <v>19</v>
      </c>
      <c r="H10" s="62" t="s">
        <v>771</v>
      </c>
      <c r="I10" s="62"/>
      <c r="J10" s="62"/>
      <c r="K10" s="62"/>
      <c r="L10" s="63" t="s">
        <v>2456</v>
      </c>
    </row>
    <row r="11" customFormat="false" ht="33" hidden="false" customHeight="false" outlineLevel="0" collapsed="false">
      <c r="A11" s="62"/>
      <c r="B11" s="62"/>
      <c r="C11" s="62"/>
      <c r="D11" s="62" t="s">
        <v>2418</v>
      </c>
      <c r="E11" s="63" t="s">
        <v>2625</v>
      </c>
      <c r="F11" s="62"/>
      <c r="G11" s="62" t="s">
        <v>267</v>
      </c>
      <c r="H11" s="62" t="s">
        <v>268</v>
      </c>
      <c r="I11" s="62"/>
      <c r="J11" s="62"/>
      <c r="K11" s="62"/>
      <c r="L11" s="62" t="s">
        <v>2422</v>
      </c>
    </row>
    <row r="12" customFormat="false" ht="33" hidden="false" customHeight="false" outlineLevel="0" collapsed="false">
      <c r="A12" s="62"/>
      <c r="B12" s="62"/>
      <c r="C12" s="62"/>
      <c r="D12" s="63" t="s">
        <v>2420</v>
      </c>
      <c r="E12" s="62" t="s">
        <v>2626</v>
      </c>
      <c r="F12" s="62"/>
      <c r="G12" s="63" t="s">
        <v>1251</v>
      </c>
      <c r="H12" s="62" t="s">
        <v>2627</v>
      </c>
      <c r="I12" s="62"/>
      <c r="J12" s="62"/>
      <c r="K12" s="62"/>
      <c r="L12" s="62" t="s">
        <v>2576</v>
      </c>
    </row>
    <row r="13" customFormat="false" ht="48.75" hidden="false" customHeight="false" outlineLevel="0" collapsed="false">
      <c r="A13" s="62"/>
      <c r="B13" s="62"/>
      <c r="C13" s="62"/>
      <c r="D13" s="63" t="s">
        <v>2401</v>
      </c>
      <c r="E13" s="63" t="s">
        <v>237</v>
      </c>
      <c r="F13" s="62"/>
      <c r="G13" s="63" t="s">
        <v>270</v>
      </c>
      <c r="H13" s="63" t="s">
        <v>821</v>
      </c>
      <c r="I13" s="62"/>
      <c r="J13" s="62"/>
      <c r="K13" s="62"/>
      <c r="L13" s="62" t="s">
        <v>2580</v>
      </c>
    </row>
    <row r="14" customFormat="false" ht="33" hidden="false" customHeight="false" outlineLevel="0" collapsed="false">
      <c r="A14" s="62"/>
      <c r="B14" s="62"/>
      <c r="C14" s="62"/>
      <c r="D14" s="63" t="s">
        <v>1301</v>
      </c>
      <c r="E14" s="63" t="s">
        <v>2583</v>
      </c>
      <c r="F14" s="62"/>
      <c r="G14" s="62" t="s">
        <v>267</v>
      </c>
      <c r="H14" s="62" t="s">
        <v>267</v>
      </c>
      <c r="I14" s="62"/>
      <c r="J14" s="62"/>
      <c r="K14" s="62"/>
      <c r="L14" s="62" t="s">
        <v>2582</v>
      </c>
    </row>
    <row r="15" customFormat="false" ht="33" hidden="false" customHeight="false" outlineLevel="0" collapsed="false">
      <c r="A15" s="62"/>
      <c r="B15" s="62"/>
      <c r="C15" s="62"/>
      <c r="D15" s="62" t="s">
        <v>2428</v>
      </c>
      <c r="E15" s="62" t="s">
        <v>2628</v>
      </c>
      <c r="F15" s="62"/>
      <c r="G15" s="64" t="n">
        <v>40820</v>
      </c>
      <c r="H15" s="62" t="s">
        <v>2629</v>
      </c>
      <c r="I15" s="62"/>
      <c r="J15" s="62"/>
      <c r="K15" s="62"/>
      <c r="L15" s="62" t="s">
        <v>2584</v>
      </c>
    </row>
    <row r="16" customFormat="false" ht="33" hidden="false" customHeight="false" outlineLevel="0" collapsed="false">
      <c r="A16" s="62"/>
      <c r="B16" s="62"/>
      <c r="C16" s="62"/>
      <c r="D16" s="63" t="s">
        <v>2431</v>
      </c>
      <c r="E16" s="63" t="s">
        <v>237</v>
      </c>
      <c r="F16" s="62"/>
      <c r="G16" s="62" t="s">
        <v>267</v>
      </c>
      <c r="H16" s="62" t="s">
        <v>267</v>
      </c>
      <c r="I16" s="62"/>
      <c r="J16" s="62"/>
      <c r="K16" s="62"/>
      <c r="L16" s="62" t="s">
        <v>2415</v>
      </c>
    </row>
    <row r="17" customFormat="false" ht="33" hidden="false" customHeight="false" outlineLevel="0" collapsed="false">
      <c r="A17" s="62"/>
      <c r="B17" s="62"/>
      <c r="C17" s="62"/>
      <c r="D17" s="63" t="s">
        <v>2306</v>
      </c>
      <c r="E17" s="63" t="s">
        <v>909</v>
      </c>
      <c r="F17" s="62"/>
      <c r="G17" s="62" t="s">
        <v>2618</v>
      </c>
      <c r="H17" s="62" t="s">
        <v>2630</v>
      </c>
      <c r="I17" s="62"/>
      <c r="J17" s="62"/>
      <c r="K17" s="62"/>
      <c r="L17" s="62" t="s">
        <v>2631</v>
      </c>
    </row>
    <row r="18" customFormat="false" ht="33" hidden="false" customHeight="false" outlineLevel="0" collapsed="false">
      <c r="A18" s="62"/>
      <c r="B18" s="62"/>
      <c r="C18" s="62"/>
      <c r="D18" s="63" t="s">
        <v>2401</v>
      </c>
      <c r="E18" s="63" t="s">
        <v>2632</v>
      </c>
      <c r="F18" s="62"/>
      <c r="G18" s="62" t="s">
        <v>771</v>
      </c>
      <c r="H18" s="62"/>
      <c r="I18" s="62"/>
      <c r="J18" s="62"/>
      <c r="K18" s="62"/>
      <c r="L18" s="62" t="s">
        <v>2417</v>
      </c>
    </row>
    <row r="19" customFormat="false" ht="33" hidden="false" customHeight="false" outlineLevel="0" collapsed="false">
      <c r="A19" s="62"/>
      <c r="B19" s="62"/>
      <c r="C19" s="62"/>
      <c r="D19" s="63" t="s">
        <v>1301</v>
      </c>
      <c r="E19" s="63" t="s">
        <v>2633</v>
      </c>
      <c r="F19" s="62"/>
      <c r="G19" s="62"/>
      <c r="H19" s="62"/>
      <c r="I19" s="62"/>
      <c r="J19" s="62"/>
      <c r="K19" s="62"/>
      <c r="L19" s="62" t="s">
        <v>2594</v>
      </c>
    </row>
    <row r="20" customFormat="false" ht="33" hidden="false" customHeight="false" outlineLevel="0" collapsed="false">
      <c r="A20" s="62"/>
      <c r="B20" s="62"/>
      <c r="C20" s="62"/>
      <c r="D20" s="63" t="s">
        <v>244</v>
      </c>
      <c r="E20" s="63" t="s">
        <v>2634</v>
      </c>
      <c r="F20" s="62"/>
      <c r="G20" s="62"/>
      <c r="H20" s="62"/>
      <c r="I20" s="62"/>
      <c r="J20" s="62"/>
      <c r="K20" s="62"/>
      <c r="L20" s="62" t="s">
        <v>2419</v>
      </c>
    </row>
    <row r="21" customFormat="false" ht="33" hidden="false" customHeight="false" outlineLevel="0" collapsed="false">
      <c r="A21" s="62"/>
      <c r="B21" s="62"/>
      <c r="C21" s="62"/>
      <c r="D21" s="62" t="s">
        <v>2438</v>
      </c>
      <c r="E21" s="62" t="s">
        <v>2635</v>
      </c>
      <c r="F21" s="62"/>
      <c r="G21" s="62"/>
      <c r="H21" s="62"/>
      <c r="I21" s="62"/>
      <c r="J21" s="62"/>
      <c r="K21" s="62"/>
      <c r="L21" s="62" t="s">
        <v>2597</v>
      </c>
    </row>
    <row r="22" customFormat="false" ht="17.25" hidden="false" customHeight="false" outlineLevel="0" collapsed="false">
      <c r="A22" s="62"/>
      <c r="B22" s="62"/>
      <c r="C22" s="62"/>
      <c r="D22" s="63" t="s">
        <v>2440</v>
      </c>
      <c r="E22" s="63" t="s">
        <v>951</v>
      </c>
      <c r="F22" s="62"/>
      <c r="G22" s="62"/>
      <c r="H22" s="62"/>
      <c r="I22" s="62"/>
      <c r="J22" s="62"/>
      <c r="K22" s="62"/>
      <c r="L22" s="62" t="s">
        <v>2585</v>
      </c>
    </row>
    <row r="23" customFormat="false" ht="48.75" hidden="false" customHeight="false" outlineLevel="0" collapsed="false">
      <c r="A23" s="62"/>
      <c r="B23" s="62"/>
      <c r="C23" s="62"/>
      <c r="D23" s="63" t="s">
        <v>2442</v>
      </c>
      <c r="E23" s="63" t="s">
        <v>2513</v>
      </c>
      <c r="F23" s="62"/>
      <c r="G23" s="62"/>
      <c r="H23" s="62"/>
      <c r="I23" s="62"/>
      <c r="J23" s="62"/>
      <c r="K23" s="62"/>
      <c r="L23" s="62" t="s">
        <v>2425</v>
      </c>
    </row>
    <row r="24" customFormat="false" ht="48.75" hidden="false" customHeight="false" outlineLevel="0" collapsed="false">
      <c r="A24" s="62"/>
      <c r="B24" s="62"/>
      <c r="C24" s="62"/>
      <c r="D24" s="63" t="s">
        <v>2445</v>
      </c>
      <c r="E24" s="63" t="s">
        <v>2515</v>
      </c>
      <c r="F24" s="62"/>
      <c r="G24" s="62"/>
      <c r="H24" s="62"/>
      <c r="I24" s="62"/>
      <c r="J24" s="62"/>
      <c r="K24" s="62"/>
      <c r="L24" s="62" t="s">
        <v>2427</v>
      </c>
    </row>
    <row r="25" customFormat="false" ht="17.25" hidden="false" customHeight="false" outlineLevel="0" collapsed="false">
      <c r="A25" s="62"/>
      <c r="B25" s="62"/>
      <c r="C25" s="62"/>
      <c r="D25" s="62" t="s">
        <v>2448</v>
      </c>
      <c r="E25" s="63" t="s">
        <v>1021</v>
      </c>
      <c r="F25" s="62"/>
      <c r="G25" s="62"/>
      <c r="H25" s="62"/>
      <c r="I25" s="62"/>
      <c r="J25" s="62"/>
      <c r="K25" s="62"/>
      <c r="L25" s="62" t="s">
        <v>2430</v>
      </c>
    </row>
    <row r="26" customFormat="false" ht="33" hidden="false" customHeight="false" outlineLevel="0" collapsed="false">
      <c r="A26" s="62"/>
      <c r="B26" s="62"/>
      <c r="C26" s="62"/>
      <c r="D26" s="63" t="s">
        <v>2315</v>
      </c>
      <c r="E26" s="63" t="s">
        <v>2518</v>
      </c>
      <c r="F26" s="62"/>
      <c r="G26" s="62"/>
      <c r="H26" s="62"/>
      <c r="I26" s="62"/>
      <c r="J26" s="62"/>
      <c r="K26" s="62"/>
      <c r="L26" s="62" t="s">
        <v>799</v>
      </c>
    </row>
    <row r="27" customFormat="false" ht="33" hidden="false" customHeight="false" outlineLevel="0" collapsed="false">
      <c r="A27" s="62"/>
      <c r="B27" s="62"/>
      <c r="C27" s="62"/>
      <c r="D27" s="63" t="s">
        <v>2452</v>
      </c>
      <c r="E27" s="62" t="s">
        <v>2636</v>
      </c>
      <c r="F27" s="62"/>
      <c r="G27" s="62"/>
      <c r="H27" s="62"/>
      <c r="I27" s="62"/>
      <c r="J27" s="62"/>
      <c r="K27" s="62"/>
      <c r="L27" s="62" t="s">
        <v>2637</v>
      </c>
    </row>
    <row r="28" customFormat="false" ht="33" hidden="false" customHeight="false" outlineLevel="0" collapsed="false">
      <c r="A28" s="62"/>
      <c r="B28" s="62"/>
      <c r="C28" s="62"/>
      <c r="D28" s="63" t="s">
        <v>2318</v>
      </c>
      <c r="E28" s="63" t="s">
        <v>951</v>
      </c>
      <c r="F28" s="62"/>
      <c r="G28" s="62"/>
      <c r="H28" s="62"/>
      <c r="I28" s="62"/>
      <c r="J28" s="62"/>
      <c r="K28" s="62"/>
      <c r="L28" s="62" t="s">
        <v>805</v>
      </c>
    </row>
    <row r="29" customFormat="false" ht="33" hidden="false" customHeight="false" outlineLevel="0" collapsed="false">
      <c r="A29" s="62"/>
      <c r="B29" s="62"/>
      <c r="C29" s="62"/>
      <c r="D29" s="63" t="s">
        <v>1259</v>
      </c>
      <c r="E29" s="63" t="s">
        <v>2638</v>
      </c>
      <c r="F29" s="62"/>
      <c r="G29" s="62"/>
      <c r="H29" s="62"/>
      <c r="I29" s="62"/>
      <c r="J29" s="62"/>
      <c r="K29" s="62"/>
      <c r="L29" s="62" t="s">
        <v>799</v>
      </c>
    </row>
    <row r="30" customFormat="false" ht="33" hidden="false" customHeight="false" outlineLevel="0" collapsed="false">
      <c r="A30" s="62"/>
      <c r="B30" s="62"/>
      <c r="C30" s="62"/>
      <c r="D30" s="63" t="s">
        <v>2321</v>
      </c>
      <c r="E30" s="63" t="s">
        <v>2639</v>
      </c>
      <c r="F30" s="62"/>
      <c r="G30" s="62"/>
      <c r="H30" s="62"/>
      <c r="I30" s="62"/>
      <c r="J30" s="62"/>
      <c r="K30" s="62"/>
      <c r="L30" s="62" t="s">
        <v>2640</v>
      </c>
    </row>
    <row r="31" customFormat="false" ht="33" hidden="false" customHeight="false" outlineLevel="0" collapsed="false">
      <c r="A31" s="62"/>
      <c r="B31" s="62"/>
      <c r="C31" s="62"/>
      <c r="D31" s="63" t="s">
        <v>2323</v>
      </c>
      <c r="E31" s="63" t="s">
        <v>2641</v>
      </c>
      <c r="F31" s="62"/>
      <c r="G31" s="62"/>
      <c r="H31" s="62"/>
      <c r="I31" s="62"/>
      <c r="J31" s="62"/>
      <c r="K31" s="62"/>
      <c r="L31" s="62" t="s">
        <v>805</v>
      </c>
    </row>
    <row r="32" customFormat="false" ht="33" hidden="false" customHeight="false" outlineLevel="0" collapsed="false">
      <c r="A32" s="62"/>
      <c r="B32" s="62"/>
      <c r="C32" s="62"/>
      <c r="D32" s="63" t="s">
        <v>2458</v>
      </c>
      <c r="E32" s="62" t="s">
        <v>2642</v>
      </c>
      <c r="F32" s="62"/>
      <c r="G32" s="62"/>
      <c r="H32" s="62"/>
      <c r="I32" s="62"/>
      <c r="J32" s="62"/>
      <c r="K32" s="62"/>
      <c r="L32" s="62" t="s">
        <v>799</v>
      </c>
    </row>
    <row r="33" customFormat="false" ht="33" hidden="false" customHeight="false" outlineLevel="0" collapsed="false">
      <c r="A33" s="62"/>
      <c r="B33" s="62"/>
      <c r="C33" s="62"/>
      <c r="D33" s="63" t="s">
        <v>917</v>
      </c>
      <c r="E33" s="63" t="s">
        <v>951</v>
      </c>
      <c r="F33" s="62"/>
      <c r="G33" s="62"/>
      <c r="H33" s="62"/>
      <c r="I33" s="62"/>
      <c r="J33" s="62"/>
      <c r="K33" s="62"/>
      <c r="L33" s="62" t="s">
        <v>2643</v>
      </c>
    </row>
    <row r="34" customFormat="false" ht="33" hidden="false" customHeight="false" outlineLevel="0" collapsed="false">
      <c r="A34" s="62"/>
      <c r="B34" s="62"/>
      <c r="C34" s="62"/>
      <c r="D34" s="62" t="s">
        <v>2462</v>
      </c>
      <c r="E34" s="63" t="s">
        <v>2644</v>
      </c>
      <c r="F34" s="62"/>
      <c r="G34" s="62"/>
      <c r="H34" s="62"/>
      <c r="I34" s="62"/>
      <c r="J34" s="62"/>
      <c r="K34" s="62"/>
      <c r="L34" s="62" t="s">
        <v>805</v>
      </c>
    </row>
    <row r="35" customFormat="false" ht="33" hidden="false" customHeight="false" outlineLevel="0" collapsed="false">
      <c r="A35" s="62"/>
      <c r="B35" s="62"/>
      <c r="C35" s="62"/>
      <c r="D35" s="63" t="s">
        <v>2463</v>
      </c>
      <c r="E35" s="63" t="s">
        <v>2645</v>
      </c>
      <c r="F35" s="62"/>
      <c r="G35" s="62"/>
      <c r="H35" s="62"/>
      <c r="I35" s="62"/>
      <c r="J35" s="62"/>
      <c r="K35" s="62"/>
      <c r="L35" s="62" t="s">
        <v>799</v>
      </c>
    </row>
    <row r="36" customFormat="false" ht="33" hidden="false" customHeight="false" outlineLevel="0" collapsed="false">
      <c r="A36" s="62"/>
      <c r="B36" s="62"/>
      <c r="C36" s="62"/>
      <c r="D36" s="63" t="s">
        <v>2465</v>
      </c>
      <c r="E36" s="63" t="s">
        <v>2646</v>
      </c>
      <c r="F36" s="62"/>
      <c r="G36" s="62"/>
      <c r="H36" s="62"/>
      <c r="I36" s="62"/>
      <c r="J36" s="62"/>
      <c r="K36" s="62"/>
      <c r="L36" s="62" t="s">
        <v>2647</v>
      </c>
    </row>
    <row r="37" customFormat="false" ht="33" hidden="false" customHeight="false" outlineLevel="0" collapsed="false">
      <c r="A37" s="62"/>
      <c r="B37" s="62"/>
      <c r="C37" s="62"/>
      <c r="D37" s="63" t="s">
        <v>2467</v>
      </c>
      <c r="E37" s="62" t="s">
        <v>2648</v>
      </c>
      <c r="F37" s="62"/>
      <c r="G37" s="62"/>
      <c r="H37" s="62"/>
      <c r="I37" s="62"/>
      <c r="J37" s="62"/>
      <c r="K37" s="62"/>
      <c r="L37" s="62" t="s">
        <v>805</v>
      </c>
    </row>
    <row r="38" customFormat="false" ht="33" hidden="false" customHeight="false" outlineLevel="0" collapsed="false">
      <c r="A38" s="62"/>
      <c r="B38" s="62"/>
      <c r="C38" s="62"/>
      <c r="D38" s="62" t="s">
        <v>2448</v>
      </c>
      <c r="E38" s="63" t="s">
        <v>951</v>
      </c>
      <c r="F38" s="62"/>
      <c r="G38" s="62"/>
      <c r="H38" s="62"/>
      <c r="I38" s="62"/>
      <c r="J38" s="62"/>
      <c r="K38" s="62"/>
      <c r="L38" s="62" t="s">
        <v>799</v>
      </c>
    </row>
    <row r="39" customFormat="false" ht="33" hidden="false" customHeight="false" outlineLevel="0" collapsed="false">
      <c r="A39" s="62"/>
      <c r="B39" s="62"/>
      <c r="C39" s="62"/>
      <c r="D39" s="63" t="s">
        <v>2470</v>
      </c>
      <c r="E39" s="63" t="s">
        <v>2649</v>
      </c>
      <c r="F39" s="62"/>
      <c r="G39" s="62"/>
      <c r="H39" s="62"/>
      <c r="I39" s="62"/>
      <c r="J39" s="62"/>
      <c r="K39" s="62"/>
      <c r="L39" s="62" t="s">
        <v>2650</v>
      </c>
    </row>
    <row r="40" customFormat="false" ht="48.75" hidden="false" customHeight="false" outlineLevel="0" collapsed="false">
      <c r="A40" s="62"/>
      <c r="B40" s="62"/>
      <c r="C40" s="62"/>
      <c r="D40" s="63" t="s">
        <v>2472</v>
      </c>
      <c r="E40" s="63" t="s">
        <v>2651</v>
      </c>
      <c r="F40" s="62"/>
      <c r="G40" s="62"/>
      <c r="H40" s="62"/>
      <c r="I40" s="62"/>
      <c r="J40" s="62"/>
      <c r="K40" s="62"/>
      <c r="L40" s="62" t="s">
        <v>805</v>
      </c>
    </row>
    <row r="41" customFormat="false" ht="33" hidden="false" customHeight="false" outlineLevel="0" collapsed="false">
      <c r="A41" s="62"/>
      <c r="B41" s="62"/>
      <c r="C41" s="62"/>
      <c r="D41" s="63" t="s">
        <v>2474</v>
      </c>
      <c r="E41" s="63" t="s">
        <v>2652</v>
      </c>
      <c r="F41" s="62"/>
      <c r="G41" s="62"/>
      <c r="H41" s="62"/>
      <c r="I41" s="62"/>
      <c r="J41" s="62"/>
      <c r="K41" s="62"/>
      <c r="L41" s="62" t="s">
        <v>799</v>
      </c>
    </row>
    <row r="42" customFormat="false" ht="33" hidden="false" customHeight="false" outlineLevel="0" collapsed="false">
      <c r="A42" s="62"/>
      <c r="B42" s="62"/>
      <c r="C42" s="62"/>
      <c r="D42" s="62" t="s">
        <v>2476</v>
      </c>
      <c r="E42" s="62" t="s">
        <v>2653</v>
      </c>
      <c r="F42" s="62"/>
      <c r="G42" s="62"/>
      <c r="H42" s="62"/>
      <c r="I42" s="62"/>
      <c r="J42" s="62"/>
      <c r="K42" s="62"/>
      <c r="L42" s="62" t="s">
        <v>2654</v>
      </c>
    </row>
    <row r="43" customFormat="false" ht="33" hidden="false" customHeight="false" outlineLevel="0" collapsed="false">
      <c r="A43" s="62"/>
      <c r="B43" s="62"/>
      <c r="C43" s="62"/>
      <c r="D43" s="63" t="s">
        <v>246</v>
      </c>
      <c r="E43" s="63" t="s">
        <v>951</v>
      </c>
      <c r="F43" s="62"/>
      <c r="G43" s="62"/>
      <c r="H43" s="62"/>
      <c r="I43" s="62"/>
      <c r="J43" s="62"/>
      <c r="K43" s="62"/>
      <c r="L43" s="62" t="s">
        <v>805</v>
      </c>
    </row>
    <row r="44" customFormat="false" ht="33" hidden="false" customHeight="false" outlineLevel="0" collapsed="false">
      <c r="A44" s="62"/>
      <c r="B44" s="62"/>
      <c r="C44" s="62"/>
      <c r="D44" s="63" t="s">
        <v>2401</v>
      </c>
      <c r="E44" s="63" t="s">
        <v>2655</v>
      </c>
      <c r="F44" s="62"/>
      <c r="G44" s="62"/>
      <c r="H44" s="62"/>
      <c r="I44" s="62"/>
      <c r="J44" s="62"/>
      <c r="K44" s="62"/>
      <c r="L44" s="62" t="s">
        <v>799</v>
      </c>
    </row>
    <row r="45" customFormat="false" ht="33" hidden="false" customHeight="false" outlineLevel="0" collapsed="false">
      <c r="A45" s="62"/>
      <c r="B45" s="62"/>
      <c r="C45" s="62"/>
      <c r="D45" s="63" t="s">
        <v>2480</v>
      </c>
      <c r="E45" s="63" t="s">
        <v>2656</v>
      </c>
      <c r="F45" s="62"/>
      <c r="G45" s="62"/>
      <c r="H45" s="62"/>
      <c r="I45" s="62"/>
      <c r="J45" s="62"/>
      <c r="K45" s="62"/>
      <c r="L45" s="62" t="s">
        <v>2657</v>
      </c>
    </row>
    <row r="46" customFormat="false" ht="33" hidden="false" customHeight="false" outlineLevel="0" collapsed="false">
      <c r="A46" s="62"/>
      <c r="B46" s="62"/>
      <c r="C46" s="62"/>
      <c r="D46" s="62" t="s">
        <v>2482</v>
      </c>
      <c r="E46" s="63" t="s">
        <v>2658</v>
      </c>
      <c r="F46" s="62"/>
      <c r="G46" s="62"/>
      <c r="H46" s="62"/>
      <c r="I46" s="62"/>
      <c r="J46" s="62"/>
      <c r="K46" s="62"/>
      <c r="L46" s="62" t="s">
        <v>805</v>
      </c>
    </row>
    <row r="47" customFormat="false" ht="33" hidden="false" customHeight="false" outlineLevel="0" collapsed="false">
      <c r="A47" s="62"/>
      <c r="B47" s="62"/>
      <c r="C47" s="62"/>
      <c r="D47" s="63" t="s">
        <v>1468</v>
      </c>
      <c r="E47" s="62" t="s">
        <v>2659</v>
      </c>
      <c r="F47" s="62"/>
      <c r="G47" s="62"/>
      <c r="H47" s="62"/>
      <c r="I47" s="62"/>
      <c r="J47" s="62"/>
      <c r="K47" s="62"/>
      <c r="L47" s="62" t="s">
        <v>799</v>
      </c>
    </row>
    <row r="48" customFormat="false" ht="33" hidden="false" customHeight="false" outlineLevel="0" collapsed="false">
      <c r="A48" s="62"/>
      <c r="B48" s="62"/>
      <c r="C48" s="62"/>
      <c r="D48" s="63" t="s">
        <v>227</v>
      </c>
      <c r="E48" s="63" t="s">
        <v>951</v>
      </c>
      <c r="F48" s="62"/>
      <c r="G48" s="62"/>
      <c r="H48" s="62"/>
      <c r="I48" s="62"/>
      <c r="J48" s="62"/>
      <c r="K48" s="62"/>
      <c r="L48" s="62" t="s">
        <v>2660</v>
      </c>
    </row>
    <row r="49" customFormat="false" ht="33" hidden="false" customHeight="false" outlineLevel="0" collapsed="false">
      <c r="A49" s="62"/>
      <c r="B49" s="62"/>
      <c r="C49" s="62"/>
      <c r="D49" s="63" t="s">
        <v>240</v>
      </c>
      <c r="E49" s="63" t="s">
        <v>1007</v>
      </c>
      <c r="F49" s="62"/>
      <c r="G49" s="62"/>
      <c r="H49" s="62"/>
      <c r="I49" s="62"/>
      <c r="J49" s="62"/>
      <c r="K49" s="62"/>
      <c r="L49" s="62" t="s">
        <v>805</v>
      </c>
    </row>
    <row r="50" customFormat="false" ht="33" hidden="false" customHeight="false" outlineLevel="0" collapsed="false">
      <c r="A50" s="62"/>
      <c r="B50" s="62"/>
      <c r="C50" s="62"/>
      <c r="D50" s="62" t="s">
        <v>2487</v>
      </c>
      <c r="E50" s="63" t="s">
        <v>2661</v>
      </c>
      <c r="F50" s="62"/>
      <c r="G50" s="62"/>
      <c r="H50" s="62"/>
      <c r="I50" s="62"/>
      <c r="J50" s="62"/>
      <c r="K50" s="62"/>
      <c r="L50" s="62" t="s">
        <v>799</v>
      </c>
    </row>
    <row r="51" customFormat="false" ht="17.25" hidden="false" customHeight="false" outlineLevel="0" collapsed="false">
      <c r="A51" s="62"/>
      <c r="B51" s="62"/>
      <c r="C51" s="62"/>
      <c r="D51" s="63" t="s">
        <v>2488</v>
      </c>
      <c r="E51" s="63" t="s">
        <v>2662</v>
      </c>
      <c r="F51" s="62"/>
      <c r="G51" s="62"/>
      <c r="H51" s="62"/>
      <c r="I51" s="62"/>
      <c r="J51" s="62"/>
      <c r="K51" s="62"/>
      <c r="L51" s="62" t="s">
        <v>2663</v>
      </c>
    </row>
    <row r="52" customFormat="false" ht="33" hidden="false" customHeight="false" outlineLevel="0" collapsed="false">
      <c r="A52" s="62"/>
      <c r="B52" s="62"/>
      <c r="C52" s="62"/>
      <c r="D52" s="63" t="s">
        <v>2401</v>
      </c>
      <c r="E52" s="62" t="s">
        <v>2659</v>
      </c>
      <c r="F52" s="62"/>
      <c r="G52" s="62"/>
      <c r="H52" s="62"/>
      <c r="I52" s="62"/>
      <c r="J52" s="62"/>
      <c r="K52" s="62"/>
      <c r="L52" s="62" t="s">
        <v>805</v>
      </c>
    </row>
    <row r="53" customFormat="false" ht="33" hidden="false" customHeight="false" outlineLevel="0" collapsed="false">
      <c r="A53" s="62"/>
      <c r="B53" s="62"/>
      <c r="C53" s="62"/>
      <c r="D53" s="63" t="s">
        <v>1301</v>
      </c>
      <c r="E53" s="63" t="s">
        <v>951</v>
      </c>
      <c r="F53" s="62"/>
      <c r="G53" s="62"/>
      <c r="H53" s="62"/>
      <c r="I53" s="62"/>
      <c r="J53" s="62"/>
      <c r="K53" s="62"/>
      <c r="L53" s="62" t="s">
        <v>799</v>
      </c>
    </row>
    <row r="54" customFormat="false" ht="33" hidden="false" customHeight="false" outlineLevel="0" collapsed="false">
      <c r="A54" s="62"/>
      <c r="B54" s="62"/>
      <c r="C54" s="62"/>
      <c r="D54" s="62" t="s">
        <v>2491</v>
      </c>
      <c r="E54" s="63" t="s">
        <v>2664</v>
      </c>
      <c r="F54" s="62"/>
      <c r="G54" s="62"/>
      <c r="H54" s="62"/>
      <c r="I54" s="62"/>
      <c r="J54" s="62"/>
      <c r="K54" s="62"/>
      <c r="L54" s="62" t="s">
        <v>2665</v>
      </c>
    </row>
    <row r="55" customFormat="false" ht="33" hidden="false" customHeight="false" outlineLevel="0" collapsed="false">
      <c r="A55" s="62"/>
      <c r="B55" s="62"/>
      <c r="C55" s="62"/>
      <c r="D55" s="63" t="s">
        <v>2501</v>
      </c>
      <c r="E55" s="63" t="s">
        <v>2666</v>
      </c>
      <c r="F55" s="62"/>
      <c r="G55" s="62"/>
      <c r="H55" s="62"/>
      <c r="I55" s="62"/>
      <c r="J55" s="62"/>
      <c r="K55" s="62"/>
      <c r="L55" s="62" t="s">
        <v>805</v>
      </c>
    </row>
    <row r="56" customFormat="false" ht="33" hidden="false" customHeight="false" outlineLevel="0" collapsed="false">
      <c r="A56" s="62"/>
      <c r="B56" s="62"/>
      <c r="C56" s="62"/>
      <c r="D56" s="63" t="s">
        <v>2401</v>
      </c>
      <c r="E56" s="63" t="s">
        <v>2667</v>
      </c>
      <c r="F56" s="62"/>
      <c r="G56" s="62"/>
      <c r="H56" s="62"/>
      <c r="I56" s="62"/>
      <c r="J56" s="62"/>
      <c r="K56" s="62"/>
      <c r="L56" s="62" t="s">
        <v>799</v>
      </c>
    </row>
    <row r="57" customFormat="false" ht="33" hidden="false" customHeight="false" outlineLevel="0" collapsed="false">
      <c r="A57" s="62"/>
      <c r="B57" s="62"/>
      <c r="C57" s="62"/>
      <c r="D57" s="63" t="s">
        <v>1301</v>
      </c>
      <c r="E57" s="62" t="s">
        <v>2659</v>
      </c>
      <c r="F57" s="62"/>
      <c r="G57" s="62"/>
      <c r="H57" s="62"/>
      <c r="I57" s="62"/>
      <c r="J57" s="62"/>
      <c r="K57" s="62"/>
      <c r="L57" s="62" t="s">
        <v>2668</v>
      </c>
    </row>
    <row r="58" customFormat="false" ht="33" hidden="false" customHeight="false" outlineLevel="0" collapsed="false">
      <c r="A58" s="62"/>
      <c r="B58" s="62"/>
      <c r="C58" s="62"/>
      <c r="D58" s="62" t="s">
        <v>2608</v>
      </c>
      <c r="E58" s="63" t="s">
        <v>951</v>
      </c>
      <c r="F58" s="62"/>
      <c r="G58" s="62"/>
      <c r="H58" s="62"/>
      <c r="I58" s="62"/>
      <c r="J58" s="62"/>
      <c r="K58" s="62"/>
      <c r="L58" s="62" t="s">
        <v>805</v>
      </c>
    </row>
    <row r="59" customFormat="false" ht="48.75" hidden="false" customHeight="false" outlineLevel="0" collapsed="false">
      <c r="A59" s="62"/>
      <c r="B59" s="62"/>
      <c r="C59" s="62"/>
      <c r="D59" s="63" t="s">
        <v>2506</v>
      </c>
      <c r="E59" s="63" t="s">
        <v>837</v>
      </c>
      <c r="F59" s="62"/>
      <c r="G59" s="62"/>
      <c r="H59" s="62"/>
      <c r="I59" s="62"/>
      <c r="J59" s="62"/>
      <c r="K59" s="62"/>
      <c r="L59" s="62" t="s">
        <v>799</v>
      </c>
    </row>
    <row r="60" customFormat="false" ht="33" hidden="false" customHeight="false" outlineLevel="0" collapsed="false">
      <c r="A60" s="62"/>
      <c r="B60" s="62"/>
      <c r="C60" s="62"/>
      <c r="D60" s="63" t="s">
        <v>2508</v>
      </c>
      <c r="E60" s="63" t="s">
        <v>259</v>
      </c>
      <c r="F60" s="62"/>
      <c r="G60" s="62"/>
      <c r="H60" s="62"/>
      <c r="I60" s="62"/>
      <c r="J60" s="62"/>
      <c r="K60" s="62"/>
      <c r="L60" s="62" t="s">
        <v>2669</v>
      </c>
    </row>
    <row r="61" customFormat="false" ht="33" hidden="false" customHeight="false" outlineLevel="0" collapsed="false">
      <c r="A61" s="62"/>
      <c r="B61" s="62"/>
      <c r="C61" s="62"/>
      <c r="D61" s="63" t="s">
        <v>2445</v>
      </c>
      <c r="E61" s="63" t="s">
        <v>2670</v>
      </c>
      <c r="F61" s="62"/>
      <c r="G61" s="62"/>
      <c r="H61" s="62"/>
      <c r="I61" s="62"/>
      <c r="J61" s="62"/>
      <c r="K61" s="62"/>
      <c r="L61" s="62" t="s">
        <v>805</v>
      </c>
    </row>
    <row r="62" customFormat="false" ht="33" hidden="false" customHeight="false" outlineLevel="0" collapsed="false">
      <c r="A62" s="62"/>
      <c r="B62" s="62"/>
      <c r="C62" s="62"/>
      <c r="D62" s="62" t="s">
        <v>2609</v>
      </c>
      <c r="E62" s="62" t="s">
        <v>2659</v>
      </c>
      <c r="F62" s="62"/>
      <c r="G62" s="62"/>
      <c r="H62" s="62"/>
      <c r="I62" s="62"/>
      <c r="J62" s="62"/>
      <c r="K62" s="62"/>
      <c r="L62" s="62" t="s">
        <v>799</v>
      </c>
    </row>
    <row r="63" customFormat="false" ht="33" hidden="false" customHeight="false" outlineLevel="0" collapsed="false">
      <c r="A63" s="62"/>
      <c r="B63" s="62"/>
      <c r="C63" s="62"/>
      <c r="D63" s="63" t="s">
        <v>2513</v>
      </c>
      <c r="E63" s="63" t="s">
        <v>951</v>
      </c>
      <c r="F63" s="62"/>
      <c r="G63" s="62"/>
      <c r="H63" s="62"/>
      <c r="I63" s="62"/>
      <c r="J63" s="62"/>
      <c r="K63" s="62"/>
      <c r="L63" s="62" t="s">
        <v>2671</v>
      </c>
    </row>
    <row r="64" customFormat="false" ht="33" hidden="false" customHeight="false" outlineLevel="0" collapsed="false">
      <c r="A64" s="62"/>
      <c r="B64" s="62"/>
      <c r="C64" s="62"/>
      <c r="D64" s="63" t="s">
        <v>2515</v>
      </c>
      <c r="E64" s="63" t="s">
        <v>2420</v>
      </c>
      <c r="F64" s="62"/>
      <c r="G64" s="62"/>
      <c r="H64" s="62"/>
      <c r="I64" s="62"/>
      <c r="J64" s="62"/>
      <c r="K64" s="62"/>
      <c r="L64" s="62" t="s">
        <v>805</v>
      </c>
    </row>
    <row r="65" customFormat="false" ht="33" hidden="false" customHeight="false" outlineLevel="0" collapsed="false">
      <c r="A65" s="62"/>
      <c r="B65" s="62"/>
      <c r="C65" s="62"/>
      <c r="D65" s="63" t="s">
        <v>1021</v>
      </c>
      <c r="E65" s="63" t="s">
        <v>2672</v>
      </c>
      <c r="F65" s="62"/>
      <c r="G65" s="62"/>
      <c r="H65" s="62"/>
      <c r="I65" s="62"/>
      <c r="J65" s="62"/>
      <c r="K65" s="62"/>
      <c r="L65" s="62" t="s">
        <v>799</v>
      </c>
    </row>
    <row r="66" customFormat="false" ht="33" hidden="false" customHeight="false" outlineLevel="0" collapsed="false">
      <c r="A66" s="62"/>
      <c r="B66" s="62"/>
      <c r="C66" s="62"/>
      <c r="D66" s="63" t="s">
        <v>2518</v>
      </c>
      <c r="E66" s="63" t="s">
        <v>2673</v>
      </c>
      <c r="F66" s="62"/>
      <c r="G66" s="62"/>
      <c r="H66" s="62"/>
      <c r="I66" s="62"/>
      <c r="J66" s="62"/>
      <c r="K66" s="62"/>
      <c r="L66" s="62" t="s">
        <v>2674</v>
      </c>
    </row>
    <row r="67" customFormat="false" ht="33" hidden="false" customHeight="false" outlineLevel="0" collapsed="false">
      <c r="A67" s="62"/>
      <c r="B67" s="62"/>
      <c r="C67" s="62"/>
      <c r="D67" s="62" t="s">
        <v>2520</v>
      </c>
      <c r="E67" s="62" t="s">
        <v>2675</v>
      </c>
      <c r="F67" s="62"/>
      <c r="G67" s="62"/>
      <c r="H67" s="62"/>
      <c r="I67" s="62"/>
      <c r="J67" s="62"/>
      <c r="K67" s="62"/>
      <c r="L67" s="62" t="s">
        <v>805</v>
      </c>
    </row>
    <row r="68" customFormat="false" ht="33" hidden="false" customHeight="false" outlineLevel="0" collapsed="false">
      <c r="A68" s="62"/>
      <c r="B68" s="62"/>
      <c r="C68" s="62"/>
      <c r="D68" s="63" t="s">
        <v>2522</v>
      </c>
      <c r="E68" s="63" t="s">
        <v>951</v>
      </c>
      <c r="F68" s="62"/>
      <c r="G68" s="62"/>
      <c r="H68" s="62"/>
      <c r="I68" s="62"/>
      <c r="J68" s="62"/>
      <c r="K68" s="62"/>
      <c r="L68" s="62" t="s">
        <v>799</v>
      </c>
    </row>
    <row r="69" customFormat="false" ht="48.75" hidden="false" customHeight="false" outlineLevel="0" collapsed="false">
      <c r="A69" s="62"/>
      <c r="B69" s="62"/>
      <c r="C69" s="62"/>
      <c r="D69" s="63" t="s">
        <v>2524</v>
      </c>
      <c r="E69" s="63" t="s">
        <v>227</v>
      </c>
      <c r="F69" s="62"/>
      <c r="G69" s="62"/>
      <c r="H69" s="62"/>
      <c r="I69" s="62"/>
      <c r="J69" s="62"/>
      <c r="K69" s="62"/>
      <c r="L69" s="62" t="s">
        <v>2676</v>
      </c>
    </row>
    <row r="70" customFormat="false" ht="33" hidden="false" customHeight="false" outlineLevel="0" collapsed="false">
      <c r="A70" s="62"/>
      <c r="B70" s="62"/>
      <c r="C70" s="62"/>
      <c r="D70" s="63" t="s">
        <v>2526</v>
      </c>
      <c r="E70" s="63" t="s">
        <v>791</v>
      </c>
      <c r="F70" s="62"/>
      <c r="G70" s="62"/>
      <c r="H70" s="62"/>
      <c r="I70" s="62"/>
      <c r="J70" s="62"/>
      <c r="K70" s="62"/>
      <c r="L70" s="62" t="s">
        <v>805</v>
      </c>
    </row>
    <row r="71" customFormat="false" ht="33" hidden="false" customHeight="false" outlineLevel="0" collapsed="false">
      <c r="A71" s="62"/>
      <c r="B71" s="62"/>
      <c r="C71" s="62"/>
      <c r="D71" s="62" t="s">
        <v>2527</v>
      </c>
      <c r="E71" s="63" t="s">
        <v>2677</v>
      </c>
      <c r="F71" s="62"/>
      <c r="G71" s="62"/>
      <c r="H71" s="62"/>
      <c r="I71" s="62"/>
      <c r="J71" s="62"/>
      <c r="K71" s="62"/>
      <c r="L71" s="62" t="s">
        <v>799</v>
      </c>
    </row>
    <row r="72" customFormat="false" ht="33" hidden="false" customHeight="false" outlineLevel="0" collapsed="false">
      <c r="A72" s="62"/>
      <c r="B72" s="62"/>
      <c r="C72" s="62"/>
      <c r="D72" s="63" t="s">
        <v>2528</v>
      </c>
      <c r="E72" s="62" t="s">
        <v>2675</v>
      </c>
      <c r="F72" s="62"/>
      <c r="G72" s="62"/>
      <c r="H72" s="62"/>
      <c r="I72" s="62"/>
      <c r="J72" s="62"/>
      <c r="K72" s="62"/>
      <c r="L72" s="62" t="s">
        <v>2678</v>
      </c>
    </row>
    <row r="73" customFormat="false" ht="33" hidden="false" customHeight="false" outlineLevel="0" collapsed="false">
      <c r="A73" s="62"/>
      <c r="B73" s="62"/>
      <c r="C73" s="62"/>
      <c r="D73" s="63" t="s">
        <v>2529</v>
      </c>
      <c r="E73" s="63" t="s">
        <v>951</v>
      </c>
      <c r="F73" s="62"/>
      <c r="G73" s="62"/>
      <c r="H73" s="62"/>
      <c r="I73" s="62"/>
      <c r="J73" s="62"/>
      <c r="K73" s="62"/>
      <c r="L73" s="62" t="s">
        <v>805</v>
      </c>
    </row>
    <row r="74" customFormat="false" ht="48.75" hidden="false" customHeight="false" outlineLevel="0" collapsed="false">
      <c r="A74" s="62"/>
      <c r="B74" s="62"/>
      <c r="C74" s="62"/>
      <c r="D74" s="63" t="s">
        <v>2530</v>
      </c>
      <c r="E74" s="63" t="s">
        <v>2679</v>
      </c>
      <c r="F74" s="62"/>
      <c r="G74" s="62"/>
      <c r="H74" s="62"/>
      <c r="I74" s="62"/>
      <c r="J74" s="62"/>
      <c r="K74" s="62"/>
      <c r="L74" s="62" t="s">
        <v>799</v>
      </c>
    </row>
    <row r="75" customFormat="false" ht="33" hidden="false" customHeight="false" outlineLevel="0" collapsed="false">
      <c r="A75" s="62"/>
      <c r="B75" s="62"/>
      <c r="C75" s="62"/>
      <c r="D75" s="62" t="s">
        <v>2531</v>
      </c>
      <c r="E75" s="63" t="s">
        <v>2680</v>
      </c>
      <c r="F75" s="62"/>
      <c r="G75" s="62"/>
      <c r="H75" s="62"/>
      <c r="I75" s="62"/>
      <c r="J75" s="62"/>
      <c r="K75" s="62"/>
      <c r="L75" s="62" t="s">
        <v>2681</v>
      </c>
    </row>
    <row r="76" customFormat="false" ht="33" hidden="false" customHeight="false" outlineLevel="0" collapsed="false">
      <c r="A76" s="62"/>
      <c r="B76" s="62"/>
      <c r="C76" s="62"/>
      <c r="D76" s="63" t="s">
        <v>2532</v>
      </c>
      <c r="E76" s="63" t="s">
        <v>2682</v>
      </c>
      <c r="F76" s="62"/>
      <c r="G76" s="62"/>
      <c r="H76" s="62"/>
      <c r="I76" s="62"/>
      <c r="J76" s="62"/>
      <c r="K76" s="62"/>
      <c r="L76" s="62" t="s">
        <v>805</v>
      </c>
    </row>
    <row r="77" customFormat="false" ht="33" hidden="false" customHeight="false" outlineLevel="0" collapsed="false">
      <c r="A77" s="62"/>
      <c r="B77" s="62"/>
      <c r="C77" s="62"/>
      <c r="D77" s="63" t="s">
        <v>2533</v>
      </c>
      <c r="E77" s="62" t="s">
        <v>2683</v>
      </c>
      <c r="F77" s="62"/>
      <c r="G77" s="62"/>
      <c r="H77" s="62"/>
      <c r="I77" s="62"/>
      <c r="J77" s="62"/>
      <c r="K77" s="62"/>
      <c r="L77" s="62" t="s">
        <v>799</v>
      </c>
    </row>
    <row r="78" customFormat="false" ht="17.25" hidden="false" customHeight="false" outlineLevel="0" collapsed="false">
      <c r="A78" s="62"/>
      <c r="B78" s="62"/>
      <c r="C78" s="62"/>
      <c r="D78" s="63" t="s">
        <v>2534</v>
      </c>
      <c r="E78" s="63" t="s">
        <v>951</v>
      </c>
      <c r="F78" s="62"/>
      <c r="G78" s="62"/>
      <c r="H78" s="62"/>
      <c r="I78" s="62"/>
      <c r="J78" s="62"/>
      <c r="K78" s="62"/>
      <c r="L78" s="62" t="s">
        <v>2684</v>
      </c>
    </row>
    <row r="79" customFormat="false" ht="48.75" hidden="false" customHeight="false" outlineLevel="0" collapsed="false">
      <c r="A79" s="62"/>
      <c r="B79" s="62"/>
      <c r="C79" s="62"/>
      <c r="D79" s="62" t="s">
        <v>2531</v>
      </c>
      <c r="E79" s="63" t="s">
        <v>2685</v>
      </c>
      <c r="F79" s="62"/>
      <c r="G79" s="62"/>
      <c r="H79" s="62"/>
      <c r="I79" s="62"/>
      <c r="J79" s="62"/>
      <c r="K79" s="62"/>
      <c r="L79" s="62" t="s">
        <v>805</v>
      </c>
    </row>
    <row r="80" customFormat="false" ht="33" hidden="false" customHeight="false" outlineLevel="0" collapsed="false">
      <c r="A80" s="62"/>
      <c r="B80" s="62"/>
      <c r="C80" s="62"/>
      <c r="D80" s="63" t="s">
        <v>2535</v>
      </c>
      <c r="E80" s="63" t="s">
        <v>2686</v>
      </c>
      <c r="F80" s="62"/>
      <c r="G80" s="62"/>
      <c r="H80" s="62"/>
      <c r="I80" s="62"/>
      <c r="J80" s="62"/>
      <c r="K80" s="62"/>
      <c r="L80" s="62" t="s">
        <v>799</v>
      </c>
    </row>
    <row r="81" customFormat="false" ht="33" hidden="false" customHeight="false" outlineLevel="0" collapsed="false">
      <c r="A81" s="62"/>
      <c r="B81" s="62"/>
      <c r="C81" s="62"/>
      <c r="D81" s="63" t="s">
        <v>2536</v>
      </c>
      <c r="E81" s="63" t="s">
        <v>2544</v>
      </c>
      <c r="F81" s="62"/>
      <c r="G81" s="62"/>
      <c r="H81" s="62"/>
      <c r="I81" s="62"/>
      <c r="J81" s="62"/>
      <c r="K81" s="62"/>
      <c r="L81" s="62" t="s">
        <v>2687</v>
      </c>
    </row>
    <row r="82" customFormat="false" ht="33" hidden="false" customHeight="false" outlineLevel="0" collapsed="false">
      <c r="A82" s="62"/>
      <c r="B82" s="62"/>
      <c r="C82" s="62"/>
      <c r="D82" s="63" t="s">
        <v>2537</v>
      </c>
      <c r="E82" s="62" t="s">
        <v>2683</v>
      </c>
      <c r="F82" s="62"/>
      <c r="G82" s="62"/>
      <c r="H82" s="62"/>
      <c r="I82" s="62"/>
      <c r="J82" s="62"/>
      <c r="K82" s="62"/>
      <c r="L82" s="62" t="s">
        <v>805</v>
      </c>
    </row>
    <row r="83" customFormat="false" ht="33" hidden="false" customHeight="false" outlineLevel="0" collapsed="false">
      <c r="A83" s="62"/>
      <c r="B83" s="62"/>
      <c r="C83" s="62"/>
      <c r="D83" s="62" t="s">
        <v>2538</v>
      </c>
      <c r="E83" s="63" t="s">
        <v>951</v>
      </c>
      <c r="F83" s="62"/>
      <c r="G83" s="62"/>
      <c r="H83" s="62"/>
      <c r="I83" s="62"/>
      <c r="J83" s="62"/>
      <c r="K83" s="62"/>
      <c r="L83" s="62" t="s">
        <v>799</v>
      </c>
    </row>
    <row r="84" customFormat="false" ht="33" hidden="false" customHeight="false" outlineLevel="0" collapsed="false">
      <c r="A84" s="62"/>
      <c r="B84" s="62"/>
      <c r="C84" s="62"/>
      <c r="D84" s="63" t="s">
        <v>227</v>
      </c>
      <c r="E84" s="63" t="s">
        <v>2688</v>
      </c>
      <c r="F84" s="62"/>
      <c r="G84" s="62"/>
      <c r="H84" s="62"/>
      <c r="I84" s="62"/>
      <c r="J84" s="62"/>
      <c r="K84" s="62"/>
      <c r="L84" s="62" t="s">
        <v>2689</v>
      </c>
    </row>
    <row r="85" customFormat="false" ht="48.75" hidden="false" customHeight="false" outlineLevel="0" collapsed="false">
      <c r="A85" s="62"/>
      <c r="B85" s="62"/>
      <c r="C85" s="62"/>
      <c r="D85" s="63" t="s">
        <v>282</v>
      </c>
      <c r="E85" s="63" t="s">
        <v>2690</v>
      </c>
      <c r="F85" s="62"/>
      <c r="G85" s="62"/>
      <c r="H85" s="62"/>
      <c r="I85" s="62"/>
      <c r="J85" s="62"/>
      <c r="K85" s="62"/>
      <c r="L85" s="62" t="s">
        <v>805</v>
      </c>
    </row>
    <row r="86" customFormat="false" ht="33" hidden="false" customHeight="false" outlineLevel="0" collapsed="false">
      <c r="A86" s="62"/>
      <c r="B86" s="62"/>
      <c r="C86" s="62"/>
      <c r="D86" s="63" t="s">
        <v>236</v>
      </c>
      <c r="E86" s="63" t="s">
        <v>2691</v>
      </c>
      <c r="F86" s="62"/>
      <c r="G86" s="62"/>
      <c r="H86" s="62"/>
      <c r="I86" s="62"/>
      <c r="J86" s="62"/>
      <c r="K86" s="62"/>
      <c r="L86" s="62" t="s">
        <v>799</v>
      </c>
    </row>
    <row r="87" customFormat="false" ht="33" hidden="false" customHeight="false" outlineLevel="0" collapsed="false">
      <c r="A87" s="62"/>
      <c r="B87" s="62"/>
      <c r="C87" s="62"/>
      <c r="D87" s="62" t="s">
        <v>2692</v>
      </c>
      <c r="E87" s="62" t="s">
        <v>2659</v>
      </c>
      <c r="F87" s="62"/>
      <c r="G87" s="62"/>
      <c r="H87" s="62"/>
      <c r="I87" s="62"/>
      <c r="J87" s="62"/>
      <c r="K87" s="62"/>
      <c r="L87" s="62" t="s">
        <v>2693</v>
      </c>
    </row>
    <row r="88" customFormat="false" ht="33" hidden="false" customHeight="false" outlineLevel="0" collapsed="false">
      <c r="A88" s="62"/>
      <c r="B88" s="62"/>
      <c r="C88" s="62"/>
      <c r="D88" s="63" t="s">
        <v>836</v>
      </c>
      <c r="E88" s="63" t="s">
        <v>951</v>
      </c>
      <c r="F88" s="62"/>
      <c r="G88" s="62"/>
      <c r="H88" s="62"/>
      <c r="I88" s="62"/>
      <c r="J88" s="62"/>
      <c r="K88" s="62"/>
      <c r="L88" s="62" t="s">
        <v>805</v>
      </c>
    </row>
    <row r="89" customFormat="false" ht="33" hidden="false" customHeight="false" outlineLevel="0" collapsed="false">
      <c r="A89" s="62"/>
      <c r="B89" s="62"/>
      <c r="C89" s="62"/>
      <c r="D89" s="63" t="s">
        <v>837</v>
      </c>
      <c r="E89" s="63" t="s">
        <v>1609</v>
      </c>
      <c r="F89" s="62"/>
      <c r="G89" s="62"/>
      <c r="H89" s="62"/>
      <c r="I89" s="62"/>
      <c r="J89" s="62"/>
      <c r="K89" s="62"/>
      <c r="L89" s="62" t="s">
        <v>799</v>
      </c>
    </row>
    <row r="90" customFormat="false" ht="33" hidden="false" customHeight="false" outlineLevel="0" collapsed="false">
      <c r="A90" s="62"/>
      <c r="B90" s="62"/>
      <c r="C90" s="62"/>
      <c r="D90" s="63" t="s">
        <v>2540</v>
      </c>
      <c r="E90" s="63" t="s">
        <v>2694</v>
      </c>
      <c r="F90" s="62"/>
      <c r="G90" s="62"/>
      <c r="H90" s="62"/>
      <c r="I90" s="62"/>
      <c r="J90" s="62"/>
      <c r="K90" s="62"/>
      <c r="L90" s="62" t="s">
        <v>2695</v>
      </c>
    </row>
    <row r="91" customFormat="false" ht="33" hidden="false" customHeight="false" outlineLevel="0" collapsed="false">
      <c r="A91" s="62"/>
      <c r="B91" s="62"/>
      <c r="C91" s="62"/>
      <c r="D91" s="62" t="s">
        <v>2541</v>
      </c>
      <c r="E91" s="63" t="s">
        <v>2696</v>
      </c>
      <c r="F91" s="62"/>
      <c r="G91" s="62"/>
      <c r="H91" s="62"/>
      <c r="I91" s="62"/>
      <c r="J91" s="62"/>
      <c r="K91" s="62"/>
      <c r="L91" s="62" t="s">
        <v>805</v>
      </c>
    </row>
    <row r="92" customFormat="false" ht="33" hidden="false" customHeight="false" outlineLevel="0" collapsed="false">
      <c r="A92" s="62"/>
      <c r="B92" s="62"/>
      <c r="C92" s="62"/>
      <c r="D92" s="63" t="s">
        <v>2542</v>
      </c>
      <c r="E92" s="62" t="s">
        <v>2697</v>
      </c>
      <c r="F92" s="62"/>
      <c r="G92" s="62"/>
      <c r="H92" s="62"/>
      <c r="I92" s="62"/>
      <c r="J92" s="62"/>
      <c r="K92" s="62"/>
      <c r="L92" s="62" t="s">
        <v>799</v>
      </c>
    </row>
    <row r="93" customFormat="false" ht="33" hidden="false" customHeight="false" outlineLevel="0" collapsed="false">
      <c r="A93" s="62"/>
      <c r="B93" s="62"/>
      <c r="C93" s="62"/>
      <c r="D93" s="63" t="s">
        <v>2543</v>
      </c>
      <c r="E93" s="63" t="s">
        <v>951</v>
      </c>
      <c r="F93" s="62"/>
      <c r="G93" s="62"/>
      <c r="H93" s="62"/>
      <c r="I93" s="62"/>
      <c r="J93" s="62"/>
      <c r="K93" s="62"/>
      <c r="L93" s="62" t="s">
        <v>2698</v>
      </c>
    </row>
    <row r="94" customFormat="false" ht="33" hidden="false" customHeight="false" outlineLevel="0" collapsed="false">
      <c r="A94" s="62"/>
      <c r="B94" s="62"/>
      <c r="C94" s="62"/>
      <c r="D94" s="63" t="s">
        <v>2544</v>
      </c>
      <c r="E94" s="63" t="s">
        <v>2699</v>
      </c>
      <c r="F94" s="62"/>
      <c r="G94" s="62"/>
      <c r="H94" s="62"/>
      <c r="I94" s="62"/>
      <c r="J94" s="62"/>
      <c r="K94" s="62"/>
      <c r="L94" s="62" t="s">
        <v>805</v>
      </c>
    </row>
    <row r="95" customFormat="false" ht="33" hidden="false" customHeight="false" outlineLevel="0" collapsed="false">
      <c r="A95" s="62"/>
      <c r="B95" s="62"/>
      <c r="C95" s="62"/>
      <c r="D95" s="62" t="s">
        <v>2520</v>
      </c>
      <c r="E95" s="63" t="s">
        <v>2700</v>
      </c>
      <c r="F95" s="62"/>
      <c r="G95" s="62"/>
      <c r="H95" s="62"/>
      <c r="I95" s="62"/>
      <c r="J95" s="62"/>
      <c r="K95" s="62"/>
      <c r="L95" s="62" t="s">
        <v>799</v>
      </c>
    </row>
    <row r="96" customFormat="false" ht="17.25" hidden="false" customHeight="false" outlineLevel="0" collapsed="false">
      <c r="A96" s="62"/>
      <c r="B96" s="62"/>
      <c r="C96" s="62"/>
      <c r="D96" s="63" t="s">
        <v>2545</v>
      </c>
      <c r="E96" s="63" t="s">
        <v>2701</v>
      </c>
      <c r="F96" s="62"/>
      <c r="G96" s="62"/>
      <c r="H96" s="62"/>
      <c r="I96" s="62"/>
      <c r="J96" s="62"/>
      <c r="K96" s="62"/>
      <c r="L96" s="62" t="s">
        <v>2702</v>
      </c>
    </row>
    <row r="97" customFormat="false" ht="33" hidden="false" customHeight="false" outlineLevel="0" collapsed="false">
      <c r="A97" s="62"/>
      <c r="B97" s="62"/>
      <c r="C97" s="62"/>
      <c r="D97" s="63" t="s">
        <v>2546</v>
      </c>
      <c r="E97" s="62" t="s">
        <v>2697</v>
      </c>
      <c r="F97" s="62"/>
      <c r="G97" s="62"/>
      <c r="H97" s="62"/>
      <c r="I97" s="62"/>
      <c r="J97" s="62"/>
      <c r="K97" s="62"/>
      <c r="L97" s="62" t="s">
        <v>805</v>
      </c>
    </row>
    <row r="98" customFormat="false" ht="33" hidden="false" customHeight="false" outlineLevel="0" collapsed="false">
      <c r="A98" s="62"/>
      <c r="B98" s="62"/>
      <c r="C98" s="62"/>
      <c r="D98" s="63" t="s">
        <v>2547</v>
      </c>
      <c r="E98" s="63" t="s">
        <v>951</v>
      </c>
      <c r="F98" s="62"/>
      <c r="G98" s="62"/>
      <c r="H98" s="62"/>
      <c r="I98" s="62"/>
      <c r="J98" s="62"/>
      <c r="K98" s="62"/>
      <c r="L98" s="62" t="s">
        <v>799</v>
      </c>
    </row>
    <row r="99" customFormat="false" ht="33" hidden="false" customHeight="false" outlineLevel="0" collapsed="false">
      <c r="A99" s="62"/>
      <c r="B99" s="62"/>
      <c r="C99" s="62"/>
      <c r="D99" s="62" t="s">
        <v>2548</v>
      </c>
      <c r="E99" s="63" t="s">
        <v>2644</v>
      </c>
      <c r="F99" s="62"/>
      <c r="G99" s="62"/>
      <c r="H99" s="62"/>
      <c r="I99" s="62"/>
      <c r="J99" s="62"/>
      <c r="K99" s="62"/>
      <c r="L99" s="62" t="s">
        <v>2703</v>
      </c>
    </row>
    <row r="100" customFormat="false" ht="33" hidden="false" customHeight="false" outlineLevel="0" collapsed="false">
      <c r="A100" s="62"/>
      <c r="B100" s="62"/>
      <c r="C100" s="62"/>
      <c r="D100" s="63" t="s">
        <v>2549</v>
      </c>
      <c r="E100" s="63" t="s">
        <v>2704</v>
      </c>
      <c r="F100" s="62"/>
      <c r="G100" s="62"/>
      <c r="H100" s="62"/>
      <c r="I100" s="62"/>
      <c r="J100" s="62"/>
      <c r="K100" s="62"/>
      <c r="L100" s="62" t="s">
        <v>805</v>
      </c>
    </row>
    <row r="101" customFormat="false" ht="33" hidden="false" customHeight="false" outlineLevel="0" collapsed="false">
      <c r="A101" s="62"/>
      <c r="B101" s="62"/>
      <c r="C101" s="62"/>
      <c r="D101" s="63" t="s">
        <v>2347</v>
      </c>
      <c r="E101" s="63" t="s">
        <v>2705</v>
      </c>
      <c r="F101" s="62"/>
      <c r="G101" s="62"/>
      <c r="H101" s="62"/>
      <c r="I101" s="62"/>
      <c r="J101" s="62"/>
      <c r="K101" s="62"/>
      <c r="L101" s="62" t="s">
        <v>799</v>
      </c>
    </row>
    <row r="102" customFormat="false" ht="33" hidden="false" customHeight="false" outlineLevel="0" collapsed="false">
      <c r="A102" s="62"/>
      <c r="B102" s="62"/>
      <c r="C102" s="62"/>
      <c r="D102" s="63" t="s">
        <v>2550</v>
      </c>
      <c r="E102" s="62" t="s">
        <v>2659</v>
      </c>
      <c r="F102" s="62"/>
      <c r="G102" s="62"/>
      <c r="H102" s="62"/>
      <c r="I102" s="62"/>
      <c r="J102" s="62"/>
      <c r="K102" s="62"/>
      <c r="L102" s="62" t="s">
        <v>2706</v>
      </c>
    </row>
    <row r="103" customFormat="false" ht="33" hidden="false" customHeight="false" outlineLevel="0" collapsed="false">
      <c r="A103" s="62"/>
      <c r="B103" s="62"/>
      <c r="C103" s="62"/>
      <c r="D103" s="62" t="s">
        <v>2551</v>
      </c>
      <c r="E103" s="63" t="s">
        <v>951</v>
      </c>
      <c r="F103" s="62"/>
      <c r="G103" s="62"/>
      <c r="H103" s="62"/>
      <c r="I103" s="62"/>
      <c r="J103" s="62"/>
      <c r="K103" s="62"/>
      <c r="L103" s="62" t="s">
        <v>805</v>
      </c>
    </row>
    <row r="104" customFormat="false" ht="33" hidden="false" customHeight="false" outlineLevel="0" collapsed="false">
      <c r="A104" s="62"/>
      <c r="B104" s="62"/>
      <c r="C104" s="62"/>
      <c r="D104" s="63" t="s">
        <v>2552</v>
      </c>
      <c r="E104" s="63" t="s">
        <v>920</v>
      </c>
      <c r="F104" s="62"/>
      <c r="G104" s="62"/>
      <c r="H104" s="62"/>
      <c r="I104" s="62"/>
      <c r="J104" s="62"/>
      <c r="K104" s="62"/>
      <c r="L104" s="62" t="s">
        <v>799</v>
      </c>
    </row>
    <row r="105" customFormat="false" ht="33" hidden="false" customHeight="false" outlineLevel="0" collapsed="false">
      <c r="A105" s="62"/>
      <c r="B105" s="62"/>
      <c r="C105" s="62"/>
      <c r="D105" s="63" t="s">
        <v>2347</v>
      </c>
      <c r="E105" s="63" t="s">
        <v>919</v>
      </c>
      <c r="F105" s="62"/>
      <c r="G105" s="62"/>
      <c r="H105" s="62"/>
      <c r="I105" s="62"/>
      <c r="J105" s="62"/>
      <c r="K105" s="62"/>
      <c r="L105" s="62" t="s">
        <v>2707</v>
      </c>
    </row>
    <row r="106" customFormat="false" ht="33" hidden="false" customHeight="false" outlineLevel="0" collapsed="false">
      <c r="A106" s="62"/>
      <c r="B106" s="62"/>
      <c r="C106" s="62"/>
      <c r="D106" s="63" t="s">
        <v>2550</v>
      </c>
      <c r="E106" s="62" t="s">
        <v>2708</v>
      </c>
      <c r="F106" s="62"/>
      <c r="G106" s="62"/>
      <c r="H106" s="62"/>
      <c r="I106" s="62"/>
      <c r="J106" s="62"/>
      <c r="K106" s="62"/>
      <c r="L106" s="62" t="s">
        <v>805</v>
      </c>
    </row>
    <row r="107" customFormat="false" ht="33" hidden="false" customHeight="false" outlineLevel="0" collapsed="false">
      <c r="A107" s="62"/>
      <c r="B107" s="62"/>
      <c r="C107" s="62"/>
      <c r="D107" s="62" t="s">
        <v>2553</v>
      </c>
      <c r="E107" s="63" t="s">
        <v>233</v>
      </c>
      <c r="F107" s="62"/>
      <c r="G107" s="62"/>
      <c r="H107" s="62"/>
      <c r="I107" s="62"/>
      <c r="J107" s="62"/>
      <c r="K107" s="62"/>
      <c r="L107" s="62" t="s">
        <v>799</v>
      </c>
    </row>
    <row r="108" customFormat="false" ht="33" hidden="false" customHeight="false" outlineLevel="0" collapsed="false">
      <c r="A108" s="62"/>
      <c r="B108" s="62"/>
      <c r="C108" s="62"/>
      <c r="D108" s="63" t="s">
        <v>2554</v>
      </c>
      <c r="E108" s="62"/>
      <c r="F108" s="62"/>
      <c r="G108" s="62"/>
      <c r="H108" s="62"/>
      <c r="I108" s="62"/>
      <c r="J108" s="62"/>
      <c r="K108" s="62"/>
      <c r="L108" s="62" t="s">
        <v>2709</v>
      </c>
    </row>
    <row r="109" customFormat="false" ht="33" hidden="false" customHeight="false" outlineLevel="0" collapsed="false">
      <c r="A109" s="62"/>
      <c r="B109" s="62"/>
      <c r="C109" s="62"/>
      <c r="D109" s="63" t="s">
        <v>2555</v>
      </c>
      <c r="E109" s="62"/>
      <c r="F109" s="62"/>
      <c r="G109" s="62"/>
      <c r="H109" s="62"/>
      <c r="I109" s="62"/>
      <c r="J109" s="62"/>
      <c r="K109" s="62"/>
      <c r="L109" s="62" t="s">
        <v>805</v>
      </c>
    </row>
    <row r="110" customFormat="false" ht="33" hidden="false" customHeight="false" outlineLevel="0" collapsed="false">
      <c r="A110" s="62"/>
      <c r="B110" s="62"/>
      <c r="C110" s="62"/>
      <c r="D110" s="63" t="s">
        <v>2556</v>
      </c>
      <c r="E110" s="62"/>
      <c r="F110" s="62"/>
      <c r="G110" s="62"/>
      <c r="H110" s="62"/>
      <c r="I110" s="62"/>
      <c r="J110" s="62"/>
      <c r="K110" s="62"/>
      <c r="L110" s="62" t="s">
        <v>799</v>
      </c>
    </row>
    <row r="111" customFormat="false" ht="17.25" hidden="false" customHeight="false" outlineLevel="0" collapsed="false">
      <c r="A111" s="62"/>
      <c r="B111" s="62"/>
      <c r="C111" s="62"/>
      <c r="D111" s="63" t="s">
        <v>2550</v>
      </c>
      <c r="E111" s="62"/>
      <c r="F111" s="62"/>
      <c r="G111" s="62"/>
      <c r="H111" s="62"/>
      <c r="I111" s="62"/>
      <c r="J111" s="62"/>
      <c r="K111" s="62"/>
      <c r="L111" s="62" t="s">
        <v>2710</v>
      </c>
    </row>
    <row r="112" customFormat="false" ht="33" hidden="false" customHeight="false" outlineLevel="0" collapsed="false">
      <c r="A112" s="62"/>
      <c r="B112" s="62"/>
      <c r="C112" s="62"/>
      <c r="D112" s="63" t="s">
        <v>244</v>
      </c>
      <c r="E112" s="62"/>
      <c r="F112" s="62"/>
      <c r="G112" s="62"/>
      <c r="H112" s="62"/>
      <c r="I112" s="62"/>
      <c r="J112" s="62"/>
      <c r="K112" s="62"/>
      <c r="L112" s="62" t="s">
        <v>805</v>
      </c>
    </row>
    <row r="113" customFormat="false" ht="33" hidden="false" customHeight="false" outlineLevel="0" collapsed="false">
      <c r="A113" s="62"/>
      <c r="B113" s="62"/>
      <c r="C113" s="62"/>
      <c r="D113" s="62" t="s">
        <v>2557</v>
      </c>
      <c r="E113" s="62"/>
      <c r="F113" s="62"/>
      <c r="G113" s="62"/>
      <c r="H113" s="62"/>
      <c r="I113" s="62"/>
      <c r="J113" s="62"/>
      <c r="K113" s="62"/>
      <c r="L113" s="62" t="s">
        <v>799</v>
      </c>
    </row>
    <row r="114" customFormat="false" ht="33" hidden="false" customHeight="false" outlineLevel="0" collapsed="false">
      <c r="A114" s="62"/>
      <c r="B114" s="62"/>
      <c r="C114" s="62"/>
      <c r="D114" s="63" t="s">
        <v>2556</v>
      </c>
      <c r="E114" s="62"/>
      <c r="F114" s="62"/>
      <c r="G114" s="62"/>
      <c r="H114" s="62"/>
      <c r="I114" s="62"/>
      <c r="J114" s="62"/>
      <c r="K114" s="62"/>
      <c r="L114" s="62" t="s">
        <v>2711</v>
      </c>
    </row>
    <row r="115" customFormat="false" ht="33" hidden="false" customHeight="false" outlineLevel="0" collapsed="false">
      <c r="A115" s="62"/>
      <c r="B115" s="62"/>
      <c r="C115" s="62"/>
      <c r="D115" s="63" t="s">
        <v>2338</v>
      </c>
      <c r="E115" s="62"/>
      <c r="F115" s="62"/>
      <c r="G115" s="62"/>
      <c r="H115" s="62"/>
      <c r="I115" s="62"/>
      <c r="J115" s="62"/>
      <c r="K115" s="62"/>
      <c r="L115" s="62" t="s">
        <v>805</v>
      </c>
    </row>
    <row r="116" customFormat="false" ht="33" hidden="false" customHeight="false" outlineLevel="0" collapsed="false">
      <c r="A116" s="62"/>
      <c r="B116" s="62"/>
      <c r="C116" s="62"/>
      <c r="D116" s="63" t="s">
        <v>2340</v>
      </c>
      <c r="E116" s="62"/>
      <c r="F116" s="62"/>
      <c r="G116" s="62"/>
      <c r="H116" s="62"/>
      <c r="I116" s="62"/>
      <c r="J116" s="62"/>
      <c r="K116" s="62"/>
      <c r="L116" s="62" t="s">
        <v>2712</v>
      </c>
    </row>
    <row r="117" customFormat="false" ht="33" hidden="false" customHeight="false" outlineLevel="0" collapsed="false">
      <c r="A117" s="62"/>
      <c r="B117" s="62"/>
      <c r="C117" s="62"/>
      <c r="D117" s="62" t="s">
        <v>2558</v>
      </c>
      <c r="E117" s="62"/>
      <c r="F117" s="62"/>
      <c r="G117" s="62"/>
      <c r="H117" s="62"/>
      <c r="I117" s="62"/>
      <c r="J117" s="62"/>
      <c r="K117" s="62"/>
      <c r="L117" s="62" t="s">
        <v>2713</v>
      </c>
    </row>
    <row r="118" customFormat="false" ht="33" hidden="false" customHeight="false" outlineLevel="0" collapsed="false">
      <c r="A118" s="62"/>
      <c r="B118" s="62"/>
      <c r="C118" s="62"/>
      <c r="D118" s="63" t="s">
        <v>2334</v>
      </c>
      <c r="E118" s="62"/>
      <c r="F118" s="62"/>
      <c r="G118" s="62"/>
      <c r="H118" s="62"/>
      <c r="I118" s="62"/>
      <c r="J118" s="62"/>
      <c r="K118" s="62"/>
      <c r="L118" s="62" t="s">
        <v>2714</v>
      </c>
    </row>
    <row r="119" customFormat="false" ht="33" hidden="false" customHeight="false" outlineLevel="0" collapsed="false">
      <c r="A119" s="62"/>
      <c r="B119" s="62"/>
      <c r="C119" s="62"/>
      <c r="D119" s="63" t="s">
        <v>2336</v>
      </c>
      <c r="E119" s="62"/>
      <c r="F119" s="62"/>
      <c r="G119" s="62"/>
      <c r="H119" s="62"/>
      <c r="I119" s="62"/>
      <c r="J119" s="62"/>
      <c r="K119" s="62"/>
      <c r="L119" s="62" t="s">
        <v>2715</v>
      </c>
    </row>
    <row r="120" customFormat="false" ht="17.25" hidden="false" customHeight="false" outlineLevel="0" collapsed="false">
      <c r="A120" s="62"/>
      <c r="B120" s="62"/>
      <c r="C120" s="62"/>
      <c r="D120" s="63" t="s">
        <v>2338</v>
      </c>
      <c r="E120" s="62"/>
      <c r="F120" s="62"/>
      <c r="G120" s="62"/>
      <c r="H120" s="62"/>
      <c r="I120" s="62"/>
      <c r="J120" s="62"/>
      <c r="K120" s="62"/>
      <c r="L120" s="63" t="s">
        <v>838</v>
      </c>
    </row>
    <row r="121" customFormat="false" ht="17.25" hidden="false" customHeight="false" outlineLevel="0" collapsed="false">
      <c r="A121" s="62"/>
      <c r="B121" s="62"/>
      <c r="C121" s="62"/>
      <c r="D121" s="63" t="s">
        <v>2340</v>
      </c>
      <c r="E121" s="62"/>
      <c r="F121" s="62"/>
      <c r="G121" s="62"/>
      <c r="H121" s="62"/>
      <c r="I121" s="62"/>
      <c r="J121" s="62"/>
      <c r="K121" s="62"/>
      <c r="L121" s="63" t="s">
        <v>1120</v>
      </c>
    </row>
    <row r="122" customFormat="false" ht="33" hidden="false" customHeight="false" outlineLevel="0" collapsed="false">
      <c r="A122" s="62"/>
      <c r="B122" s="62"/>
      <c r="C122" s="62"/>
      <c r="D122" s="63" t="s">
        <v>244</v>
      </c>
      <c r="E122" s="62"/>
      <c r="F122" s="62"/>
      <c r="G122" s="62"/>
      <c r="H122" s="62"/>
      <c r="I122" s="62"/>
      <c r="J122" s="62"/>
      <c r="K122" s="62"/>
      <c r="L122" s="63" t="s">
        <v>2716</v>
      </c>
    </row>
    <row r="123" customFormat="false" ht="33" hidden="false" customHeight="false" outlineLevel="0" collapsed="false">
      <c r="A123" s="62"/>
      <c r="B123" s="62"/>
      <c r="C123" s="62"/>
      <c r="D123" s="62" t="s">
        <v>2559</v>
      </c>
      <c r="E123" s="62"/>
      <c r="F123" s="62"/>
      <c r="G123" s="62"/>
      <c r="H123" s="62"/>
      <c r="I123" s="62"/>
      <c r="J123" s="62"/>
      <c r="K123" s="62"/>
      <c r="L123" s="63" t="s">
        <v>2717</v>
      </c>
    </row>
    <row r="124" customFormat="false" ht="33" hidden="false" customHeight="false" outlineLevel="0" collapsed="false">
      <c r="A124" s="62"/>
      <c r="B124" s="62"/>
      <c r="C124" s="62"/>
      <c r="D124" s="63" t="s">
        <v>2345</v>
      </c>
      <c r="E124" s="62"/>
      <c r="F124" s="62"/>
      <c r="G124" s="62"/>
      <c r="H124" s="62"/>
      <c r="I124" s="62"/>
      <c r="J124" s="62"/>
      <c r="K124" s="62"/>
      <c r="L124" s="63" t="s">
        <v>2718</v>
      </c>
    </row>
    <row r="125" customFormat="false" ht="33" hidden="false" customHeight="false" outlineLevel="0" collapsed="false">
      <c r="A125" s="62"/>
      <c r="B125" s="62"/>
      <c r="C125" s="62"/>
      <c r="D125" s="63" t="s">
        <v>2347</v>
      </c>
      <c r="E125" s="62"/>
      <c r="F125" s="62"/>
      <c r="G125" s="62"/>
      <c r="H125" s="62"/>
      <c r="I125" s="62"/>
      <c r="J125" s="62"/>
      <c r="K125" s="62"/>
      <c r="L125" s="63" t="s">
        <v>2719</v>
      </c>
    </row>
    <row r="126" customFormat="false" ht="33" hidden="false" customHeight="false" outlineLevel="0" collapsed="false">
      <c r="A126" s="62"/>
      <c r="B126" s="62"/>
      <c r="C126" s="62"/>
      <c r="D126" s="63" t="s">
        <v>2349</v>
      </c>
      <c r="E126" s="62"/>
      <c r="F126" s="62"/>
      <c r="G126" s="62"/>
      <c r="H126" s="62"/>
      <c r="I126" s="62"/>
      <c r="J126" s="62"/>
      <c r="K126" s="62"/>
      <c r="L126" s="63" t="s">
        <v>2720</v>
      </c>
    </row>
    <row r="127" customFormat="false" ht="33" hidden="false" customHeight="false" outlineLevel="0" collapsed="false">
      <c r="A127" s="62"/>
      <c r="B127" s="62"/>
      <c r="C127" s="62"/>
      <c r="D127" s="62" t="s">
        <v>2560</v>
      </c>
      <c r="E127" s="62"/>
      <c r="F127" s="62"/>
      <c r="G127" s="62"/>
      <c r="H127" s="62"/>
      <c r="I127" s="62"/>
      <c r="J127" s="62"/>
      <c r="K127" s="62"/>
      <c r="L127" s="63" t="s">
        <v>2721</v>
      </c>
    </row>
    <row r="128" customFormat="false" ht="33" hidden="false" customHeight="false" outlineLevel="0" collapsed="false">
      <c r="A128" s="62"/>
      <c r="B128" s="62"/>
      <c r="C128" s="62"/>
      <c r="D128" s="63" t="s">
        <v>2561</v>
      </c>
      <c r="E128" s="62"/>
      <c r="F128" s="62"/>
      <c r="G128" s="62"/>
      <c r="H128" s="62"/>
      <c r="I128" s="62"/>
      <c r="J128" s="62"/>
      <c r="K128" s="62"/>
      <c r="L128" s="62" t="s">
        <v>2722</v>
      </c>
    </row>
    <row r="129" customFormat="false" ht="33" hidden="false" customHeight="false" outlineLevel="0" collapsed="false">
      <c r="A129" s="62"/>
      <c r="B129" s="62"/>
      <c r="C129" s="62"/>
      <c r="D129" s="63" t="s">
        <v>255</v>
      </c>
      <c r="E129" s="62"/>
      <c r="F129" s="62"/>
      <c r="G129" s="62"/>
      <c r="H129" s="62"/>
      <c r="I129" s="62"/>
      <c r="J129" s="62"/>
      <c r="K129" s="62"/>
      <c r="L129" s="63" t="s">
        <v>968</v>
      </c>
    </row>
    <row r="130" customFormat="false" ht="33" hidden="false" customHeight="false" outlineLevel="0" collapsed="false">
      <c r="A130" s="62"/>
      <c r="B130" s="62"/>
      <c r="C130" s="62"/>
      <c r="D130" s="63" t="s">
        <v>2562</v>
      </c>
      <c r="E130" s="62"/>
      <c r="F130" s="62"/>
      <c r="G130" s="62"/>
      <c r="H130" s="62"/>
      <c r="I130" s="62"/>
      <c r="J130" s="62"/>
      <c r="K130" s="62"/>
      <c r="L130" s="63" t="s">
        <v>2723</v>
      </c>
    </row>
    <row r="131" customFormat="false" ht="33" hidden="false" customHeight="false" outlineLevel="0" collapsed="false">
      <c r="A131" s="62"/>
      <c r="B131" s="62"/>
      <c r="C131" s="62"/>
      <c r="D131" s="62" t="s">
        <v>2520</v>
      </c>
      <c r="E131" s="62"/>
      <c r="F131" s="62"/>
      <c r="G131" s="62"/>
      <c r="H131" s="62"/>
      <c r="I131" s="62"/>
      <c r="J131" s="62"/>
      <c r="K131" s="62"/>
      <c r="L131" s="63" t="s">
        <v>2724</v>
      </c>
    </row>
    <row r="132" customFormat="false" ht="33" hidden="false" customHeight="false" outlineLevel="0" collapsed="false">
      <c r="A132" s="62"/>
      <c r="B132" s="62"/>
      <c r="C132" s="62"/>
      <c r="D132" s="63" t="s">
        <v>2563</v>
      </c>
      <c r="E132" s="62"/>
      <c r="F132" s="62"/>
      <c r="G132" s="62"/>
      <c r="H132" s="62"/>
      <c r="I132" s="62"/>
      <c r="J132" s="62"/>
      <c r="K132" s="62"/>
      <c r="L132" s="63" t="s">
        <v>2725</v>
      </c>
    </row>
    <row r="133" customFormat="false" ht="17.25" hidden="false" customHeight="false" outlineLevel="0" collapsed="false">
      <c r="A133" s="62"/>
      <c r="B133" s="62"/>
      <c r="C133" s="62"/>
      <c r="D133" s="63" t="s">
        <v>2564</v>
      </c>
      <c r="E133" s="62"/>
      <c r="F133" s="62"/>
      <c r="G133" s="62"/>
      <c r="H133" s="62"/>
      <c r="I133" s="62"/>
      <c r="J133" s="62"/>
      <c r="K133" s="62"/>
      <c r="L133" s="63" t="s">
        <v>2726</v>
      </c>
    </row>
    <row r="134" customFormat="false" ht="17.25" hidden="false" customHeight="false" outlineLevel="0" collapsed="false">
      <c r="A134" s="62"/>
      <c r="B134" s="62"/>
      <c r="C134" s="62"/>
      <c r="D134" s="63" t="s">
        <v>2565</v>
      </c>
      <c r="E134" s="62"/>
      <c r="F134" s="62"/>
      <c r="G134" s="62"/>
      <c r="H134" s="62"/>
      <c r="I134" s="62"/>
      <c r="J134" s="62"/>
      <c r="K134" s="62"/>
      <c r="L134" s="63" t="s">
        <v>838</v>
      </c>
    </row>
    <row r="135" customFormat="false" ht="17.25" hidden="false" customHeight="false" outlineLevel="0" collapsed="false">
      <c r="A135" s="62"/>
      <c r="B135" s="62"/>
      <c r="C135" s="62"/>
      <c r="D135" s="62" t="s">
        <v>2520</v>
      </c>
      <c r="E135" s="62"/>
      <c r="F135" s="62"/>
      <c r="G135" s="62"/>
      <c r="H135" s="62"/>
      <c r="I135" s="62"/>
      <c r="J135" s="62"/>
      <c r="K135" s="62"/>
      <c r="L135" s="63" t="s">
        <v>838</v>
      </c>
    </row>
    <row r="136" customFormat="false" ht="33" hidden="false" customHeight="false" outlineLevel="0" collapsed="false">
      <c r="A136" s="62"/>
      <c r="B136" s="62"/>
      <c r="C136" s="62"/>
      <c r="D136" s="63" t="s">
        <v>2566</v>
      </c>
      <c r="E136" s="62"/>
      <c r="F136" s="62"/>
      <c r="G136" s="62"/>
      <c r="H136" s="62"/>
      <c r="I136" s="62"/>
      <c r="J136" s="62"/>
      <c r="K136" s="62"/>
      <c r="L136" s="62" t="s">
        <v>2489</v>
      </c>
    </row>
    <row r="137" customFormat="false" ht="33" hidden="false" customHeight="false" outlineLevel="0" collapsed="false">
      <c r="A137" s="62"/>
      <c r="B137" s="62"/>
      <c r="C137" s="62"/>
      <c r="D137" s="63" t="s">
        <v>2567</v>
      </c>
      <c r="E137" s="62"/>
      <c r="F137" s="62"/>
      <c r="G137" s="62"/>
      <c r="H137" s="62"/>
      <c r="I137" s="62"/>
      <c r="J137" s="62"/>
      <c r="K137" s="62"/>
      <c r="L137" s="63" t="s">
        <v>2490</v>
      </c>
    </row>
    <row r="138" customFormat="false" ht="17.25" hidden="false" customHeight="false" outlineLevel="0" collapsed="false">
      <c r="A138" s="62"/>
      <c r="B138" s="62"/>
      <c r="C138" s="62"/>
      <c r="D138" s="63" t="s">
        <v>2568</v>
      </c>
      <c r="E138" s="62"/>
      <c r="F138" s="62"/>
      <c r="G138" s="62"/>
      <c r="H138" s="62"/>
      <c r="I138" s="62"/>
      <c r="J138" s="62"/>
      <c r="K138" s="62"/>
      <c r="L138" s="63" t="s">
        <v>2492</v>
      </c>
    </row>
    <row r="139" customFormat="false" ht="33" hidden="false" customHeight="false" outlineLevel="0" collapsed="false">
      <c r="A139" s="62"/>
      <c r="B139" s="62"/>
      <c r="C139" s="62"/>
      <c r="D139" s="62" t="s">
        <v>2527</v>
      </c>
      <c r="E139" s="62"/>
      <c r="F139" s="62"/>
      <c r="G139" s="62"/>
      <c r="H139" s="62"/>
      <c r="I139" s="62"/>
      <c r="J139" s="62"/>
      <c r="K139" s="62"/>
      <c r="L139" s="63" t="s">
        <v>2494</v>
      </c>
    </row>
    <row r="140" customFormat="false" ht="33" hidden="false" customHeight="false" outlineLevel="0" collapsed="false">
      <c r="A140" s="62"/>
      <c r="B140" s="62"/>
      <c r="C140" s="62"/>
      <c r="D140" s="63" t="s">
        <v>2569</v>
      </c>
      <c r="E140" s="62"/>
      <c r="F140" s="62"/>
      <c r="G140" s="62"/>
      <c r="H140" s="62"/>
      <c r="I140" s="62"/>
      <c r="J140" s="62"/>
      <c r="K140" s="62"/>
      <c r="L140" s="62" t="s">
        <v>2496</v>
      </c>
    </row>
    <row r="141" customFormat="false" ht="33" hidden="false" customHeight="false" outlineLevel="0" collapsed="false">
      <c r="A141" s="62"/>
      <c r="B141" s="62"/>
      <c r="C141" s="62"/>
      <c r="D141" s="63" t="s">
        <v>255</v>
      </c>
      <c r="E141" s="62"/>
      <c r="F141" s="62"/>
      <c r="G141" s="62"/>
      <c r="H141" s="62"/>
      <c r="I141" s="62"/>
      <c r="J141" s="62"/>
      <c r="K141" s="62"/>
      <c r="L141" s="62" t="s">
        <v>2498</v>
      </c>
    </row>
    <row r="142" customFormat="false" ht="33" hidden="false" customHeight="false" outlineLevel="0" collapsed="false">
      <c r="A142" s="62"/>
      <c r="B142" s="62"/>
      <c r="C142" s="62"/>
      <c r="D142" s="63" t="s">
        <v>2570</v>
      </c>
      <c r="E142" s="62"/>
      <c r="F142" s="62"/>
      <c r="G142" s="62"/>
      <c r="H142" s="62"/>
      <c r="I142" s="62"/>
      <c r="J142" s="62"/>
      <c r="K142" s="62"/>
      <c r="L142" s="63" t="s">
        <v>2500</v>
      </c>
    </row>
    <row r="143" customFormat="false" ht="33" hidden="false" customHeight="false" outlineLevel="0" collapsed="false">
      <c r="A143" s="62"/>
      <c r="B143" s="62"/>
      <c r="C143" s="62"/>
      <c r="D143" s="62" t="s">
        <v>2520</v>
      </c>
      <c r="E143" s="62"/>
      <c r="F143" s="62"/>
      <c r="G143" s="62"/>
      <c r="H143" s="62"/>
      <c r="I143" s="62"/>
      <c r="J143" s="62"/>
      <c r="K143" s="62"/>
      <c r="L143" s="63" t="s">
        <v>2502</v>
      </c>
    </row>
    <row r="144" customFormat="false" ht="33" hidden="false" customHeight="false" outlineLevel="0" collapsed="false">
      <c r="A144" s="62"/>
      <c r="B144" s="62"/>
      <c r="C144" s="62"/>
      <c r="D144" s="63" t="s">
        <v>2571</v>
      </c>
      <c r="E144" s="62"/>
      <c r="F144" s="62"/>
      <c r="G144" s="62"/>
      <c r="H144" s="62"/>
      <c r="I144" s="62"/>
      <c r="J144" s="62"/>
      <c r="K144" s="62"/>
      <c r="L144" s="63" t="s">
        <v>2503</v>
      </c>
    </row>
    <row r="145" customFormat="false" ht="33" hidden="false" customHeight="false" outlineLevel="0" collapsed="false">
      <c r="A145" s="62"/>
      <c r="B145" s="62"/>
      <c r="C145" s="62"/>
      <c r="D145" s="63" t="s">
        <v>2572</v>
      </c>
      <c r="E145" s="62"/>
      <c r="F145" s="62"/>
      <c r="G145" s="62"/>
      <c r="H145" s="62"/>
      <c r="I145" s="62"/>
      <c r="J145" s="62"/>
      <c r="K145" s="62"/>
      <c r="L145" s="63" t="s">
        <v>2504</v>
      </c>
    </row>
    <row r="146" customFormat="false" ht="33" hidden="false" customHeight="false" outlineLevel="0" collapsed="false">
      <c r="A146" s="62"/>
      <c r="B146" s="62"/>
      <c r="C146" s="62"/>
      <c r="D146" s="63" t="s">
        <v>1007</v>
      </c>
      <c r="E146" s="62"/>
      <c r="F146" s="62"/>
      <c r="G146" s="62"/>
      <c r="H146" s="62"/>
      <c r="I146" s="62"/>
      <c r="J146" s="62"/>
      <c r="K146" s="62"/>
      <c r="L146" s="63" t="s">
        <v>950</v>
      </c>
    </row>
    <row r="147" customFormat="false" ht="33" hidden="false" customHeight="false" outlineLevel="0" collapsed="false">
      <c r="A147" s="62"/>
      <c r="B147" s="62"/>
      <c r="C147" s="62"/>
      <c r="D147" s="63" t="s">
        <v>2573</v>
      </c>
      <c r="E147" s="62"/>
      <c r="F147" s="62"/>
      <c r="G147" s="62"/>
      <c r="H147" s="62"/>
      <c r="I147" s="62"/>
      <c r="J147" s="62"/>
      <c r="K147" s="62"/>
      <c r="L147" s="62" t="s">
        <v>2507</v>
      </c>
    </row>
    <row r="148" customFormat="false" ht="33" hidden="false" customHeight="false" outlineLevel="0" collapsed="false">
      <c r="A148" s="62"/>
      <c r="B148" s="62"/>
      <c r="C148" s="62"/>
      <c r="D148" s="63" t="s">
        <v>244</v>
      </c>
      <c r="E148" s="62"/>
      <c r="F148" s="62"/>
      <c r="G148" s="62"/>
      <c r="H148" s="62"/>
      <c r="I148" s="62"/>
      <c r="J148" s="62"/>
      <c r="K148" s="62"/>
      <c r="L148" s="63" t="s">
        <v>2509</v>
      </c>
    </row>
    <row r="149" customFormat="false" ht="33" hidden="false" customHeight="false" outlineLevel="0" collapsed="false">
      <c r="A149" s="62"/>
      <c r="B149" s="62"/>
      <c r="C149" s="62"/>
      <c r="D149" s="62" t="s">
        <v>2520</v>
      </c>
      <c r="E149" s="62"/>
      <c r="F149" s="62"/>
      <c r="G149" s="62"/>
      <c r="H149" s="62"/>
      <c r="I149" s="62"/>
      <c r="J149" s="62"/>
      <c r="K149" s="62"/>
      <c r="L149" s="63" t="s">
        <v>2510</v>
      </c>
    </row>
    <row r="150" customFormat="false" ht="17.25" hidden="false" customHeight="false" outlineLevel="0" collapsed="false">
      <c r="A150" s="62"/>
      <c r="B150" s="62"/>
      <c r="C150" s="62"/>
      <c r="D150" s="63" t="s">
        <v>233</v>
      </c>
      <c r="E150" s="62"/>
      <c r="F150" s="62"/>
      <c r="G150" s="62"/>
      <c r="H150" s="62"/>
      <c r="I150" s="62"/>
      <c r="J150" s="62"/>
      <c r="K150" s="62"/>
      <c r="L150" s="63" t="s">
        <v>2512</v>
      </c>
    </row>
    <row r="151" customFormat="false" ht="33" hidden="false" customHeight="false" outlineLevel="0" collapsed="false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3" t="s">
        <v>2514</v>
      </c>
    </row>
    <row r="152" customFormat="false" ht="17.25" hidden="false" customHeight="false" outlineLevel="0" collapsed="false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 t="s">
        <v>2516</v>
      </c>
    </row>
    <row r="153" customFormat="false" ht="33" hidden="false" customHeight="false" outlineLevel="0" collapsed="false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 t="s">
        <v>2517</v>
      </c>
    </row>
    <row r="154" customFormat="false" ht="17.25" hidden="false" customHeight="false" outlineLevel="0" collapsed="false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3" t="s">
        <v>2519</v>
      </c>
    </row>
    <row r="155" customFormat="false" ht="17.25" hidden="false" customHeight="false" outlineLevel="0" collapsed="false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3" t="s">
        <v>2521</v>
      </c>
    </row>
    <row r="156" customFormat="false" ht="17.25" hidden="false" customHeight="false" outlineLevel="0" collapsed="false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3" t="s">
        <v>2523</v>
      </c>
    </row>
    <row r="157" customFormat="false" ht="17.25" hidden="false" customHeight="false" outlineLevel="0" collapsed="false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3" t="s">
        <v>2525</v>
      </c>
    </row>
    <row r="158" customFormat="false" ht="17.25" hidden="false" customHeight="false" outlineLevel="0" collapsed="false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3" t="s">
        <v>838</v>
      </c>
    </row>
    <row r="159" customFormat="false" ht="17.25" hidden="false" customHeight="false" outlineLevel="0" collapsed="false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 t="s">
        <v>2727</v>
      </c>
    </row>
    <row r="160" customFormat="false" ht="17.25" hidden="false" customHeight="false" outlineLevel="0" collapsed="false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 t="s">
        <v>2728</v>
      </c>
    </row>
    <row r="161" customFormat="false" ht="17.25" hidden="false" customHeight="false" outlineLevel="0" collapsed="false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 t="s">
        <v>2729</v>
      </c>
    </row>
    <row r="162" customFormat="false" ht="33" hidden="false" customHeight="false" outlineLevel="0" collapsed="false">
      <c r="A162" s="62"/>
      <c r="B162" s="62" t="n">
        <v>1044</v>
      </c>
      <c r="C162" s="62"/>
      <c r="D162" s="62"/>
      <c r="E162" s="63" t="s">
        <v>876</v>
      </c>
      <c r="F162" s="62"/>
      <c r="G162" s="62"/>
      <c r="H162" s="62"/>
      <c r="I162" s="62"/>
      <c r="J162" s="62"/>
      <c r="K162" s="62"/>
      <c r="L162" s="62" t="s">
        <v>2730</v>
      </c>
    </row>
    <row r="163" customFormat="false" ht="33" hidden="false" customHeight="false" outlineLevel="0" collapsed="false">
      <c r="A163" s="62"/>
      <c r="B163" s="62"/>
      <c r="C163" s="62"/>
      <c r="D163" s="62"/>
      <c r="E163" s="62" t="s">
        <v>2731</v>
      </c>
      <c r="F163" s="62"/>
      <c r="G163" s="62" t="n">
        <v>2043</v>
      </c>
      <c r="H163" s="62" t="s">
        <v>2732</v>
      </c>
      <c r="I163" s="62"/>
      <c r="J163" s="62"/>
      <c r="K163" s="62"/>
      <c r="L163" s="62" t="s">
        <v>2733</v>
      </c>
    </row>
    <row r="164" customFormat="false" ht="33" hidden="false" customHeight="false" outlineLevel="0" collapsed="false">
      <c r="A164" s="62"/>
      <c r="B164" s="62"/>
      <c r="C164" s="62"/>
      <c r="D164" s="62"/>
      <c r="E164" s="63" t="s">
        <v>2734</v>
      </c>
      <c r="F164" s="62"/>
      <c r="G164" s="62"/>
      <c r="H164" s="63" t="s">
        <v>1291</v>
      </c>
      <c r="I164" s="62"/>
      <c r="J164" s="62"/>
      <c r="K164" s="62"/>
      <c r="L164" s="63" t="s">
        <v>2735</v>
      </c>
    </row>
    <row r="165" customFormat="false" ht="33" hidden="false" customHeight="false" outlineLevel="0" collapsed="false">
      <c r="A165" s="62"/>
      <c r="B165" s="62"/>
      <c r="C165" s="62"/>
      <c r="D165" s="62"/>
      <c r="E165" s="62" t="s">
        <v>2736</v>
      </c>
      <c r="F165" s="62"/>
      <c r="G165" s="62"/>
      <c r="H165" s="62"/>
      <c r="I165" s="62"/>
      <c r="J165" s="62"/>
      <c r="K165" s="62"/>
      <c r="L165" s="62" t="s">
        <v>2737</v>
      </c>
    </row>
    <row r="166" customFormat="false" ht="17.25" hidden="false" customHeight="false" outlineLevel="0" collapsed="false">
      <c r="A166" s="62"/>
      <c r="B166" s="62"/>
      <c r="C166" s="62"/>
      <c r="D166" s="62"/>
      <c r="E166" s="63" t="s">
        <v>237</v>
      </c>
      <c r="F166" s="62"/>
      <c r="G166" s="62"/>
      <c r="H166" s="62"/>
      <c r="I166" s="62"/>
      <c r="J166" s="62"/>
      <c r="K166" s="62"/>
      <c r="L166" s="62"/>
    </row>
    <row r="167" customFormat="false" ht="33" hidden="false" customHeight="false" outlineLevel="0" collapsed="false">
      <c r="A167" s="62"/>
      <c r="B167" s="62"/>
      <c r="C167" s="62"/>
      <c r="D167" s="62"/>
      <c r="E167" s="63" t="s">
        <v>2738</v>
      </c>
      <c r="F167" s="62"/>
      <c r="G167" s="62"/>
      <c r="H167" s="62"/>
      <c r="I167" s="62"/>
      <c r="J167" s="62"/>
      <c r="K167" s="62"/>
      <c r="L167" s="62"/>
    </row>
    <row r="168" customFormat="false" ht="33" hidden="false" customHeight="false" outlineLevel="0" collapsed="false">
      <c r="A168" s="62"/>
      <c r="B168" s="62"/>
      <c r="C168" s="62"/>
      <c r="D168" s="62"/>
      <c r="E168" s="63" t="s">
        <v>2395</v>
      </c>
      <c r="F168" s="62"/>
      <c r="G168" s="62"/>
      <c r="H168" s="62"/>
      <c r="I168" s="62"/>
      <c r="J168" s="62"/>
      <c r="K168" s="62"/>
      <c r="L168" s="62"/>
    </row>
    <row r="169" customFormat="false" ht="33" hidden="false" customHeight="false" outlineLevel="0" collapsed="false">
      <c r="A169" s="62"/>
      <c r="B169" s="62"/>
      <c r="C169" s="62"/>
      <c r="D169" s="62"/>
      <c r="E169" s="63" t="s">
        <v>2739</v>
      </c>
      <c r="F169" s="62"/>
      <c r="G169" s="62"/>
      <c r="H169" s="62"/>
      <c r="I169" s="62"/>
      <c r="J169" s="62"/>
      <c r="K169" s="62"/>
      <c r="L169" s="62"/>
    </row>
    <row r="170" customFormat="false" ht="33" hidden="false" customHeight="false" outlineLevel="0" collapsed="false">
      <c r="A170" s="62"/>
      <c r="B170" s="62"/>
      <c r="C170" s="62"/>
      <c r="D170" s="62"/>
      <c r="E170" s="63" t="s">
        <v>2740</v>
      </c>
      <c r="F170" s="62"/>
      <c r="G170" s="62"/>
      <c r="H170" s="62"/>
      <c r="I170" s="62"/>
      <c r="J170" s="62"/>
      <c r="K170" s="62"/>
      <c r="L170" s="62"/>
    </row>
    <row r="171" customFormat="false" ht="33" hidden="false" customHeight="false" outlineLevel="0" collapsed="false">
      <c r="A171" s="62"/>
      <c r="B171" s="62"/>
      <c r="C171" s="62"/>
      <c r="D171" s="62"/>
      <c r="E171" s="63" t="s">
        <v>917</v>
      </c>
      <c r="F171" s="62"/>
      <c r="G171" s="62"/>
      <c r="H171" s="62"/>
      <c r="I171" s="62"/>
      <c r="J171" s="62"/>
      <c r="K171" s="62"/>
      <c r="L171" s="62"/>
    </row>
    <row r="172" customFormat="false" ht="33" hidden="false" customHeight="false" outlineLevel="0" collapsed="false">
      <c r="A172" s="62"/>
      <c r="B172" s="62"/>
      <c r="C172" s="62"/>
      <c r="D172" s="62"/>
      <c r="E172" s="62" t="s">
        <v>2736</v>
      </c>
      <c r="F172" s="62"/>
      <c r="G172" s="62"/>
      <c r="H172" s="62"/>
      <c r="I172" s="62"/>
      <c r="J172" s="62"/>
      <c r="K172" s="62"/>
      <c r="L172" s="62"/>
    </row>
    <row r="173" customFormat="false" ht="33" hidden="false" customHeight="false" outlineLevel="0" collapsed="false">
      <c r="A173" s="62"/>
      <c r="B173" s="62"/>
      <c r="C173" s="62"/>
      <c r="D173" s="62"/>
      <c r="E173" s="63" t="s">
        <v>289</v>
      </c>
      <c r="F173" s="62"/>
      <c r="G173" s="62"/>
      <c r="H173" s="62"/>
      <c r="I173" s="62"/>
      <c r="J173" s="62"/>
      <c r="K173" s="62"/>
      <c r="L173" s="62"/>
    </row>
    <row r="174" customFormat="false" ht="17.25" hidden="false" customHeight="false" outlineLevel="0" collapsed="false">
      <c r="A174" s="62"/>
      <c r="B174" s="62"/>
      <c r="C174" s="62"/>
      <c r="D174" s="62"/>
      <c r="E174" s="63" t="s">
        <v>2431</v>
      </c>
      <c r="F174" s="62"/>
      <c r="G174" s="62"/>
      <c r="H174" s="62"/>
      <c r="I174" s="62"/>
      <c r="J174" s="62"/>
      <c r="K174" s="62"/>
      <c r="L174" s="62"/>
    </row>
    <row r="175" customFormat="false" ht="17.25" hidden="false" customHeight="false" outlineLevel="0" collapsed="false">
      <c r="A175" s="62"/>
      <c r="B175" s="62"/>
      <c r="C175" s="62"/>
      <c r="D175" s="62"/>
      <c r="E175" s="63" t="s">
        <v>2741</v>
      </c>
      <c r="F175" s="62"/>
      <c r="G175" s="62"/>
      <c r="H175" s="62"/>
      <c r="I175" s="62"/>
      <c r="J175" s="62"/>
      <c r="K175" s="62"/>
      <c r="L175" s="62"/>
    </row>
    <row r="176" customFormat="false" ht="33" hidden="false" customHeight="false" outlineLevel="0" collapsed="false">
      <c r="A176" s="62"/>
      <c r="B176" s="62"/>
      <c r="C176" s="62"/>
      <c r="D176" s="62"/>
      <c r="E176" s="63" t="s">
        <v>2742</v>
      </c>
      <c r="F176" s="62"/>
      <c r="G176" s="62"/>
      <c r="H176" s="62"/>
      <c r="I176" s="62"/>
      <c r="J176" s="62"/>
      <c r="K176" s="62"/>
      <c r="L176" s="62"/>
    </row>
    <row r="177" customFormat="false" ht="48.75" hidden="false" customHeight="false" outlineLevel="0" collapsed="false">
      <c r="A177" s="62"/>
      <c r="B177" s="62"/>
      <c r="C177" s="62"/>
      <c r="D177" s="62"/>
      <c r="E177" s="63" t="s">
        <v>356</v>
      </c>
      <c r="F177" s="62"/>
      <c r="G177" s="62"/>
      <c r="H177" s="62"/>
      <c r="I177" s="62"/>
      <c r="J177" s="62"/>
      <c r="K177" s="62"/>
      <c r="L177" s="62"/>
    </row>
    <row r="178" customFormat="false" ht="33" hidden="false" customHeight="false" outlineLevel="0" collapsed="false">
      <c r="A178" s="62"/>
      <c r="B178" s="62"/>
      <c r="C178" s="62"/>
      <c r="D178" s="62"/>
      <c r="E178" s="62" t="s">
        <v>2743</v>
      </c>
      <c r="F178" s="62"/>
      <c r="G178" s="62"/>
      <c r="H178" s="62"/>
      <c r="I178" s="62"/>
      <c r="J178" s="62"/>
      <c r="K178" s="62"/>
      <c r="L178" s="62"/>
    </row>
    <row r="179" customFormat="false" ht="33" hidden="false" customHeight="false" outlineLevel="0" collapsed="false">
      <c r="A179" s="62"/>
      <c r="B179" s="62"/>
      <c r="C179" s="62"/>
      <c r="D179" s="62"/>
      <c r="E179" s="63" t="s">
        <v>289</v>
      </c>
      <c r="F179" s="62"/>
      <c r="G179" s="62"/>
      <c r="H179" s="62"/>
      <c r="I179" s="62"/>
      <c r="J179" s="62"/>
      <c r="K179" s="62"/>
      <c r="L179" s="62"/>
    </row>
    <row r="180" customFormat="false" ht="17.25" hidden="false" customHeight="false" outlineLevel="0" collapsed="false">
      <c r="A180" s="62"/>
      <c r="B180" s="62"/>
      <c r="C180" s="62"/>
      <c r="D180" s="62"/>
      <c r="E180" s="63" t="s">
        <v>2304</v>
      </c>
      <c r="F180" s="62"/>
      <c r="G180" s="62"/>
      <c r="H180" s="62"/>
      <c r="I180" s="62"/>
      <c r="J180" s="62"/>
      <c r="K180" s="62"/>
      <c r="L180" s="62"/>
    </row>
    <row r="181" customFormat="false" ht="33" hidden="false" customHeight="false" outlineLevel="0" collapsed="false">
      <c r="A181" s="62"/>
      <c r="B181" s="62"/>
      <c r="C181" s="62"/>
      <c r="D181" s="62"/>
      <c r="E181" s="63" t="s">
        <v>2744</v>
      </c>
      <c r="F181" s="62"/>
      <c r="G181" s="62"/>
      <c r="H181" s="62"/>
      <c r="I181" s="62"/>
      <c r="J181" s="62"/>
      <c r="K181" s="62"/>
      <c r="L181" s="62"/>
    </row>
    <row r="182" customFormat="false" ht="33" hidden="false" customHeight="false" outlineLevel="0" collapsed="false">
      <c r="A182" s="62"/>
      <c r="B182" s="62"/>
      <c r="C182" s="62"/>
      <c r="D182" s="62"/>
      <c r="E182" s="63" t="s">
        <v>244</v>
      </c>
      <c r="F182" s="62"/>
      <c r="G182" s="62"/>
      <c r="H182" s="62"/>
      <c r="I182" s="62"/>
      <c r="J182" s="62"/>
      <c r="K182" s="62"/>
      <c r="L182" s="62"/>
    </row>
    <row r="183" customFormat="false" ht="33" hidden="false" customHeight="false" outlineLevel="0" collapsed="false">
      <c r="A183" s="62"/>
      <c r="B183" s="62"/>
      <c r="C183" s="62"/>
      <c r="D183" s="62"/>
      <c r="E183" s="62" t="s">
        <v>2736</v>
      </c>
      <c r="F183" s="62"/>
      <c r="G183" s="62"/>
      <c r="H183" s="62"/>
      <c r="I183" s="62"/>
      <c r="J183" s="62"/>
      <c r="K183" s="62"/>
      <c r="L183" s="62"/>
    </row>
    <row r="184" customFormat="false" ht="33" hidden="false" customHeight="false" outlineLevel="0" collapsed="false">
      <c r="A184" s="62"/>
      <c r="B184" s="62"/>
      <c r="C184" s="62"/>
      <c r="D184" s="62"/>
      <c r="E184" s="63" t="s">
        <v>289</v>
      </c>
      <c r="F184" s="62"/>
      <c r="G184" s="62"/>
      <c r="H184" s="62"/>
      <c r="I184" s="62"/>
      <c r="J184" s="62"/>
      <c r="K184" s="62"/>
      <c r="L184" s="62"/>
    </row>
    <row r="185" customFormat="false" ht="33" hidden="false" customHeight="false" outlineLevel="0" collapsed="false">
      <c r="A185" s="62"/>
      <c r="B185" s="62"/>
      <c r="C185" s="62"/>
      <c r="D185" s="62"/>
      <c r="E185" s="63" t="s">
        <v>2745</v>
      </c>
      <c r="F185" s="62"/>
      <c r="G185" s="62"/>
      <c r="H185" s="62"/>
      <c r="I185" s="62"/>
      <c r="J185" s="62"/>
      <c r="K185" s="62"/>
      <c r="L185" s="62"/>
    </row>
    <row r="186" customFormat="false" ht="33" hidden="false" customHeight="false" outlineLevel="0" collapsed="false">
      <c r="A186" s="62"/>
      <c r="B186" s="62"/>
      <c r="C186" s="62"/>
      <c r="D186" s="62"/>
      <c r="E186" s="62" t="s">
        <v>2746</v>
      </c>
      <c r="F186" s="62"/>
      <c r="G186" s="62"/>
      <c r="H186" s="62"/>
      <c r="I186" s="62"/>
      <c r="J186" s="62"/>
      <c r="K186" s="62"/>
      <c r="L186" s="62"/>
    </row>
    <row r="187" customFormat="false" ht="17.25" hidden="false" customHeight="false" outlineLevel="0" collapsed="false">
      <c r="A187" s="62"/>
      <c r="B187" s="62"/>
      <c r="C187" s="62"/>
      <c r="D187" s="62"/>
      <c r="E187" s="63" t="s">
        <v>237</v>
      </c>
      <c r="F187" s="62"/>
      <c r="G187" s="62"/>
      <c r="H187" s="62"/>
      <c r="I187" s="62"/>
      <c r="J187" s="62"/>
      <c r="K187" s="62"/>
      <c r="L187" s="62"/>
    </row>
    <row r="188" customFormat="false" ht="17.25" hidden="false" customHeight="false" outlineLevel="0" collapsed="false">
      <c r="A188" s="62"/>
      <c r="B188" s="62"/>
      <c r="C188" s="62"/>
      <c r="D188" s="62"/>
      <c r="E188" s="63" t="s">
        <v>909</v>
      </c>
      <c r="F188" s="62"/>
      <c r="G188" s="62"/>
      <c r="H188" s="62"/>
      <c r="I188" s="62"/>
      <c r="J188" s="62"/>
      <c r="K188" s="62"/>
      <c r="L188" s="62"/>
    </row>
    <row r="189" customFormat="false" ht="33" hidden="false" customHeight="false" outlineLevel="0" collapsed="false">
      <c r="A189" s="62"/>
      <c r="B189" s="62"/>
      <c r="C189" s="62"/>
      <c r="D189" s="62"/>
      <c r="E189" s="63" t="s">
        <v>2747</v>
      </c>
      <c r="F189" s="62"/>
      <c r="G189" s="62"/>
      <c r="H189" s="62"/>
      <c r="I189" s="62"/>
      <c r="J189" s="62"/>
      <c r="K189" s="62"/>
      <c r="L189" s="62"/>
    </row>
    <row r="190" customFormat="false" ht="33" hidden="false" customHeight="false" outlineLevel="0" collapsed="false">
      <c r="A190" s="62"/>
      <c r="B190" s="62"/>
      <c r="C190" s="62"/>
      <c r="D190" s="62"/>
      <c r="E190" s="63" t="s">
        <v>2748</v>
      </c>
      <c r="F190" s="62"/>
      <c r="G190" s="62"/>
      <c r="H190" s="62"/>
      <c r="I190" s="62"/>
      <c r="J190" s="62"/>
      <c r="K190" s="62"/>
      <c r="L190" s="62"/>
    </row>
    <row r="191" customFormat="false" ht="33" hidden="false" customHeight="false" outlineLevel="0" collapsed="false">
      <c r="A191" s="62"/>
      <c r="B191" s="62"/>
      <c r="C191" s="62"/>
      <c r="D191" s="62"/>
      <c r="E191" s="63" t="s">
        <v>2749</v>
      </c>
      <c r="F191" s="62"/>
      <c r="G191" s="62"/>
      <c r="H191" s="62"/>
      <c r="I191" s="62"/>
      <c r="J191" s="62"/>
      <c r="K191" s="62"/>
      <c r="L191" s="62"/>
    </row>
    <row r="192" customFormat="false" ht="33" hidden="false" customHeight="false" outlineLevel="0" collapsed="false">
      <c r="A192" s="62"/>
      <c r="B192" s="62"/>
      <c r="C192" s="62"/>
      <c r="D192" s="62"/>
      <c r="E192" s="62" t="s">
        <v>2750</v>
      </c>
      <c r="F192" s="62"/>
      <c r="G192" s="62"/>
      <c r="H192" s="62"/>
      <c r="I192" s="62"/>
      <c r="J192" s="62"/>
      <c r="K192" s="62"/>
      <c r="L192" s="62"/>
    </row>
    <row r="193" customFormat="false" ht="17.25" hidden="false" customHeight="false" outlineLevel="0" collapsed="false">
      <c r="A193" s="62"/>
      <c r="B193" s="62"/>
      <c r="C193" s="62"/>
      <c r="D193" s="62"/>
      <c r="E193" s="63" t="s">
        <v>951</v>
      </c>
      <c r="F193" s="62"/>
      <c r="G193" s="62"/>
      <c r="H193" s="62"/>
      <c r="I193" s="62"/>
      <c r="J193" s="62"/>
      <c r="K193" s="62"/>
      <c r="L193" s="62"/>
    </row>
    <row r="194" customFormat="false" ht="33" hidden="false" customHeight="false" outlineLevel="0" collapsed="false">
      <c r="A194" s="62"/>
      <c r="B194" s="62"/>
      <c r="C194" s="62"/>
      <c r="D194" s="62"/>
      <c r="E194" s="63" t="s">
        <v>2664</v>
      </c>
      <c r="F194" s="62"/>
      <c r="G194" s="62"/>
      <c r="H194" s="62"/>
      <c r="I194" s="62"/>
      <c r="J194" s="62"/>
      <c r="K194" s="62"/>
      <c r="L194" s="62"/>
    </row>
    <row r="195" customFormat="false" ht="33" hidden="false" customHeight="false" outlineLevel="0" collapsed="false">
      <c r="A195" s="62"/>
      <c r="B195" s="62"/>
      <c r="C195" s="62"/>
      <c r="D195" s="62"/>
      <c r="E195" s="63" t="s">
        <v>2751</v>
      </c>
      <c r="F195" s="62"/>
      <c r="G195" s="62"/>
      <c r="H195" s="62"/>
      <c r="I195" s="62"/>
      <c r="J195" s="62"/>
      <c r="K195" s="62"/>
      <c r="L195" s="62"/>
    </row>
    <row r="196" customFormat="false" ht="33" hidden="false" customHeight="false" outlineLevel="0" collapsed="false">
      <c r="A196" s="62"/>
      <c r="B196" s="62"/>
      <c r="C196" s="62"/>
      <c r="D196" s="62"/>
      <c r="E196" s="63" t="s">
        <v>2369</v>
      </c>
      <c r="F196" s="62"/>
      <c r="G196" s="62"/>
      <c r="H196" s="62"/>
      <c r="I196" s="62"/>
      <c r="J196" s="62"/>
      <c r="K196" s="62"/>
      <c r="L196" s="62"/>
    </row>
    <row r="197" customFormat="false" ht="33" hidden="false" customHeight="false" outlineLevel="0" collapsed="false">
      <c r="A197" s="62"/>
      <c r="B197" s="62"/>
      <c r="C197" s="62"/>
      <c r="D197" s="62"/>
      <c r="E197" s="62" t="s">
        <v>2752</v>
      </c>
      <c r="F197" s="62"/>
      <c r="G197" s="62"/>
      <c r="H197" s="62"/>
      <c r="I197" s="62"/>
      <c r="J197" s="62"/>
      <c r="K197" s="62"/>
      <c r="L197" s="62"/>
    </row>
    <row r="198" customFormat="false" ht="17.25" hidden="false" customHeight="false" outlineLevel="0" collapsed="false">
      <c r="A198" s="62"/>
      <c r="B198" s="62"/>
      <c r="C198" s="62"/>
      <c r="D198" s="62"/>
      <c r="E198" s="63" t="s">
        <v>951</v>
      </c>
      <c r="F198" s="62"/>
      <c r="G198" s="62"/>
      <c r="H198" s="62"/>
      <c r="I198" s="62"/>
      <c r="J198" s="62"/>
      <c r="K198" s="62"/>
      <c r="L198" s="62"/>
    </row>
    <row r="199" customFormat="false" ht="48.75" hidden="false" customHeight="false" outlineLevel="0" collapsed="false">
      <c r="A199" s="62"/>
      <c r="B199" s="62"/>
      <c r="C199" s="62"/>
      <c r="D199" s="62"/>
      <c r="E199" s="63" t="s">
        <v>2370</v>
      </c>
      <c r="F199" s="62"/>
      <c r="G199" s="62"/>
      <c r="H199" s="62"/>
      <c r="I199" s="62"/>
      <c r="J199" s="62"/>
      <c r="K199" s="62"/>
      <c r="L199" s="62"/>
    </row>
    <row r="200" customFormat="false" ht="33" hidden="false" customHeight="false" outlineLevel="0" collapsed="false">
      <c r="A200" s="62"/>
      <c r="B200" s="62"/>
      <c r="C200" s="62"/>
      <c r="D200" s="62"/>
      <c r="E200" s="63" t="s">
        <v>2753</v>
      </c>
      <c r="F200" s="62"/>
      <c r="G200" s="62"/>
      <c r="H200" s="62"/>
      <c r="I200" s="62"/>
      <c r="J200" s="62"/>
      <c r="K200" s="62"/>
      <c r="L200" s="62"/>
    </row>
    <row r="201" customFormat="false" ht="33" hidden="false" customHeight="false" outlineLevel="0" collapsed="false">
      <c r="A201" s="62"/>
      <c r="B201" s="62"/>
      <c r="C201" s="62"/>
      <c r="D201" s="62"/>
      <c r="E201" s="63" t="s">
        <v>2754</v>
      </c>
      <c r="F201" s="62"/>
      <c r="G201" s="62"/>
      <c r="H201" s="62"/>
      <c r="I201" s="62"/>
      <c r="J201" s="62"/>
      <c r="K201" s="62"/>
      <c r="L201" s="62"/>
    </row>
    <row r="202" customFormat="false" ht="33" hidden="false" customHeight="false" outlineLevel="0" collapsed="false">
      <c r="A202" s="62"/>
      <c r="B202" s="62"/>
      <c r="C202" s="62"/>
      <c r="D202" s="62"/>
      <c r="E202" s="62" t="s">
        <v>2755</v>
      </c>
      <c r="F202" s="62"/>
      <c r="G202" s="62"/>
      <c r="H202" s="62"/>
      <c r="I202" s="62"/>
      <c r="J202" s="62"/>
      <c r="K202" s="62"/>
      <c r="L202" s="62"/>
    </row>
    <row r="203" customFormat="false" ht="17.25" hidden="false" customHeight="false" outlineLevel="0" collapsed="false">
      <c r="A203" s="62"/>
      <c r="B203" s="62"/>
      <c r="C203" s="62"/>
      <c r="D203" s="62"/>
      <c r="E203" s="63" t="s">
        <v>951</v>
      </c>
      <c r="F203" s="62"/>
      <c r="G203" s="62"/>
      <c r="H203" s="62"/>
      <c r="I203" s="62"/>
      <c r="J203" s="62"/>
      <c r="K203" s="62"/>
      <c r="L203" s="62"/>
    </row>
    <row r="204" customFormat="false" ht="48.75" hidden="false" customHeight="false" outlineLevel="0" collapsed="false">
      <c r="A204" s="62"/>
      <c r="B204" s="62"/>
      <c r="C204" s="62"/>
      <c r="D204" s="62"/>
      <c r="E204" s="63" t="s">
        <v>2756</v>
      </c>
      <c r="F204" s="62"/>
      <c r="G204" s="62"/>
      <c r="H204" s="62"/>
      <c r="I204" s="62"/>
      <c r="J204" s="62"/>
      <c r="K204" s="62"/>
      <c r="L204" s="62"/>
    </row>
    <row r="205" customFormat="false" ht="48.75" hidden="false" customHeight="false" outlineLevel="0" collapsed="false">
      <c r="A205" s="62"/>
      <c r="B205" s="62"/>
      <c r="C205" s="62"/>
      <c r="D205" s="62"/>
      <c r="E205" s="63" t="s">
        <v>2757</v>
      </c>
      <c r="F205" s="62"/>
      <c r="G205" s="62"/>
      <c r="H205" s="62"/>
      <c r="I205" s="62"/>
      <c r="J205" s="62"/>
      <c r="K205" s="62"/>
      <c r="L205" s="62"/>
    </row>
    <row r="206" customFormat="false" ht="17.25" hidden="false" customHeight="false" outlineLevel="0" collapsed="false">
      <c r="A206" s="62"/>
      <c r="B206" s="62"/>
      <c r="C206" s="62"/>
      <c r="D206" s="62"/>
      <c r="E206" s="63" t="s">
        <v>2758</v>
      </c>
      <c r="F206" s="62"/>
      <c r="G206" s="62"/>
      <c r="H206" s="62"/>
      <c r="I206" s="62"/>
      <c r="J206" s="62"/>
      <c r="K206" s="62"/>
      <c r="L206" s="62"/>
    </row>
    <row r="207" customFormat="false" ht="33" hidden="false" customHeight="false" outlineLevel="0" collapsed="false">
      <c r="A207" s="62"/>
      <c r="B207" s="62"/>
      <c r="C207" s="62"/>
      <c r="D207" s="62"/>
      <c r="E207" s="62" t="s">
        <v>2759</v>
      </c>
      <c r="F207" s="62"/>
      <c r="G207" s="62"/>
      <c r="H207" s="62"/>
      <c r="I207" s="62"/>
      <c r="J207" s="62"/>
      <c r="K207" s="62"/>
      <c r="L207" s="62"/>
    </row>
    <row r="208" customFormat="false" ht="17.25" hidden="false" customHeight="false" outlineLevel="0" collapsed="false">
      <c r="A208" s="62"/>
      <c r="B208" s="62"/>
      <c r="C208" s="62"/>
      <c r="D208" s="62"/>
      <c r="E208" s="63" t="s">
        <v>233</v>
      </c>
      <c r="F208" s="62"/>
      <c r="G208" s="62"/>
      <c r="H208" s="62"/>
      <c r="I208" s="62"/>
      <c r="J208" s="62"/>
      <c r="K208" s="62"/>
      <c r="L208" s="62"/>
    </row>
    <row r="209" customFormat="false" ht="17.25" hidden="false" customHeight="false" outlineLevel="0" collapsed="false">
      <c r="A209" s="62"/>
      <c r="B209" s="62"/>
      <c r="C209" s="62"/>
      <c r="D209" s="62"/>
      <c r="E209" s="63" t="s">
        <v>951</v>
      </c>
      <c r="F209" s="62"/>
      <c r="G209" s="62"/>
      <c r="H209" s="62"/>
      <c r="I209" s="62"/>
      <c r="J209" s="62"/>
      <c r="K209" s="62"/>
      <c r="L209" s="62"/>
    </row>
    <row r="210" customFormat="false" ht="33" hidden="false" customHeight="false" outlineLevel="0" collapsed="false">
      <c r="A210" s="62"/>
      <c r="B210" s="62" t="n">
        <v>1045</v>
      </c>
      <c r="C210" s="62"/>
      <c r="D210" s="62"/>
      <c r="E210" s="63" t="s">
        <v>2577</v>
      </c>
      <c r="F210" s="62"/>
      <c r="G210" s="62" t="s">
        <v>2399</v>
      </c>
      <c r="H210" s="62"/>
      <c r="I210" s="62"/>
      <c r="J210" s="62"/>
      <c r="K210" s="62"/>
      <c r="L210" s="62"/>
    </row>
    <row r="211" customFormat="false" ht="33" hidden="false" customHeight="false" outlineLevel="0" collapsed="false">
      <c r="A211" s="62"/>
      <c r="B211" s="62"/>
      <c r="C211" s="62"/>
      <c r="D211" s="62"/>
      <c r="E211" s="63" t="s">
        <v>2452</v>
      </c>
      <c r="F211" s="62"/>
      <c r="G211" s="62" t="s">
        <v>2760</v>
      </c>
      <c r="H211" s="62" t="s">
        <v>2761</v>
      </c>
      <c r="I211" s="62"/>
      <c r="J211" s="62"/>
      <c r="K211" s="62"/>
      <c r="L211" s="62"/>
    </row>
    <row r="212" customFormat="false" ht="33" hidden="false" customHeight="false" outlineLevel="0" collapsed="false">
      <c r="A212" s="62"/>
      <c r="B212" s="62"/>
      <c r="C212" s="62"/>
      <c r="D212" s="62"/>
      <c r="E212" s="63" t="s">
        <v>2581</v>
      </c>
      <c r="F212" s="62"/>
      <c r="G212" s="62" t="s">
        <v>2762</v>
      </c>
      <c r="H212" s="62" t="s">
        <v>2111</v>
      </c>
      <c r="I212" s="62"/>
      <c r="J212" s="62"/>
      <c r="K212" s="62"/>
      <c r="L212" s="62"/>
    </row>
    <row r="213" customFormat="false" ht="33" hidden="false" customHeight="false" outlineLevel="0" collapsed="false">
      <c r="A213" s="62"/>
      <c r="B213" s="62"/>
      <c r="C213" s="62"/>
      <c r="D213" s="62"/>
      <c r="E213" s="63" t="s">
        <v>2583</v>
      </c>
      <c r="F213" s="62"/>
      <c r="G213" s="62" t="s">
        <v>2763</v>
      </c>
      <c r="H213" s="62" t="s">
        <v>2764</v>
      </c>
      <c r="I213" s="62"/>
      <c r="J213" s="62"/>
      <c r="K213" s="62"/>
      <c r="L213" s="62"/>
    </row>
    <row r="214" customFormat="false" ht="33" hidden="false" customHeight="false" outlineLevel="0" collapsed="false">
      <c r="A214" s="62"/>
      <c r="B214" s="62"/>
      <c r="C214" s="62"/>
      <c r="D214" s="62"/>
      <c r="E214" s="63" t="s">
        <v>917</v>
      </c>
      <c r="F214" s="62"/>
      <c r="G214" s="62" t="s">
        <v>267</v>
      </c>
      <c r="H214" s="62" t="s">
        <v>268</v>
      </c>
      <c r="I214" s="62"/>
      <c r="J214" s="62"/>
      <c r="K214" s="62"/>
      <c r="L214" s="62"/>
    </row>
    <row r="215" customFormat="false" ht="17.25" hidden="false" customHeight="false" outlineLevel="0" collapsed="false">
      <c r="A215" s="62"/>
      <c r="B215" s="62"/>
      <c r="C215" s="62"/>
      <c r="D215" s="62"/>
      <c r="E215" s="62" t="s">
        <v>1887</v>
      </c>
      <c r="F215" s="62"/>
      <c r="G215" s="63" t="s">
        <v>269</v>
      </c>
      <c r="H215" s="64" t="n">
        <v>40679</v>
      </c>
      <c r="I215" s="62"/>
      <c r="J215" s="62"/>
      <c r="K215" s="62"/>
      <c r="L215" s="62"/>
    </row>
    <row r="216" customFormat="false" ht="33" hidden="false" customHeight="false" outlineLevel="0" collapsed="false">
      <c r="A216" s="62"/>
      <c r="B216" s="62"/>
      <c r="C216" s="62"/>
      <c r="D216" s="62"/>
      <c r="E216" s="63" t="s">
        <v>289</v>
      </c>
      <c r="F216" s="62"/>
      <c r="G216" s="63" t="s">
        <v>270</v>
      </c>
      <c r="H216" s="62"/>
      <c r="I216" s="62"/>
      <c r="J216" s="62"/>
      <c r="K216" s="62"/>
      <c r="L216" s="62"/>
    </row>
    <row r="217" customFormat="false" ht="33" hidden="false" customHeight="false" outlineLevel="0" collapsed="false">
      <c r="A217" s="62"/>
      <c r="B217" s="62"/>
      <c r="C217" s="62"/>
      <c r="D217" s="62"/>
      <c r="E217" s="63" t="s">
        <v>2375</v>
      </c>
      <c r="F217" s="62"/>
      <c r="G217" s="62" t="s">
        <v>267</v>
      </c>
      <c r="H217" s="62"/>
      <c r="I217" s="62"/>
      <c r="J217" s="62"/>
      <c r="K217" s="62"/>
      <c r="L217" s="62"/>
    </row>
    <row r="218" customFormat="false" ht="33" hidden="false" customHeight="false" outlineLevel="0" collapsed="false">
      <c r="A218" s="62"/>
      <c r="B218" s="62"/>
      <c r="C218" s="62"/>
      <c r="D218" s="62"/>
      <c r="E218" s="63" t="s">
        <v>2592</v>
      </c>
      <c r="F218" s="62"/>
      <c r="G218" s="64" t="n">
        <v>40679</v>
      </c>
      <c r="H218" s="62"/>
      <c r="I218" s="62"/>
      <c r="J218" s="62"/>
      <c r="K218" s="62"/>
      <c r="L218" s="62"/>
    </row>
    <row r="219" customFormat="false" ht="33" hidden="false" customHeight="false" outlineLevel="0" collapsed="false">
      <c r="A219" s="62"/>
      <c r="B219" s="62"/>
      <c r="C219" s="62"/>
      <c r="D219" s="62"/>
      <c r="E219" s="63" t="s">
        <v>2745</v>
      </c>
      <c r="F219" s="62"/>
      <c r="G219" s="62" t="s">
        <v>267</v>
      </c>
      <c r="H219" s="62"/>
      <c r="I219" s="62"/>
      <c r="J219" s="62"/>
      <c r="K219" s="62"/>
      <c r="L219" s="62"/>
    </row>
    <row r="220" customFormat="false" ht="48.75" hidden="false" customHeight="false" outlineLevel="0" collapsed="false">
      <c r="A220" s="62"/>
      <c r="B220" s="62"/>
      <c r="C220" s="62"/>
      <c r="D220" s="62"/>
      <c r="E220" s="63" t="s">
        <v>356</v>
      </c>
      <c r="F220" s="62"/>
      <c r="G220" s="62" t="s">
        <v>2761</v>
      </c>
      <c r="H220" s="62"/>
      <c r="I220" s="62"/>
      <c r="J220" s="62"/>
      <c r="K220" s="62"/>
      <c r="L220" s="62"/>
    </row>
    <row r="221" customFormat="false" ht="33" hidden="false" customHeight="false" outlineLevel="0" collapsed="false">
      <c r="A221" s="62"/>
      <c r="B221" s="62"/>
      <c r="C221" s="62"/>
      <c r="D221" s="62"/>
      <c r="E221" s="62" t="s">
        <v>2602</v>
      </c>
      <c r="F221" s="62"/>
      <c r="G221" s="62" t="s">
        <v>2765</v>
      </c>
      <c r="H221" s="62"/>
      <c r="I221" s="62"/>
      <c r="J221" s="62"/>
      <c r="K221" s="62"/>
      <c r="L221" s="62"/>
    </row>
    <row r="222" customFormat="false" ht="33" hidden="false" customHeight="false" outlineLevel="0" collapsed="false">
      <c r="A222" s="62"/>
      <c r="B222" s="62"/>
      <c r="C222" s="62"/>
      <c r="D222" s="62"/>
      <c r="E222" s="63" t="s">
        <v>289</v>
      </c>
      <c r="F222" s="62"/>
      <c r="G222" s="62"/>
      <c r="H222" s="62"/>
      <c r="I222" s="62"/>
      <c r="J222" s="62"/>
      <c r="K222" s="62"/>
      <c r="L222" s="62"/>
    </row>
    <row r="223" customFormat="false" ht="17.25" hidden="false" customHeight="false" outlineLevel="0" collapsed="false">
      <c r="A223" s="62"/>
      <c r="B223" s="62"/>
      <c r="C223" s="62"/>
      <c r="D223" s="62"/>
      <c r="E223" s="63" t="s">
        <v>909</v>
      </c>
      <c r="F223" s="62"/>
      <c r="G223" s="62"/>
      <c r="H223" s="62"/>
      <c r="I223" s="62"/>
      <c r="J223" s="62"/>
      <c r="K223" s="62"/>
      <c r="L223" s="62"/>
    </row>
    <row r="224" customFormat="false" ht="33" hidden="false" customHeight="false" outlineLevel="0" collapsed="false">
      <c r="A224" s="62"/>
      <c r="B224" s="62"/>
      <c r="C224" s="62"/>
      <c r="D224" s="62"/>
      <c r="E224" s="63" t="s">
        <v>2766</v>
      </c>
      <c r="F224" s="62"/>
      <c r="G224" s="62"/>
      <c r="H224" s="62"/>
      <c r="I224" s="62"/>
      <c r="J224" s="62"/>
      <c r="K224" s="62"/>
      <c r="L224" s="62"/>
    </row>
    <row r="225" customFormat="false" ht="48.75" hidden="false" customHeight="false" outlineLevel="0" collapsed="false">
      <c r="A225" s="62"/>
      <c r="B225" s="62"/>
      <c r="C225" s="62"/>
      <c r="D225" s="62"/>
      <c r="E225" s="63" t="s">
        <v>2767</v>
      </c>
      <c r="F225" s="62"/>
      <c r="G225" s="62"/>
      <c r="H225" s="62"/>
      <c r="I225" s="62"/>
      <c r="J225" s="62"/>
      <c r="K225" s="62"/>
      <c r="L225" s="62"/>
    </row>
    <row r="226" customFormat="false" ht="33" hidden="false" customHeight="false" outlineLevel="0" collapsed="false">
      <c r="A226" s="62"/>
      <c r="B226" s="62"/>
      <c r="C226" s="62"/>
      <c r="D226" s="62"/>
      <c r="E226" s="63" t="s">
        <v>2768</v>
      </c>
      <c r="F226" s="62"/>
      <c r="G226" s="62"/>
      <c r="H226" s="62"/>
      <c r="I226" s="62"/>
      <c r="J226" s="62"/>
      <c r="K226" s="62"/>
      <c r="L226" s="62"/>
    </row>
    <row r="227" customFormat="false" ht="33" hidden="false" customHeight="false" outlineLevel="0" collapsed="false">
      <c r="A227" s="62"/>
      <c r="B227" s="62"/>
      <c r="C227" s="62"/>
      <c r="D227" s="62"/>
      <c r="E227" s="63" t="s">
        <v>2769</v>
      </c>
      <c r="F227" s="62"/>
      <c r="G227" s="62"/>
      <c r="H227" s="62"/>
      <c r="I227" s="62"/>
      <c r="J227" s="62"/>
      <c r="K227" s="62"/>
      <c r="L227" s="62"/>
    </row>
    <row r="228" customFormat="false" ht="33" hidden="false" customHeight="false" outlineLevel="0" collapsed="false">
      <c r="A228" s="62"/>
      <c r="B228" s="62"/>
      <c r="C228" s="62"/>
      <c r="D228" s="62"/>
      <c r="E228" s="63" t="s">
        <v>244</v>
      </c>
      <c r="F228" s="62"/>
      <c r="G228" s="62"/>
      <c r="H228" s="62"/>
      <c r="I228" s="62"/>
      <c r="J228" s="62"/>
      <c r="K228" s="62"/>
      <c r="L228" s="62"/>
    </row>
    <row r="229" customFormat="false" ht="17.25" hidden="false" customHeight="false" outlineLevel="0" collapsed="false">
      <c r="A229" s="62"/>
      <c r="B229" s="62"/>
      <c r="C229" s="62"/>
      <c r="D229" s="62"/>
      <c r="E229" s="62" t="s">
        <v>2602</v>
      </c>
      <c r="F229" s="62"/>
      <c r="G229" s="62"/>
      <c r="H229" s="62"/>
      <c r="I229" s="62"/>
      <c r="J229" s="62"/>
      <c r="K229" s="62"/>
      <c r="L229" s="62"/>
    </row>
    <row r="230" customFormat="false" ht="33" hidden="false" customHeight="false" outlineLevel="0" collapsed="false">
      <c r="A230" s="62"/>
      <c r="B230" s="62"/>
      <c r="C230" s="62"/>
      <c r="D230" s="62"/>
      <c r="E230" s="63" t="s">
        <v>919</v>
      </c>
      <c r="F230" s="62"/>
      <c r="G230" s="62"/>
      <c r="H230" s="62"/>
      <c r="I230" s="62"/>
      <c r="J230" s="62"/>
      <c r="K230" s="62"/>
      <c r="L230" s="62"/>
    </row>
    <row r="231" customFormat="false" ht="48.75" hidden="false" customHeight="false" outlineLevel="0" collapsed="false">
      <c r="A231" s="62"/>
      <c r="B231" s="62"/>
      <c r="C231" s="62"/>
      <c r="D231" s="62"/>
      <c r="E231" s="63" t="s">
        <v>2770</v>
      </c>
      <c r="F231" s="62"/>
      <c r="G231" s="62"/>
      <c r="H231" s="62"/>
      <c r="I231" s="62"/>
      <c r="J231" s="62"/>
      <c r="K231" s="62"/>
      <c r="L231" s="62"/>
    </row>
    <row r="232" customFormat="false" ht="33" hidden="false" customHeight="false" outlineLevel="0" collapsed="false">
      <c r="A232" s="62"/>
      <c r="B232" s="62"/>
      <c r="C232" s="62"/>
      <c r="D232" s="62"/>
      <c r="E232" s="63" t="s">
        <v>2768</v>
      </c>
      <c r="F232" s="62"/>
      <c r="G232" s="62"/>
      <c r="H232" s="62"/>
      <c r="I232" s="62"/>
      <c r="J232" s="62"/>
      <c r="K232" s="62"/>
      <c r="L232" s="62"/>
    </row>
    <row r="233" customFormat="false" ht="33" hidden="false" customHeight="false" outlineLevel="0" collapsed="false">
      <c r="A233" s="62"/>
      <c r="B233" s="62"/>
      <c r="C233" s="62"/>
      <c r="D233" s="62"/>
      <c r="E233" s="63" t="s">
        <v>2769</v>
      </c>
      <c r="F233" s="62"/>
      <c r="G233" s="62"/>
      <c r="H233" s="62"/>
      <c r="I233" s="62"/>
      <c r="J233" s="62"/>
      <c r="K233" s="62"/>
      <c r="L233" s="62"/>
    </row>
    <row r="234" customFormat="false" ht="17.25" hidden="false" customHeight="false" outlineLevel="0" collapsed="false">
      <c r="A234" s="62"/>
      <c r="B234" s="62"/>
      <c r="C234" s="62"/>
      <c r="D234" s="62"/>
      <c r="E234" s="62" t="s">
        <v>2312</v>
      </c>
      <c r="F234" s="62"/>
      <c r="G234" s="62"/>
      <c r="H234" s="62"/>
      <c r="I234" s="62"/>
      <c r="J234" s="62"/>
      <c r="K234" s="62"/>
      <c r="L234" s="62"/>
    </row>
    <row r="235" customFormat="false" ht="17.25" hidden="false" customHeight="false" outlineLevel="0" collapsed="false">
      <c r="A235" s="62"/>
      <c r="B235" s="62"/>
      <c r="C235" s="62"/>
      <c r="D235" s="62"/>
      <c r="E235" s="63" t="s">
        <v>951</v>
      </c>
      <c r="F235" s="62"/>
      <c r="G235" s="62"/>
      <c r="H235" s="62"/>
      <c r="I235" s="62"/>
      <c r="J235" s="62"/>
      <c r="K235" s="62"/>
      <c r="L235" s="62"/>
    </row>
    <row r="236" customFormat="false" ht="48.75" hidden="false" customHeight="false" outlineLevel="0" collapsed="false">
      <c r="A236" s="62"/>
      <c r="B236" s="62"/>
      <c r="C236" s="62"/>
      <c r="D236" s="62"/>
      <c r="E236" s="63" t="s">
        <v>2771</v>
      </c>
      <c r="F236" s="62"/>
      <c r="G236" s="62"/>
      <c r="H236" s="62"/>
      <c r="I236" s="62"/>
      <c r="J236" s="62"/>
      <c r="K236" s="62"/>
      <c r="L236" s="62"/>
    </row>
    <row r="237" customFormat="false" ht="48.75" hidden="false" customHeight="false" outlineLevel="0" collapsed="false">
      <c r="A237" s="62"/>
      <c r="B237" s="62"/>
      <c r="C237" s="62"/>
      <c r="D237" s="62"/>
      <c r="E237" s="63" t="s">
        <v>2772</v>
      </c>
      <c r="F237" s="62"/>
      <c r="G237" s="62"/>
      <c r="H237" s="62"/>
      <c r="I237" s="62"/>
      <c r="J237" s="62"/>
      <c r="K237" s="62"/>
      <c r="L237" s="62"/>
    </row>
    <row r="238" customFormat="false" ht="33" hidden="false" customHeight="false" outlineLevel="0" collapsed="false">
      <c r="A238" s="62"/>
      <c r="B238" s="62"/>
      <c r="C238" s="62"/>
      <c r="D238" s="62"/>
      <c r="E238" s="63" t="s">
        <v>947</v>
      </c>
      <c r="F238" s="62"/>
      <c r="G238" s="62"/>
      <c r="H238" s="62"/>
      <c r="I238" s="62"/>
      <c r="J238" s="62"/>
      <c r="K238" s="62"/>
      <c r="L238" s="62"/>
    </row>
    <row r="239" customFormat="false" ht="17.25" hidden="false" customHeight="false" outlineLevel="0" collapsed="false">
      <c r="A239" s="62"/>
      <c r="B239" s="62"/>
      <c r="C239" s="62"/>
      <c r="D239" s="62"/>
      <c r="E239" s="62" t="s">
        <v>2312</v>
      </c>
      <c r="F239" s="62"/>
      <c r="G239" s="62"/>
      <c r="H239" s="62"/>
      <c r="I239" s="62"/>
      <c r="J239" s="62"/>
      <c r="K239" s="62"/>
      <c r="L239" s="62"/>
    </row>
    <row r="240" customFormat="false" ht="17.25" hidden="false" customHeight="false" outlineLevel="0" collapsed="false">
      <c r="A240" s="62"/>
      <c r="B240" s="62"/>
      <c r="C240" s="62"/>
      <c r="D240" s="62"/>
      <c r="E240" s="63" t="s">
        <v>233</v>
      </c>
      <c r="F240" s="62"/>
      <c r="G240" s="62"/>
      <c r="H240" s="62"/>
      <c r="I240" s="62"/>
      <c r="J240" s="62"/>
      <c r="K240" s="62"/>
      <c r="L240" s="62"/>
    </row>
    <row r="241" customFormat="false" ht="17.25" hidden="false" customHeight="false" outlineLevel="0" collapsed="false">
      <c r="A241" s="62"/>
      <c r="B241" s="62"/>
      <c r="C241" s="62"/>
      <c r="D241" s="62"/>
      <c r="E241" s="63" t="s">
        <v>951</v>
      </c>
      <c r="F241" s="62"/>
      <c r="G241" s="62"/>
      <c r="H241" s="62"/>
      <c r="I241" s="62"/>
      <c r="J241" s="62"/>
      <c r="K241" s="62"/>
      <c r="L241" s="62"/>
    </row>
    <row r="242" customFormat="false" ht="33" hidden="false" customHeight="false" outlineLevel="0" collapsed="false">
      <c r="A242" s="62"/>
      <c r="B242" s="62" t="n">
        <v>1046</v>
      </c>
      <c r="C242" s="62"/>
      <c r="D242" s="62"/>
      <c r="E242" s="63" t="s">
        <v>2577</v>
      </c>
      <c r="F242" s="62"/>
      <c r="G242" s="62" t="s">
        <v>2399</v>
      </c>
      <c r="H242" s="62"/>
      <c r="I242" s="62"/>
      <c r="J242" s="62"/>
      <c r="K242" s="62"/>
      <c r="L242" s="62" t="s">
        <v>2773</v>
      </c>
    </row>
    <row r="243" customFormat="false" ht="33" hidden="false" customHeight="false" outlineLevel="0" collapsed="false">
      <c r="A243" s="62"/>
      <c r="B243" s="62"/>
      <c r="C243" s="62"/>
      <c r="D243" s="62"/>
      <c r="E243" s="63" t="s">
        <v>2452</v>
      </c>
      <c r="F243" s="62"/>
      <c r="G243" s="62" t="s">
        <v>1463</v>
      </c>
      <c r="H243" s="62" t="s">
        <v>1915</v>
      </c>
      <c r="I243" s="62"/>
      <c r="J243" s="62"/>
      <c r="K243" s="62"/>
      <c r="L243" s="62" t="s">
        <v>2774</v>
      </c>
    </row>
    <row r="244" customFormat="false" ht="33" hidden="false" customHeight="false" outlineLevel="0" collapsed="false">
      <c r="A244" s="62"/>
      <c r="B244" s="62"/>
      <c r="C244" s="62"/>
      <c r="D244" s="62"/>
      <c r="E244" s="63" t="s">
        <v>2581</v>
      </c>
      <c r="F244" s="62"/>
      <c r="G244" s="62" t="s">
        <v>2775</v>
      </c>
      <c r="H244" s="62" t="s">
        <v>2776</v>
      </c>
      <c r="I244" s="62"/>
      <c r="J244" s="62"/>
      <c r="K244" s="62"/>
      <c r="L244" s="62"/>
    </row>
    <row r="245" customFormat="false" ht="33" hidden="false" customHeight="false" outlineLevel="0" collapsed="false">
      <c r="A245" s="62"/>
      <c r="B245" s="62"/>
      <c r="C245" s="62"/>
      <c r="D245" s="62"/>
      <c r="E245" s="63" t="s">
        <v>2583</v>
      </c>
      <c r="F245" s="62"/>
      <c r="G245" s="62" t="s">
        <v>267</v>
      </c>
      <c r="H245" s="62" t="s">
        <v>268</v>
      </c>
      <c r="I245" s="62"/>
      <c r="J245" s="62"/>
      <c r="K245" s="62"/>
      <c r="L245" s="62"/>
    </row>
    <row r="246" customFormat="false" ht="33" hidden="false" customHeight="false" outlineLevel="0" collapsed="false">
      <c r="A246" s="62"/>
      <c r="B246" s="62"/>
      <c r="C246" s="62"/>
      <c r="D246" s="62"/>
      <c r="E246" s="63" t="s">
        <v>917</v>
      </c>
      <c r="F246" s="62"/>
      <c r="G246" s="63" t="s">
        <v>320</v>
      </c>
      <c r="H246" s="64" t="n">
        <v>40756</v>
      </c>
      <c r="I246" s="62"/>
      <c r="J246" s="62"/>
      <c r="K246" s="62"/>
      <c r="L246" s="62"/>
    </row>
    <row r="247" customFormat="false" ht="33" hidden="false" customHeight="false" outlineLevel="0" collapsed="false">
      <c r="A247" s="62"/>
      <c r="B247" s="62"/>
      <c r="C247" s="62"/>
      <c r="D247" s="62"/>
      <c r="E247" s="62" t="s">
        <v>1887</v>
      </c>
      <c r="F247" s="62"/>
      <c r="G247" s="63" t="s">
        <v>270</v>
      </c>
      <c r="H247" s="62"/>
      <c r="I247" s="62"/>
      <c r="J247" s="62"/>
      <c r="K247" s="62"/>
      <c r="L247" s="62"/>
    </row>
    <row r="248" customFormat="false" ht="33" hidden="false" customHeight="false" outlineLevel="0" collapsed="false">
      <c r="A248" s="62"/>
      <c r="B248" s="62"/>
      <c r="C248" s="62"/>
      <c r="D248" s="62"/>
      <c r="E248" s="63" t="s">
        <v>289</v>
      </c>
      <c r="F248" s="62"/>
      <c r="G248" s="62" t="s">
        <v>267</v>
      </c>
      <c r="H248" s="62"/>
      <c r="I248" s="62"/>
      <c r="J248" s="62"/>
      <c r="K248" s="62"/>
      <c r="L248" s="62"/>
    </row>
    <row r="249" customFormat="false" ht="33" hidden="false" customHeight="false" outlineLevel="0" collapsed="false">
      <c r="A249" s="62"/>
      <c r="B249" s="62"/>
      <c r="C249" s="62"/>
      <c r="D249" s="62"/>
      <c r="E249" s="63" t="s">
        <v>2596</v>
      </c>
      <c r="F249" s="62"/>
      <c r="G249" s="64" t="n">
        <v>40756</v>
      </c>
      <c r="H249" s="62"/>
      <c r="I249" s="62"/>
      <c r="J249" s="62"/>
      <c r="K249" s="62"/>
      <c r="L249" s="62"/>
    </row>
    <row r="250" customFormat="false" ht="33" hidden="false" customHeight="false" outlineLevel="0" collapsed="false">
      <c r="A250" s="62"/>
      <c r="B250" s="62"/>
      <c r="C250" s="62"/>
      <c r="D250" s="62"/>
      <c r="E250" s="63" t="s">
        <v>2592</v>
      </c>
      <c r="F250" s="62"/>
      <c r="G250" s="62" t="s">
        <v>267</v>
      </c>
      <c r="H250" s="62"/>
      <c r="I250" s="62"/>
      <c r="J250" s="62"/>
      <c r="K250" s="62"/>
      <c r="L250" s="62"/>
    </row>
    <row r="251" customFormat="false" ht="33" hidden="false" customHeight="false" outlineLevel="0" collapsed="false">
      <c r="A251" s="62"/>
      <c r="B251" s="62"/>
      <c r="C251" s="62"/>
      <c r="D251" s="62"/>
      <c r="E251" s="63" t="s">
        <v>2744</v>
      </c>
      <c r="F251" s="62"/>
      <c r="G251" s="62" t="s">
        <v>2777</v>
      </c>
      <c r="H251" s="62"/>
      <c r="I251" s="62"/>
      <c r="J251" s="62"/>
      <c r="K251" s="62"/>
      <c r="L251" s="62"/>
    </row>
    <row r="252" customFormat="false" ht="48.75" hidden="false" customHeight="false" outlineLevel="0" collapsed="false">
      <c r="A252" s="62"/>
      <c r="B252" s="62"/>
      <c r="C252" s="62"/>
      <c r="D252" s="62"/>
      <c r="E252" s="63" t="s">
        <v>356</v>
      </c>
      <c r="F252" s="62"/>
      <c r="G252" s="62"/>
      <c r="H252" s="62"/>
      <c r="I252" s="62"/>
      <c r="J252" s="62"/>
      <c r="K252" s="62"/>
      <c r="L252" s="62"/>
    </row>
    <row r="253" customFormat="false" ht="17.25" hidden="false" customHeight="false" outlineLevel="0" collapsed="false">
      <c r="A253" s="62"/>
      <c r="B253" s="62"/>
      <c r="C253" s="62"/>
      <c r="D253" s="62"/>
      <c r="E253" s="62" t="s">
        <v>2602</v>
      </c>
      <c r="F253" s="62"/>
      <c r="G253" s="62"/>
      <c r="H253" s="62"/>
      <c r="I253" s="62"/>
      <c r="J253" s="62"/>
      <c r="K253" s="62"/>
      <c r="L253" s="62"/>
    </row>
    <row r="254" customFormat="false" ht="33" hidden="false" customHeight="false" outlineLevel="0" collapsed="false">
      <c r="A254" s="62"/>
      <c r="B254" s="62"/>
      <c r="C254" s="62"/>
      <c r="D254" s="62"/>
      <c r="E254" s="63" t="s">
        <v>289</v>
      </c>
      <c r="F254" s="62"/>
      <c r="G254" s="62"/>
      <c r="H254" s="62"/>
      <c r="I254" s="62"/>
      <c r="J254" s="62"/>
      <c r="K254" s="62"/>
      <c r="L254" s="62"/>
    </row>
    <row r="255" customFormat="false" ht="17.25" hidden="false" customHeight="false" outlineLevel="0" collapsed="false">
      <c r="A255" s="62"/>
      <c r="B255" s="62"/>
      <c r="C255" s="62"/>
      <c r="D255" s="62"/>
      <c r="E255" s="63" t="s">
        <v>909</v>
      </c>
      <c r="F255" s="62"/>
      <c r="G255" s="62"/>
      <c r="H255" s="62"/>
      <c r="I255" s="62"/>
      <c r="J255" s="62"/>
      <c r="K255" s="62"/>
      <c r="L255" s="62"/>
    </row>
    <row r="256" customFormat="false" ht="33" hidden="false" customHeight="false" outlineLevel="0" collapsed="false">
      <c r="A256" s="62"/>
      <c r="B256" s="62"/>
      <c r="C256" s="62"/>
      <c r="D256" s="62"/>
      <c r="E256" s="63" t="s">
        <v>2778</v>
      </c>
      <c r="F256" s="62"/>
      <c r="G256" s="62"/>
      <c r="H256" s="62"/>
      <c r="I256" s="62"/>
      <c r="J256" s="62"/>
      <c r="K256" s="62"/>
      <c r="L256" s="62"/>
    </row>
    <row r="257" customFormat="false" ht="33" hidden="false" customHeight="false" outlineLevel="0" collapsed="false">
      <c r="A257" s="62"/>
      <c r="B257" s="62"/>
      <c r="C257" s="62"/>
      <c r="D257" s="62"/>
      <c r="E257" s="63" t="s">
        <v>2779</v>
      </c>
      <c r="F257" s="62"/>
      <c r="G257" s="62"/>
      <c r="H257" s="62"/>
      <c r="I257" s="62"/>
      <c r="J257" s="62"/>
      <c r="K257" s="62"/>
      <c r="L257" s="62"/>
    </row>
    <row r="258" customFormat="false" ht="33" hidden="false" customHeight="false" outlineLevel="0" collapsed="false">
      <c r="A258" s="62"/>
      <c r="B258" s="62"/>
      <c r="C258" s="62"/>
      <c r="D258" s="62"/>
      <c r="E258" s="63" t="s">
        <v>2780</v>
      </c>
      <c r="F258" s="62"/>
      <c r="G258" s="62"/>
      <c r="H258" s="62"/>
      <c r="I258" s="62"/>
      <c r="J258" s="62"/>
      <c r="K258" s="62"/>
      <c r="L258" s="62"/>
    </row>
    <row r="259" customFormat="false" ht="33" hidden="false" customHeight="false" outlineLevel="0" collapsed="false">
      <c r="A259" s="62"/>
      <c r="B259" s="62"/>
      <c r="C259" s="62"/>
      <c r="D259" s="62"/>
      <c r="E259" s="62" t="s">
        <v>2781</v>
      </c>
      <c r="F259" s="62"/>
      <c r="G259" s="62"/>
      <c r="H259" s="62"/>
      <c r="I259" s="62"/>
      <c r="J259" s="62"/>
      <c r="K259" s="62"/>
      <c r="L259" s="62"/>
    </row>
    <row r="260" customFormat="false" ht="17.25" hidden="false" customHeight="false" outlineLevel="0" collapsed="false">
      <c r="A260" s="62"/>
      <c r="B260" s="62"/>
      <c r="C260" s="62"/>
      <c r="D260" s="62"/>
      <c r="E260" s="63" t="s">
        <v>951</v>
      </c>
      <c r="F260" s="62"/>
      <c r="G260" s="62"/>
      <c r="H260" s="62"/>
      <c r="I260" s="62"/>
      <c r="J260" s="62"/>
      <c r="K260" s="62"/>
      <c r="L260" s="62"/>
    </row>
    <row r="261" customFormat="false" ht="48.75" hidden="false" customHeight="false" outlineLevel="0" collapsed="false">
      <c r="A261" s="62"/>
      <c r="B261" s="62"/>
      <c r="C261" s="62"/>
      <c r="D261" s="62"/>
      <c r="E261" s="63" t="s">
        <v>2782</v>
      </c>
      <c r="F261" s="62"/>
      <c r="G261" s="62"/>
      <c r="H261" s="62"/>
      <c r="I261" s="62"/>
      <c r="J261" s="62"/>
      <c r="K261" s="62"/>
      <c r="L261" s="62"/>
    </row>
    <row r="262" customFormat="false" ht="33" hidden="false" customHeight="false" outlineLevel="0" collapsed="false">
      <c r="A262" s="62"/>
      <c r="B262" s="62"/>
      <c r="C262" s="62"/>
      <c r="D262" s="62"/>
      <c r="E262" s="63" t="s">
        <v>2783</v>
      </c>
      <c r="F262" s="62"/>
      <c r="G262" s="62"/>
      <c r="H262" s="62"/>
      <c r="I262" s="62"/>
      <c r="J262" s="62"/>
      <c r="K262" s="62"/>
      <c r="L262" s="62"/>
    </row>
    <row r="263" customFormat="false" ht="33" hidden="false" customHeight="false" outlineLevel="0" collapsed="false">
      <c r="A263" s="62"/>
      <c r="B263" s="62"/>
      <c r="C263" s="62"/>
      <c r="D263" s="62"/>
      <c r="E263" s="63" t="s">
        <v>1294</v>
      </c>
      <c r="F263" s="62"/>
      <c r="G263" s="62"/>
      <c r="H263" s="62"/>
      <c r="I263" s="62"/>
      <c r="J263" s="62"/>
      <c r="K263" s="62"/>
      <c r="L263" s="62"/>
    </row>
    <row r="264" customFormat="false" ht="33" hidden="false" customHeight="false" outlineLevel="0" collapsed="false">
      <c r="A264" s="62"/>
      <c r="B264" s="62"/>
      <c r="C264" s="62"/>
      <c r="D264" s="62"/>
      <c r="E264" s="62" t="s">
        <v>2784</v>
      </c>
      <c r="F264" s="62"/>
      <c r="G264" s="62"/>
      <c r="H264" s="62"/>
      <c r="I264" s="62"/>
      <c r="J264" s="62"/>
      <c r="K264" s="62"/>
      <c r="L264" s="62"/>
    </row>
    <row r="265" customFormat="false" ht="17.25" hidden="false" customHeight="false" outlineLevel="0" collapsed="false">
      <c r="A265" s="62"/>
      <c r="B265" s="62"/>
      <c r="C265" s="62"/>
      <c r="D265" s="62"/>
      <c r="E265" s="63" t="s">
        <v>951</v>
      </c>
      <c r="F265" s="62"/>
      <c r="G265" s="62"/>
      <c r="H265" s="62"/>
      <c r="I265" s="62"/>
      <c r="J265" s="62"/>
      <c r="K265" s="62"/>
      <c r="L265" s="62"/>
    </row>
    <row r="266" customFormat="false" ht="48.75" hidden="false" customHeight="false" outlineLevel="0" collapsed="false">
      <c r="A266" s="62"/>
      <c r="B266" s="62"/>
      <c r="C266" s="62"/>
      <c r="D266" s="62"/>
      <c r="E266" s="63" t="s">
        <v>2522</v>
      </c>
      <c r="F266" s="62"/>
      <c r="G266" s="62"/>
      <c r="H266" s="62"/>
      <c r="I266" s="62"/>
      <c r="J266" s="62"/>
      <c r="K266" s="62"/>
      <c r="L266" s="62"/>
    </row>
    <row r="267" customFormat="false" ht="48.75" hidden="false" customHeight="false" outlineLevel="0" collapsed="false">
      <c r="A267" s="62"/>
      <c r="B267" s="62"/>
      <c r="C267" s="62"/>
      <c r="D267" s="62"/>
      <c r="E267" s="63" t="s">
        <v>2785</v>
      </c>
      <c r="F267" s="62"/>
      <c r="G267" s="62"/>
      <c r="H267" s="62"/>
      <c r="I267" s="62"/>
      <c r="J267" s="62"/>
      <c r="K267" s="62"/>
      <c r="L267" s="62"/>
    </row>
    <row r="268" customFormat="false" ht="33" hidden="false" customHeight="false" outlineLevel="0" collapsed="false">
      <c r="A268" s="62"/>
      <c r="B268" s="62"/>
      <c r="C268" s="62"/>
      <c r="D268" s="62"/>
      <c r="E268" s="63" t="s">
        <v>2786</v>
      </c>
      <c r="F268" s="62"/>
      <c r="G268" s="62"/>
      <c r="H268" s="62"/>
      <c r="I268" s="62"/>
      <c r="J268" s="62"/>
      <c r="K268" s="62"/>
      <c r="L268" s="62"/>
    </row>
    <row r="269" customFormat="false" ht="33" hidden="false" customHeight="false" outlineLevel="0" collapsed="false">
      <c r="A269" s="62"/>
      <c r="B269" s="62"/>
      <c r="C269" s="62"/>
      <c r="D269" s="62"/>
      <c r="E269" s="62" t="s">
        <v>2787</v>
      </c>
      <c r="F269" s="62"/>
      <c r="G269" s="62"/>
      <c r="H269" s="62"/>
      <c r="I269" s="62"/>
      <c r="J269" s="62"/>
      <c r="K269" s="62"/>
      <c r="L269" s="62"/>
    </row>
    <row r="270" customFormat="false" ht="17.25" hidden="false" customHeight="false" outlineLevel="0" collapsed="false">
      <c r="A270" s="62"/>
      <c r="B270" s="62"/>
      <c r="C270" s="62"/>
      <c r="D270" s="62"/>
      <c r="E270" s="63" t="s">
        <v>233</v>
      </c>
      <c r="F270" s="62"/>
      <c r="G270" s="62"/>
      <c r="H270" s="62"/>
      <c r="I270" s="62"/>
      <c r="J270" s="62"/>
      <c r="K270" s="62"/>
      <c r="L270" s="62"/>
    </row>
    <row r="271" customFormat="false" ht="17.25" hidden="false" customHeight="false" outlineLevel="0" collapsed="false">
      <c r="A271" s="62"/>
      <c r="B271" s="62"/>
      <c r="C271" s="62"/>
      <c r="D271" s="62"/>
      <c r="E271" s="63" t="s">
        <v>951</v>
      </c>
      <c r="F271" s="62"/>
      <c r="G271" s="62"/>
      <c r="H271" s="62"/>
      <c r="I271" s="62"/>
      <c r="J271" s="62"/>
      <c r="K271" s="62"/>
      <c r="L271" s="62"/>
    </row>
    <row r="272" customFormat="false" ht="33" hidden="false" customHeight="false" outlineLevel="0" collapsed="false">
      <c r="A272" s="62"/>
      <c r="B272" s="62" t="n">
        <v>1047</v>
      </c>
      <c r="C272" s="62"/>
      <c r="D272" s="62"/>
      <c r="E272" s="63" t="s">
        <v>2577</v>
      </c>
      <c r="F272" s="62"/>
      <c r="G272" s="62" t="s">
        <v>2399</v>
      </c>
      <c r="H272" s="62"/>
      <c r="I272" s="62"/>
      <c r="J272" s="62"/>
      <c r="K272" s="62"/>
      <c r="L272" s="62" t="s">
        <v>2727</v>
      </c>
    </row>
    <row r="273" customFormat="false" ht="33" hidden="false" customHeight="false" outlineLevel="0" collapsed="false">
      <c r="A273" s="62"/>
      <c r="B273" s="62"/>
      <c r="C273" s="62"/>
      <c r="D273" s="62"/>
      <c r="E273" s="63" t="s">
        <v>2452</v>
      </c>
      <c r="F273" s="62"/>
      <c r="G273" s="62" t="s">
        <v>2788</v>
      </c>
      <c r="H273" s="62" t="s">
        <v>804</v>
      </c>
      <c r="I273" s="62"/>
      <c r="J273" s="62"/>
      <c r="K273" s="62"/>
      <c r="L273" s="62"/>
    </row>
    <row r="274" customFormat="false" ht="33" hidden="false" customHeight="false" outlineLevel="0" collapsed="false">
      <c r="A274" s="62"/>
      <c r="B274" s="62"/>
      <c r="C274" s="62"/>
      <c r="D274" s="62"/>
      <c r="E274" s="63" t="s">
        <v>2581</v>
      </c>
      <c r="F274" s="62"/>
      <c r="G274" s="62"/>
      <c r="H274" s="62"/>
      <c r="I274" s="62"/>
      <c r="J274" s="62"/>
      <c r="K274" s="62"/>
      <c r="L274" s="62"/>
    </row>
    <row r="275" customFormat="false" ht="17.25" hidden="false" customHeight="false" outlineLevel="0" collapsed="false">
      <c r="A275" s="62"/>
      <c r="B275" s="62"/>
      <c r="C275" s="62"/>
      <c r="D275" s="62"/>
      <c r="E275" s="63" t="s">
        <v>2583</v>
      </c>
      <c r="F275" s="62"/>
      <c r="G275" s="62"/>
      <c r="H275" s="62"/>
      <c r="I275" s="62"/>
      <c r="J275" s="62"/>
      <c r="K275" s="62"/>
      <c r="L275" s="62"/>
    </row>
    <row r="276" customFormat="false" ht="33" hidden="false" customHeight="false" outlineLevel="0" collapsed="false">
      <c r="A276" s="62"/>
      <c r="B276" s="62"/>
      <c r="C276" s="62"/>
      <c r="D276" s="62"/>
      <c r="E276" s="63" t="s">
        <v>917</v>
      </c>
      <c r="F276" s="62"/>
      <c r="G276" s="62"/>
      <c r="H276" s="62"/>
      <c r="I276" s="62"/>
      <c r="J276" s="62"/>
      <c r="K276" s="62"/>
      <c r="L276" s="62"/>
    </row>
    <row r="277" customFormat="false" ht="17.25" hidden="false" customHeight="false" outlineLevel="0" collapsed="false">
      <c r="A277" s="62"/>
      <c r="B277" s="62"/>
      <c r="C277" s="62"/>
      <c r="D277" s="62"/>
      <c r="E277" s="62" t="s">
        <v>1887</v>
      </c>
      <c r="F277" s="62"/>
      <c r="G277" s="62"/>
      <c r="H277" s="62"/>
      <c r="I277" s="62"/>
      <c r="J277" s="62"/>
      <c r="K277" s="62"/>
      <c r="L277" s="62"/>
    </row>
    <row r="278" customFormat="false" ht="33" hidden="false" customHeight="false" outlineLevel="0" collapsed="false">
      <c r="A278" s="62"/>
      <c r="B278" s="62"/>
      <c r="C278" s="62"/>
      <c r="D278" s="62"/>
      <c r="E278" s="63" t="s">
        <v>289</v>
      </c>
      <c r="F278" s="62"/>
      <c r="G278" s="62"/>
      <c r="H278" s="62"/>
      <c r="I278" s="62"/>
      <c r="J278" s="62"/>
      <c r="K278" s="62"/>
      <c r="L278" s="62"/>
    </row>
    <row r="279" customFormat="false" ht="33" hidden="false" customHeight="false" outlineLevel="0" collapsed="false">
      <c r="A279" s="62"/>
      <c r="B279" s="62"/>
      <c r="C279" s="62"/>
      <c r="D279" s="62"/>
      <c r="E279" s="63" t="s">
        <v>2375</v>
      </c>
      <c r="F279" s="62"/>
      <c r="G279" s="62"/>
      <c r="H279" s="62"/>
      <c r="I279" s="62"/>
      <c r="J279" s="62"/>
      <c r="K279" s="62"/>
      <c r="L279" s="62"/>
    </row>
    <row r="280" customFormat="false" ht="33" hidden="false" customHeight="false" outlineLevel="0" collapsed="false">
      <c r="A280" s="62"/>
      <c r="B280" s="62"/>
      <c r="C280" s="62"/>
      <c r="D280" s="62"/>
      <c r="E280" s="63" t="s">
        <v>2592</v>
      </c>
      <c r="F280" s="62"/>
      <c r="G280" s="62"/>
      <c r="H280" s="62"/>
      <c r="I280" s="62"/>
      <c r="J280" s="62"/>
      <c r="K280" s="62"/>
      <c r="L280" s="62"/>
    </row>
    <row r="281" customFormat="false" ht="33" hidden="false" customHeight="false" outlineLevel="0" collapsed="false">
      <c r="A281" s="62"/>
      <c r="B281" s="62"/>
      <c r="C281" s="62"/>
      <c r="D281" s="62"/>
      <c r="E281" s="63" t="s">
        <v>2745</v>
      </c>
      <c r="F281" s="62"/>
      <c r="G281" s="62"/>
      <c r="H281" s="62"/>
      <c r="I281" s="62"/>
      <c r="J281" s="62"/>
      <c r="K281" s="62"/>
      <c r="L281" s="62"/>
    </row>
    <row r="282" customFormat="false" ht="48.75" hidden="false" customHeight="false" outlineLevel="0" collapsed="false">
      <c r="A282" s="62"/>
      <c r="B282" s="62"/>
      <c r="C282" s="62"/>
      <c r="D282" s="62"/>
      <c r="E282" s="63" t="s">
        <v>356</v>
      </c>
      <c r="F282" s="62"/>
      <c r="G282" s="62"/>
      <c r="H282" s="62"/>
      <c r="I282" s="62"/>
      <c r="J282" s="62"/>
      <c r="K282" s="62"/>
      <c r="L282" s="62"/>
    </row>
    <row r="283" customFormat="false" ht="17.25" hidden="false" customHeight="false" outlineLevel="0" collapsed="false">
      <c r="A283" s="62"/>
      <c r="B283" s="62"/>
      <c r="C283" s="62"/>
      <c r="D283" s="62"/>
      <c r="E283" s="62" t="s">
        <v>2602</v>
      </c>
      <c r="F283" s="62"/>
      <c r="G283" s="62"/>
      <c r="H283" s="62"/>
      <c r="I283" s="62"/>
      <c r="J283" s="62"/>
      <c r="K283" s="62"/>
      <c r="L283" s="62"/>
    </row>
    <row r="284" customFormat="false" ht="33" hidden="false" customHeight="false" outlineLevel="0" collapsed="false">
      <c r="A284" s="62"/>
      <c r="B284" s="62"/>
      <c r="C284" s="62"/>
      <c r="D284" s="62"/>
      <c r="E284" s="63" t="s">
        <v>289</v>
      </c>
      <c r="F284" s="62"/>
      <c r="G284" s="62"/>
      <c r="H284" s="62"/>
      <c r="I284" s="62"/>
      <c r="J284" s="62"/>
      <c r="K284" s="62"/>
      <c r="L284" s="62"/>
    </row>
    <row r="285" customFormat="false" ht="17.25" hidden="false" customHeight="false" outlineLevel="0" collapsed="false">
      <c r="A285" s="62"/>
      <c r="B285" s="62"/>
      <c r="C285" s="62"/>
      <c r="D285" s="62"/>
      <c r="E285" s="63" t="s">
        <v>909</v>
      </c>
      <c r="F285" s="62"/>
      <c r="G285" s="62"/>
      <c r="H285" s="62"/>
      <c r="I285" s="62"/>
      <c r="J285" s="62"/>
      <c r="K285" s="62"/>
      <c r="L285" s="62"/>
    </row>
    <row r="286" customFormat="false" ht="33" hidden="false" customHeight="false" outlineLevel="0" collapsed="false">
      <c r="A286" s="62"/>
      <c r="B286" s="62"/>
      <c r="C286" s="62"/>
      <c r="D286" s="62"/>
      <c r="E286" s="63" t="s">
        <v>2766</v>
      </c>
      <c r="F286" s="62"/>
      <c r="G286" s="62"/>
      <c r="H286" s="62"/>
      <c r="I286" s="62"/>
      <c r="J286" s="62"/>
      <c r="K286" s="62"/>
      <c r="L286" s="62"/>
    </row>
    <row r="287" customFormat="false" ht="48.75" hidden="false" customHeight="false" outlineLevel="0" collapsed="false">
      <c r="A287" s="62"/>
      <c r="B287" s="62"/>
      <c r="C287" s="62"/>
      <c r="D287" s="62"/>
      <c r="E287" s="63" t="s">
        <v>2767</v>
      </c>
      <c r="F287" s="62"/>
      <c r="G287" s="62"/>
      <c r="H287" s="62"/>
      <c r="I287" s="62"/>
      <c r="J287" s="62"/>
      <c r="K287" s="62"/>
      <c r="L287" s="62"/>
    </row>
    <row r="288" customFormat="false" ht="33" hidden="false" customHeight="false" outlineLevel="0" collapsed="false">
      <c r="A288" s="62"/>
      <c r="B288" s="62"/>
      <c r="C288" s="62"/>
      <c r="D288" s="62"/>
      <c r="E288" s="63" t="s">
        <v>2768</v>
      </c>
      <c r="F288" s="62"/>
      <c r="G288" s="62"/>
      <c r="H288" s="62"/>
      <c r="I288" s="62"/>
      <c r="J288" s="62"/>
      <c r="K288" s="62"/>
      <c r="L288" s="62"/>
    </row>
    <row r="289" customFormat="false" ht="33" hidden="false" customHeight="false" outlineLevel="0" collapsed="false">
      <c r="A289" s="62"/>
      <c r="B289" s="62"/>
      <c r="C289" s="62"/>
      <c r="D289" s="62"/>
      <c r="E289" s="63" t="s">
        <v>2769</v>
      </c>
      <c r="F289" s="62"/>
      <c r="G289" s="62"/>
      <c r="H289" s="62"/>
      <c r="I289" s="62"/>
      <c r="J289" s="62"/>
      <c r="K289" s="62"/>
      <c r="L289" s="62"/>
    </row>
    <row r="290" customFormat="false" ht="33" hidden="false" customHeight="false" outlineLevel="0" collapsed="false">
      <c r="A290" s="62"/>
      <c r="B290" s="62"/>
      <c r="C290" s="62"/>
      <c r="D290" s="62"/>
      <c r="E290" s="63" t="s">
        <v>244</v>
      </c>
      <c r="F290" s="62"/>
      <c r="G290" s="62"/>
      <c r="H290" s="62"/>
      <c r="I290" s="62"/>
      <c r="J290" s="62"/>
      <c r="K290" s="62"/>
      <c r="L290" s="62"/>
    </row>
    <row r="291" customFormat="false" ht="33" hidden="false" customHeight="false" outlineLevel="0" collapsed="false">
      <c r="A291" s="62"/>
      <c r="B291" s="62"/>
      <c r="C291" s="62"/>
      <c r="D291" s="62"/>
      <c r="E291" s="62" t="s">
        <v>2789</v>
      </c>
      <c r="F291" s="62"/>
      <c r="G291" s="62"/>
      <c r="H291" s="62"/>
      <c r="I291" s="62"/>
      <c r="J291" s="62"/>
      <c r="K291" s="62"/>
      <c r="L291" s="62"/>
    </row>
    <row r="292" customFormat="false" ht="33" hidden="false" customHeight="false" outlineLevel="0" collapsed="false">
      <c r="A292" s="62"/>
      <c r="B292" s="62"/>
      <c r="C292" s="62"/>
      <c r="D292" s="62"/>
      <c r="E292" s="63" t="s">
        <v>919</v>
      </c>
      <c r="F292" s="62"/>
      <c r="G292" s="62"/>
      <c r="H292" s="62"/>
      <c r="I292" s="62"/>
      <c r="J292" s="62"/>
      <c r="K292" s="62"/>
      <c r="L292" s="62"/>
    </row>
    <row r="293" customFormat="false" ht="33" hidden="false" customHeight="false" outlineLevel="0" collapsed="false">
      <c r="A293" s="62"/>
      <c r="B293" s="62"/>
      <c r="C293" s="62"/>
      <c r="D293" s="62"/>
      <c r="E293" s="63" t="s">
        <v>2639</v>
      </c>
      <c r="F293" s="62"/>
      <c r="G293" s="62"/>
      <c r="H293" s="62"/>
      <c r="I293" s="62"/>
      <c r="J293" s="62"/>
      <c r="K293" s="62"/>
      <c r="L293" s="62"/>
    </row>
    <row r="294" customFormat="false" ht="33" hidden="false" customHeight="false" outlineLevel="0" collapsed="false">
      <c r="A294" s="62"/>
      <c r="B294" s="62"/>
      <c r="C294" s="62"/>
      <c r="D294" s="62"/>
      <c r="E294" s="63" t="s">
        <v>2633</v>
      </c>
      <c r="F294" s="62"/>
      <c r="G294" s="62"/>
      <c r="H294" s="62"/>
      <c r="I294" s="62"/>
      <c r="J294" s="62"/>
      <c r="K294" s="62"/>
      <c r="L294" s="62"/>
    </row>
    <row r="295" customFormat="false" ht="33" hidden="false" customHeight="false" outlineLevel="0" collapsed="false">
      <c r="A295" s="62"/>
      <c r="B295" s="62"/>
      <c r="C295" s="62"/>
      <c r="D295" s="62"/>
      <c r="E295" s="63" t="s">
        <v>2634</v>
      </c>
      <c r="F295" s="62"/>
      <c r="G295" s="62"/>
      <c r="H295" s="62"/>
      <c r="I295" s="62"/>
      <c r="J295" s="62"/>
      <c r="K295" s="62"/>
      <c r="L295" s="62"/>
    </row>
    <row r="296" customFormat="false" ht="33" hidden="false" customHeight="false" outlineLevel="0" collapsed="false">
      <c r="A296" s="62"/>
      <c r="B296" s="62"/>
      <c r="C296" s="62"/>
      <c r="D296" s="62"/>
      <c r="E296" s="62" t="s">
        <v>2790</v>
      </c>
      <c r="F296" s="62"/>
      <c r="G296" s="62"/>
      <c r="H296" s="62"/>
      <c r="I296" s="62"/>
      <c r="J296" s="62"/>
      <c r="K296" s="62"/>
      <c r="L296" s="62"/>
    </row>
    <row r="297" customFormat="false" ht="17.25" hidden="false" customHeight="false" outlineLevel="0" collapsed="false">
      <c r="A297" s="62"/>
      <c r="B297" s="62"/>
      <c r="C297" s="62"/>
      <c r="D297" s="62"/>
      <c r="E297" s="63" t="s">
        <v>951</v>
      </c>
      <c r="F297" s="62"/>
      <c r="G297" s="62"/>
      <c r="H297" s="62"/>
      <c r="I297" s="62"/>
      <c r="J297" s="62"/>
      <c r="K297" s="62"/>
      <c r="L297" s="62"/>
    </row>
    <row r="298" customFormat="false" ht="48.75" hidden="false" customHeight="false" outlineLevel="0" collapsed="false">
      <c r="A298" s="62"/>
      <c r="B298" s="62"/>
      <c r="C298" s="62"/>
      <c r="D298" s="62"/>
      <c r="E298" s="63" t="s">
        <v>2513</v>
      </c>
      <c r="F298" s="62"/>
      <c r="G298" s="62"/>
      <c r="H298" s="62"/>
      <c r="I298" s="62"/>
      <c r="J298" s="62"/>
      <c r="K298" s="62"/>
      <c r="L298" s="62"/>
    </row>
    <row r="299" customFormat="false" ht="48.75" hidden="false" customHeight="false" outlineLevel="0" collapsed="false">
      <c r="A299" s="62"/>
      <c r="B299" s="62"/>
      <c r="C299" s="62"/>
      <c r="D299" s="62"/>
      <c r="E299" s="63" t="s">
        <v>2515</v>
      </c>
      <c r="F299" s="62"/>
      <c r="G299" s="62"/>
      <c r="H299" s="62"/>
      <c r="I299" s="62"/>
      <c r="J299" s="62"/>
      <c r="K299" s="62"/>
      <c r="L299" s="62"/>
    </row>
    <row r="300" customFormat="false" ht="17.25" hidden="false" customHeight="false" outlineLevel="0" collapsed="false">
      <c r="A300" s="62"/>
      <c r="B300" s="62"/>
      <c r="C300" s="62"/>
      <c r="D300" s="62"/>
      <c r="E300" s="63" t="s">
        <v>1021</v>
      </c>
      <c r="F300" s="62"/>
      <c r="G300" s="62"/>
      <c r="H300" s="62"/>
      <c r="I300" s="62"/>
      <c r="J300" s="62"/>
      <c r="K300" s="62"/>
      <c r="L300" s="62"/>
    </row>
    <row r="301" customFormat="false" ht="33" hidden="false" customHeight="false" outlineLevel="0" collapsed="false">
      <c r="A301" s="62"/>
      <c r="B301" s="62"/>
      <c r="C301" s="62"/>
      <c r="D301" s="62"/>
      <c r="E301" s="63" t="s">
        <v>2791</v>
      </c>
      <c r="F301" s="62"/>
      <c r="G301" s="62"/>
      <c r="H301" s="62"/>
      <c r="I301" s="62"/>
      <c r="J301" s="62"/>
      <c r="K301" s="62"/>
      <c r="L301" s="62"/>
    </row>
    <row r="302" customFormat="false" ht="33" hidden="false" customHeight="false" outlineLevel="0" collapsed="false">
      <c r="A302" s="62"/>
      <c r="B302" s="62"/>
      <c r="C302" s="62"/>
      <c r="D302" s="62"/>
      <c r="E302" s="62" t="s">
        <v>2790</v>
      </c>
      <c r="F302" s="62"/>
      <c r="G302" s="62"/>
      <c r="H302" s="62"/>
      <c r="I302" s="62"/>
      <c r="J302" s="62"/>
      <c r="K302" s="62"/>
      <c r="L302" s="62"/>
    </row>
    <row r="303" customFormat="false" ht="17.25" hidden="false" customHeight="false" outlineLevel="0" collapsed="false">
      <c r="A303" s="62"/>
      <c r="B303" s="62"/>
      <c r="C303" s="62"/>
      <c r="D303" s="62"/>
      <c r="E303" s="63" t="s">
        <v>233</v>
      </c>
      <c r="F303" s="62"/>
      <c r="G303" s="62"/>
      <c r="H303" s="62"/>
      <c r="I303" s="62"/>
      <c r="J303" s="62"/>
      <c r="K303" s="62"/>
      <c r="L303" s="62"/>
    </row>
    <row r="304" customFormat="false" ht="17.25" hidden="false" customHeight="false" outlineLevel="0" collapsed="false">
      <c r="A304" s="62"/>
      <c r="B304" s="62"/>
      <c r="C304" s="62"/>
      <c r="D304" s="62"/>
      <c r="E304" s="63" t="s">
        <v>951</v>
      </c>
      <c r="F304" s="62"/>
      <c r="G304" s="62"/>
      <c r="H304" s="62"/>
      <c r="I304" s="62"/>
      <c r="J304" s="62"/>
      <c r="K304" s="62"/>
      <c r="L304" s="62"/>
    </row>
    <row r="305" customFormat="false" ht="33" hidden="false" customHeight="false" outlineLevel="0" collapsed="false">
      <c r="A305" s="62"/>
      <c r="B305" s="62" t="n">
        <v>1048</v>
      </c>
      <c r="C305" s="62"/>
      <c r="D305" s="62"/>
      <c r="E305" s="63" t="s">
        <v>2577</v>
      </c>
      <c r="F305" s="62"/>
      <c r="G305" s="62" t="s">
        <v>2399</v>
      </c>
      <c r="H305" s="62"/>
      <c r="I305" s="62"/>
      <c r="J305" s="62"/>
      <c r="K305" s="62"/>
      <c r="L305" s="62"/>
    </row>
    <row r="306" customFormat="false" ht="33" hidden="false" customHeight="false" outlineLevel="0" collapsed="false">
      <c r="A306" s="62"/>
      <c r="B306" s="62"/>
      <c r="C306" s="62"/>
      <c r="D306" s="62"/>
      <c r="E306" s="63" t="s">
        <v>2452</v>
      </c>
      <c r="F306" s="62"/>
      <c r="G306" s="62" t="s">
        <v>2792</v>
      </c>
      <c r="H306" s="62" t="s">
        <v>2793</v>
      </c>
      <c r="I306" s="62"/>
      <c r="J306" s="62"/>
      <c r="K306" s="62"/>
      <c r="L306" s="62"/>
    </row>
    <row r="307" customFormat="false" ht="33" hidden="false" customHeight="false" outlineLevel="0" collapsed="false">
      <c r="A307" s="62"/>
      <c r="B307" s="62"/>
      <c r="C307" s="62"/>
      <c r="D307" s="62"/>
      <c r="E307" s="63" t="s">
        <v>2581</v>
      </c>
      <c r="F307" s="62"/>
      <c r="G307" s="62"/>
      <c r="H307" s="62"/>
      <c r="I307" s="62"/>
      <c r="J307" s="62"/>
      <c r="K307" s="62"/>
      <c r="L307" s="62"/>
    </row>
    <row r="308" customFormat="false" ht="17.25" hidden="false" customHeight="false" outlineLevel="0" collapsed="false">
      <c r="A308" s="62"/>
      <c r="B308" s="62"/>
      <c r="C308" s="62"/>
      <c r="D308" s="62"/>
      <c r="E308" s="63" t="s">
        <v>2583</v>
      </c>
      <c r="F308" s="62"/>
      <c r="G308" s="62"/>
      <c r="H308" s="62"/>
      <c r="I308" s="62"/>
      <c r="J308" s="62"/>
      <c r="K308" s="62"/>
      <c r="L308" s="62"/>
    </row>
    <row r="309" customFormat="false" ht="33" hidden="false" customHeight="false" outlineLevel="0" collapsed="false">
      <c r="A309" s="62"/>
      <c r="B309" s="62"/>
      <c r="C309" s="62"/>
      <c r="D309" s="62"/>
      <c r="E309" s="63" t="s">
        <v>917</v>
      </c>
      <c r="F309" s="62"/>
      <c r="G309" s="62"/>
      <c r="H309" s="62"/>
      <c r="I309" s="62"/>
      <c r="J309" s="62"/>
      <c r="K309" s="62"/>
      <c r="L309" s="62"/>
    </row>
    <row r="310" customFormat="false" ht="17.25" hidden="false" customHeight="false" outlineLevel="0" collapsed="false">
      <c r="A310" s="62"/>
      <c r="B310" s="62"/>
      <c r="C310" s="62"/>
      <c r="D310" s="62"/>
      <c r="E310" s="62" t="s">
        <v>1887</v>
      </c>
      <c r="F310" s="62"/>
      <c r="G310" s="62"/>
      <c r="H310" s="62"/>
      <c r="I310" s="62"/>
      <c r="J310" s="62"/>
      <c r="K310" s="62"/>
      <c r="L310" s="62"/>
    </row>
    <row r="311" customFormat="false" ht="33" hidden="false" customHeight="false" outlineLevel="0" collapsed="false">
      <c r="A311" s="62"/>
      <c r="B311" s="62"/>
      <c r="C311" s="62"/>
      <c r="D311" s="62"/>
      <c r="E311" s="63" t="s">
        <v>289</v>
      </c>
      <c r="F311" s="62"/>
      <c r="G311" s="62"/>
      <c r="H311" s="62"/>
      <c r="I311" s="62"/>
      <c r="J311" s="62"/>
      <c r="K311" s="62"/>
      <c r="L311" s="62"/>
    </row>
    <row r="312" customFormat="false" ht="33" hidden="false" customHeight="false" outlineLevel="0" collapsed="false">
      <c r="A312" s="62"/>
      <c r="B312" s="62"/>
      <c r="C312" s="62"/>
      <c r="D312" s="62"/>
      <c r="E312" s="63" t="s">
        <v>2592</v>
      </c>
      <c r="F312" s="62"/>
      <c r="G312" s="62"/>
      <c r="H312" s="62"/>
      <c r="I312" s="62"/>
      <c r="J312" s="62"/>
      <c r="K312" s="62"/>
      <c r="L312" s="62"/>
    </row>
    <row r="313" customFormat="false" ht="33" hidden="false" customHeight="false" outlineLevel="0" collapsed="false">
      <c r="A313" s="62"/>
      <c r="B313" s="62"/>
      <c r="C313" s="62"/>
      <c r="D313" s="62"/>
      <c r="E313" s="63" t="s">
        <v>2596</v>
      </c>
      <c r="F313" s="62"/>
      <c r="G313" s="62"/>
      <c r="H313" s="62"/>
      <c r="I313" s="62"/>
      <c r="J313" s="62"/>
      <c r="K313" s="62"/>
      <c r="L313" s="62"/>
    </row>
    <row r="314" customFormat="false" ht="33" hidden="false" customHeight="false" outlineLevel="0" collapsed="false">
      <c r="A314" s="62"/>
      <c r="B314" s="62"/>
      <c r="C314" s="62"/>
      <c r="D314" s="62"/>
      <c r="E314" s="63" t="s">
        <v>2744</v>
      </c>
      <c r="F314" s="62"/>
      <c r="G314" s="62"/>
      <c r="H314" s="62"/>
      <c r="I314" s="62"/>
      <c r="J314" s="62"/>
      <c r="K314" s="62"/>
      <c r="L314" s="62"/>
    </row>
    <row r="315" customFormat="false" ht="48.75" hidden="false" customHeight="false" outlineLevel="0" collapsed="false">
      <c r="A315" s="62"/>
      <c r="B315" s="62"/>
      <c r="C315" s="62"/>
      <c r="D315" s="62"/>
      <c r="E315" s="63" t="s">
        <v>356</v>
      </c>
      <c r="F315" s="62"/>
      <c r="G315" s="62"/>
      <c r="H315" s="62"/>
      <c r="I315" s="62"/>
      <c r="J315" s="62"/>
      <c r="K315" s="62"/>
      <c r="L315" s="62"/>
    </row>
    <row r="316" customFormat="false" ht="17.25" hidden="false" customHeight="false" outlineLevel="0" collapsed="false">
      <c r="A316" s="62"/>
      <c r="B316" s="62"/>
      <c r="C316" s="62"/>
      <c r="D316" s="62"/>
      <c r="E316" s="62" t="s">
        <v>2602</v>
      </c>
      <c r="F316" s="62"/>
      <c r="G316" s="62"/>
      <c r="H316" s="62"/>
      <c r="I316" s="62"/>
      <c r="J316" s="62"/>
      <c r="K316" s="62"/>
      <c r="L316" s="62"/>
    </row>
    <row r="317" customFormat="false" ht="33" hidden="false" customHeight="false" outlineLevel="0" collapsed="false">
      <c r="A317" s="62"/>
      <c r="B317" s="62"/>
      <c r="C317" s="62"/>
      <c r="D317" s="62"/>
      <c r="E317" s="63" t="s">
        <v>289</v>
      </c>
      <c r="F317" s="62"/>
      <c r="G317" s="62"/>
      <c r="H317" s="62"/>
      <c r="I317" s="62"/>
      <c r="J317" s="62"/>
      <c r="K317" s="62"/>
      <c r="L317" s="62"/>
    </row>
    <row r="318" customFormat="false" ht="17.25" hidden="false" customHeight="false" outlineLevel="0" collapsed="false">
      <c r="A318" s="62"/>
      <c r="B318" s="62"/>
      <c r="C318" s="62"/>
      <c r="D318" s="62"/>
      <c r="E318" s="63" t="s">
        <v>909</v>
      </c>
      <c r="F318" s="62"/>
      <c r="G318" s="62"/>
      <c r="H318" s="62"/>
      <c r="I318" s="62"/>
      <c r="J318" s="62"/>
      <c r="K318" s="62"/>
      <c r="L318" s="62"/>
    </row>
    <row r="319" customFormat="false" ht="48.75" hidden="false" customHeight="false" outlineLevel="0" collapsed="false">
      <c r="A319" s="62"/>
      <c r="B319" s="62"/>
      <c r="C319" s="62"/>
      <c r="D319" s="62"/>
      <c r="E319" s="63" t="s">
        <v>2770</v>
      </c>
      <c r="F319" s="62"/>
      <c r="G319" s="62"/>
      <c r="H319" s="62"/>
      <c r="I319" s="62"/>
      <c r="J319" s="62"/>
      <c r="K319" s="62"/>
      <c r="L319" s="62"/>
    </row>
    <row r="320" customFormat="false" ht="33" hidden="false" customHeight="false" outlineLevel="0" collapsed="false">
      <c r="A320" s="62"/>
      <c r="B320" s="62"/>
      <c r="C320" s="62"/>
      <c r="D320" s="62"/>
      <c r="E320" s="63" t="s">
        <v>2768</v>
      </c>
      <c r="F320" s="62"/>
      <c r="G320" s="62"/>
      <c r="H320" s="62"/>
      <c r="I320" s="62"/>
      <c r="J320" s="62"/>
      <c r="K320" s="62"/>
      <c r="L320" s="62"/>
    </row>
    <row r="321" customFormat="false" ht="33" hidden="false" customHeight="false" outlineLevel="0" collapsed="false">
      <c r="A321" s="62"/>
      <c r="B321" s="62"/>
      <c r="C321" s="62"/>
      <c r="D321" s="62"/>
      <c r="E321" s="63" t="s">
        <v>2769</v>
      </c>
      <c r="F321" s="62"/>
      <c r="G321" s="62"/>
      <c r="H321" s="62"/>
      <c r="I321" s="62"/>
      <c r="J321" s="62"/>
      <c r="K321" s="62"/>
      <c r="L321" s="62"/>
    </row>
    <row r="322" customFormat="false" ht="17.25" hidden="false" customHeight="false" outlineLevel="0" collapsed="false">
      <c r="A322" s="62"/>
      <c r="B322" s="62"/>
      <c r="C322" s="62"/>
      <c r="D322" s="62"/>
      <c r="E322" s="63" t="s">
        <v>233</v>
      </c>
      <c r="F322" s="62"/>
      <c r="G322" s="62"/>
      <c r="H322" s="62"/>
      <c r="I322" s="62"/>
      <c r="J322" s="62"/>
      <c r="K322" s="62"/>
      <c r="L322" s="62"/>
    </row>
    <row r="323" customFormat="false" ht="17.25" hidden="false" customHeight="false" outlineLevel="0" collapsed="false">
      <c r="A323" s="62"/>
      <c r="B323" s="62"/>
      <c r="C323" s="62"/>
      <c r="D323" s="62"/>
      <c r="E323" s="63" t="s">
        <v>951</v>
      </c>
      <c r="F323" s="62"/>
      <c r="G323" s="62"/>
      <c r="H323" s="62"/>
      <c r="I323" s="62"/>
      <c r="J323" s="62"/>
      <c r="K323" s="62"/>
      <c r="L323" s="62"/>
    </row>
    <row r="324" customFormat="false" ht="33" hidden="false" customHeight="false" outlineLevel="0" collapsed="false">
      <c r="A324" s="62"/>
      <c r="B324" s="62" t="n">
        <v>1049</v>
      </c>
      <c r="C324" s="62"/>
      <c r="D324" s="62"/>
      <c r="E324" s="63" t="s">
        <v>2577</v>
      </c>
      <c r="F324" s="62"/>
      <c r="G324" s="62" t="s">
        <v>2399</v>
      </c>
      <c r="H324" s="62"/>
      <c r="I324" s="62"/>
      <c r="J324" s="62"/>
      <c r="K324" s="62"/>
      <c r="L324" s="62"/>
    </row>
    <row r="325" customFormat="false" ht="33" hidden="false" customHeight="false" outlineLevel="0" collapsed="false">
      <c r="A325" s="62"/>
      <c r="B325" s="62"/>
      <c r="C325" s="62"/>
      <c r="D325" s="62"/>
      <c r="E325" s="63" t="s">
        <v>2452</v>
      </c>
      <c r="F325" s="62"/>
      <c r="G325" s="62" t="s">
        <v>2794</v>
      </c>
      <c r="H325" s="62" t="s">
        <v>2795</v>
      </c>
      <c r="I325" s="62"/>
      <c r="J325" s="62"/>
      <c r="K325" s="62"/>
      <c r="L325" s="62"/>
    </row>
    <row r="326" customFormat="false" ht="33" hidden="false" customHeight="false" outlineLevel="0" collapsed="false">
      <c r="A326" s="62"/>
      <c r="B326" s="62"/>
      <c r="C326" s="62"/>
      <c r="D326" s="62"/>
      <c r="E326" s="63" t="s">
        <v>2581</v>
      </c>
      <c r="F326" s="62"/>
      <c r="G326" s="62"/>
      <c r="H326" s="62"/>
      <c r="I326" s="62"/>
      <c r="J326" s="62"/>
      <c r="K326" s="62"/>
      <c r="L326" s="62"/>
    </row>
    <row r="327" customFormat="false" ht="17.25" hidden="false" customHeight="false" outlineLevel="0" collapsed="false">
      <c r="A327" s="62"/>
      <c r="B327" s="62"/>
      <c r="C327" s="62"/>
      <c r="D327" s="62"/>
      <c r="E327" s="63" t="s">
        <v>2583</v>
      </c>
      <c r="F327" s="62"/>
      <c r="G327" s="62"/>
      <c r="H327" s="62"/>
      <c r="I327" s="62"/>
      <c r="J327" s="62"/>
      <c r="K327" s="62"/>
      <c r="L327" s="62"/>
    </row>
    <row r="328" customFormat="false" ht="33" hidden="false" customHeight="false" outlineLevel="0" collapsed="false">
      <c r="A328" s="62"/>
      <c r="B328" s="62"/>
      <c r="C328" s="62"/>
      <c r="D328" s="62"/>
      <c r="E328" s="63" t="s">
        <v>917</v>
      </c>
      <c r="F328" s="62"/>
      <c r="G328" s="62"/>
      <c r="H328" s="62"/>
      <c r="I328" s="62"/>
      <c r="J328" s="62"/>
      <c r="K328" s="62"/>
      <c r="L328" s="62"/>
    </row>
    <row r="329" customFormat="false" ht="33" hidden="false" customHeight="false" outlineLevel="0" collapsed="false">
      <c r="A329" s="62"/>
      <c r="B329" s="62"/>
      <c r="C329" s="62"/>
      <c r="D329" s="62"/>
      <c r="E329" s="63" t="s">
        <v>289</v>
      </c>
      <c r="F329" s="62"/>
      <c r="G329" s="62"/>
      <c r="H329" s="62"/>
      <c r="I329" s="62"/>
      <c r="J329" s="62"/>
      <c r="K329" s="62"/>
      <c r="L329" s="62"/>
    </row>
    <row r="330" customFormat="false" ht="17.25" hidden="false" customHeight="false" outlineLevel="0" collapsed="false">
      <c r="A330" s="62"/>
      <c r="B330" s="62"/>
      <c r="C330" s="62"/>
      <c r="D330" s="62"/>
      <c r="E330" s="63" t="s">
        <v>909</v>
      </c>
      <c r="F330" s="62"/>
      <c r="G330" s="62"/>
      <c r="H330" s="62"/>
      <c r="I330" s="62"/>
      <c r="J330" s="62"/>
      <c r="K330" s="62"/>
      <c r="L330" s="62"/>
    </row>
    <row r="331" customFormat="false" ht="64.5" hidden="false" customHeight="false" outlineLevel="0" collapsed="false">
      <c r="A331" s="62"/>
      <c r="B331" s="62"/>
      <c r="C331" s="62"/>
      <c r="D331" s="62"/>
      <c r="E331" s="63" t="s">
        <v>2796</v>
      </c>
      <c r="F331" s="62"/>
      <c r="G331" s="62"/>
      <c r="H331" s="62"/>
      <c r="I331" s="62"/>
      <c r="J331" s="62"/>
      <c r="K331" s="62"/>
      <c r="L331" s="62"/>
    </row>
    <row r="332" customFormat="false" ht="48.75" hidden="false" customHeight="false" outlineLevel="0" collapsed="false">
      <c r="A332" s="62"/>
      <c r="B332" s="62"/>
      <c r="C332" s="62"/>
      <c r="D332" s="62"/>
      <c r="E332" s="63" t="s">
        <v>2797</v>
      </c>
      <c r="F332" s="62"/>
      <c r="G332" s="62"/>
      <c r="H332" s="62"/>
      <c r="I332" s="62"/>
      <c r="J332" s="62"/>
      <c r="K332" s="62"/>
      <c r="L332" s="62"/>
    </row>
    <row r="333" customFormat="false" ht="33" hidden="false" customHeight="false" outlineLevel="0" collapsed="false">
      <c r="A333" s="62"/>
      <c r="B333" s="62"/>
      <c r="C333" s="62"/>
      <c r="D333" s="62"/>
      <c r="E333" s="63" t="s">
        <v>2798</v>
      </c>
      <c r="F333" s="62"/>
      <c r="G333" s="62"/>
      <c r="H333" s="62"/>
      <c r="I333" s="62"/>
      <c r="J333" s="62"/>
      <c r="K333" s="62"/>
      <c r="L333" s="62"/>
    </row>
    <row r="334" customFormat="false" ht="17.25" hidden="false" customHeight="false" outlineLevel="0" collapsed="false">
      <c r="A334" s="62"/>
      <c r="B334" s="62"/>
      <c r="C334" s="62"/>
      <c r="D334" s="62"/>
      <c r="E334" s="63" t="s">
        <v>895</v>
      </c>
      <c r="F334" s="62"/>
      <c r="G334" s="62"/>
      <c r="H334" s="62"/>
      <c r="I334" s="62"/>
      <c r="J334" s="62"/>
      <c r="K334" s="62"/>
      <c r="L334" s="62"/>
    </row>
    <row r="335" customFormat="false" ht="17.25" hidden="false" customHeight="false" outlineLevel="0" collapsed="false">
      <c r="A335" s="62"/>
      <c r="B335" s="62"/>
      <c r="C335" s="62"/>
      <c r="D335" s="62"/>
      <c r="E335" s="63" t="s">
        <v>233</v>
      </c>
      <c r="F335" s="62"/>
      <c r="G335" s="62"/>
      <c r="H335" s="62"/>
      <c r="I335" s="62"/>
      <c r="J335" s="62"/>
      <c r="K335" s="62"/>
      <c r="L335" s="62"/>
    </row>
    <row r="336" customFormat="false" ht="17.25" hidden="false" customHeight="false" outlineLevel="0" collapsed="false">
      <c r="A336" s="62"/>
      <c r="B336" s="62"/>
      <c r="C336" s="62"/>
      <c r="D336" s="62"/>
      <c r="E336" s="63" t="s">
        <v>951</v>
      </c>
      <c r="F336" s="62"/>
      <c r="G336" s="62"/>
      <c r="H336" s="62"/>
      <c r="I336" s="62"/>
      <c r="J336" s="62"/>
      <c r="K336" s="62"/>
      <c r="L336" s="62"/>
    </row>
    <row r="337" customFormat="false" ht="33" hidden="false" customHeight="false" outlineLevel="0" collapsed="false">
      <c r="A337" s="62"/>
      <c r="B337" s="62" t="n">
        <v>1050</v>
      </c>
      <c r="C337" s="62"/>
      <c r="D337" s="62"/>
      <c r="E337" s="63" t="s">
        <v>2625</v>
      </c>
      <c r="F337" s="62"/>
      <c r="G337" s="62" t="s">
        <v>2435</v>
      </c>
      <c r="H337" s="62"/>
      <c r="I337" s="62"/>
      <c r="J337" s="62"/>
      <c r="K337" s="62"/>
      <c r="L337" s="62"/>
    </row>
    <row r="338" customFormat="false" ht="33" hidden="false" customHeight="false" outlineLevel="0" collapsed="false">
      <c r="A338" s="62"/>
      <c r="B338" s="62"/>
      <c r="C338" s="62"/>
      <c r="D338" s="62"/>
      <c r="E338" s="63" t="s">
        <v>237</v>
      </c>
      <c r="F338" s="62"/>
      <c r="G338" s="62" t="n">
        <v>3</v>
      </c>
      <c r="H338" s="62" t="s">
        <v>2623</v>
      </c>
      <c r="I338" s="62"/>
      <c r="J338" s="62"/>
      <c r="K338" s="62"/>
      <c r="L338" s="62"/>
    </row>
    <row r="339" customFormat="false" ht="64.5" hidden="false" customHeight="false" outlineLevel="0" collapsed="false">
      <c r="A339" s="62"/>
      <c r="B339" s="62"/>
      <c r="C339" s="62"/>
      <c r="D339" s="62"/>
      <c r="E339" s="63" t="s">
        <v>1485</v>
      </c>
      <c r="F339" s="62"/>
      <c r="G339" s="62"/>
      <c r="H339" s="62"/>
      <c r="I339" s="62"/>
      <c r="J339" s="62"/>
      <c r="K339" s="62"/>
      <c r="L339" s="62"/>
    </row>
    <row r="340" customFormat="false" ht="33" hidden="false" customHeight="false" outlineLevel="0" collapsed="false">
      <c r="A340" s="62"/>
      <c r="B340" s="62"/>
      <c r="C340" s="62"/>
      <c r="D340" s="62"/>
      <c r="E340" s="63" t="s">
        <v>2766</v>
      </c>
      <c r="F340" s="62"/>
      <c r="G340" s="62"/>
      <c r="H340" s="62"/>
      <c r="I340" s="62"/>
      <c r="J340" s="62"/>
      <c r="K340" s="62"/>
      <c r="L340" s="62"/>
    </row>
    <row r="341" customFormat="false" ht="48.75" hidden="false" customHeight="false" outlineLevel="0" collapsed="false">
      <c r="A341" s="62"/>
      <c r="B341" s="62"/>
      <c r="C341" s="62"/>
      <c r="D341" s="62"/>
      <c r="E341" s="63" t="s">
        <v>2767</v>
      </c>
      <c r="F341" s="62"/>
      <c r="G341" s="62"/>
      <c r="H341" s="62"/>
      <c r="I341" s="62"/>
      <c r="J341" s="62"/>
      <c r="K341" s="62"/>
      <c r="L341" s="62"/>
    </row>
    <row r="342" customFormat="false" ht="33" hidden="false" customHeight="false" outlineLevel="0" collapsed="false">
      <c r="A342" s="62"/>
      <c r="B342" s="62"/>
      <c r="C342" s="62"/>
      <c r="D342" s="62"/>
      <c r="E342" s="63" t="s">
        <v>2768</v>
      </c>
      <c r="F342" s="62"/>
      <c r="G342" s="62"/>
      <c r="H342" s="62"/>
      <c r="I342" s="62"/>
      <c r="J342" s="62"/>
      <c r="K342" s="62"/>
      <c r="L342" s="62"/>
    </row>
    <row r="343" customFormat="false" ht="33" hidden="false" customHeight="false" outlineLevel="0" collapsed="false">
      <c r="A343" s="62"/>
      <c r="B343" s="62"/>
      <c r="C343" s="62"/>
      <c r="D343" s="62"/>
      <c r="E343" s="63" t="s">
        <v>2769</v>
      </c>
      <c r="F343" s="62"/>
      <c r="G343" s="62"/>
      <c r="H343" s="62"/>
      <c r="I343" s="62"/>
      <c r="J343" s="62"/>
      <c r="K343" s="62"/>
      <c r="L343" s="62"/>
    </row>
    <row r="344" customFormat="false" ht="33" hidden="false" customHeight="false" outlineLevel="0" collapsed="false">
      <c r="A344" s="62"/>
      <c r="B344" s="62"/>
      <c r="C344" s="62"/>
      <c r="D344" s="62"/>
      <c r="E344" s="63" t="s">
        <v>244</v>
      </c>
      <c r="F344" s="62"/>
      <c r="G344" s="62"/>
      <c r="H344" s="62"/>
      <c r="I344" s="62"/>
      <c r="J344" s="62"/>
      <c r="K344" s="62"/>
      <c r="L344" s="62"/>
    </row>
    <row r="345" customFormat="false" ht="64.5" hidden="false" customHeight="false" outlineLevel="0" collapsed="false">
      <c r="A345" s="62"/>
      <c r="B345" s="62"/>
      <c r="C345" s="62"/>
      <c r="D345" s="62"/>
      <c r="E345" s="63" t="s">
        <v>1487</v>
      </c>
      <c r="F345" s="62"/>
      <c r="G345" s="62"/>
      <c r="H345" s="62"/>
      <c r="I345" s="62"/>
      <c r="J345" s="62"/>
      <c r="K345" s="62"/>
      <c r="L345" s="62"/>
    </row>
    <row r="346" customFormat="false" ht="17.25" hidden="false" customHeight="false" outlineLevel="0" collapsed="false">
      <c r="A346" s="62"/>
      <c r="B346" s="62"/>
      <c r="C346" s="62"/>
      <c r="D346" s="62"/>
      <c r="E346" s="63" t="s">
        <v>920</v>
      </c>
      <c r="F346" s="62"/>
      <c r="G346" s="62"/>
      <c r="H346" s="62"/>
      <c r="I346" s="62"/>
      <c r="J346" s="62"/>
      <c r="K346" s="62"/>
      <c r="L346" s="62"/>
    </row>
    <row r="347" customFormat="false" ht="64.5" hidden="false" customHeight="false" outlineLevel="0" collapsed="false">
      <c r="A347" s="62"/>
      <c r="B347" s="62"/>
      <c r="C347" s="62"/>
      <c r="D347" s="62"/>
      <c r="E347" s="63" t="s">
        <v>1487</v>
      </c>
      <c r="F347" s="62"/>
      <c r="G347" s="62"/>
      <c r="H347" s="62"/>
      <c r="I347" s="62"/>
      <c r="J347" s="62"/>
      <c r="K347" s="62"/>
      <c r="L347" s="62"/>
    </row>
    <row r="348" customFormat="false" ht="17.25" hidden="false" customHeight="false" outlineLevel="0" collapsed="false">
      <c r="A348" s="62"/>
      <c r="B348" s="62"/>
      <c r="C348" s="62"/>
      <c r="D348" s="62"/>
      <c r="E348" s="63" t="s">
        <v>233</v>
      </c>
      <c r="F348" s="62"/>
      <c r="G348" s="62"/>
      <c r="H348" s="62"/>
      <c r="I348" s="62"/>
      <c r="J348" s="62"/>
      <c r="K348" s="62"/>
      <c r="L348" s="62"/>
    </row>
    <row r="349" customFormat="false" ht="33" hidden="false" customHeight="false" outlineLevel="0" collapsed="false">
      <c r="A349" s="62"/>
      <c r="B349" s="62" t="n">
        <v>1051</v>
      </c>
      <c r="C349" s="62"/>
      <c r="D349" s="62"/>
      <c r="E349" s="63" t="s">
        <v>2625</v>
      </c>
      <c r="F349" s="62"/>
      <c r="G349" s="62" t="s">
        <v>2399</v>
      </c>
      <c r="H349" s="62"/>
      <c r="I349" s="63" t="s">
        <v>2799</v>
      </c>
      <c r="J349" s="62"/>
      <c r="K349" s="62"/>
      <c r="L349" s="63" t="s">
        <v>2800</v>
      </c>
    </row>
    <row r="350" customFormat="false" ht="48.75" hidden="false" customHeight="false" outlineLevel="0" collapsed="false">
      <c r="A350" s="62"/>
      <c r="B350" s="62"/>
      <c r="C350" s="62"/>
      <c r="D350" s="62"/>
      <c r="E350" s="62" t="s">
        <v>964</v>
      </c>
      <c r="F350" s="62"/>
      <c r="G350" s="62" t="s">
        <v>882</v>
      </c>
      <c r="H350" s="62" t="s">
        <v>2801</v>
      </c>
      <c r="I350" s="62" t="s">
        <v>2802</v>
      </c>
      <c r="J350" s="62"/>
      <c r="K350" s="62"/>
      <c r="L350" s="62" t="s">
        <v>2803</v>
      </c>
    </row>
    <row r="351" customFormat="false" ht="17.25" hidden="false" customHeight="false" outlineLevel="0" collapsed="false">
      <c r="A351" s="62"/>
      <c r="B351" s="62"/>
      <c r="C351" s="62"/>
      <c r="D351" s="62"/>
      <c r="E351" s="63" t="s">
        <v>237</v>
      </c>
      <c r="F351" s="62"/>
      <c r="G351" s="62"/>
      <c r="H351" s="62"/>
      <c r="I351" s="62"/>
      <c r="J351" s="62"/>
      <c r="K351" s="62"/>
      <c r="L351" s="62" t="s">
        <v>2804</v>
      </c>
    </row>
    <row r="352" customFormat="false" ht="33" hidden="false" customHeight="false" outlineLevel="0" collapsed="false">
      <c r="A352" s="62"/>
      <c r="B352" s="62"/>
      <c r="C352" s="62"/>
      <c r="D352" s="62"/>
      <c r="E352" s="63" t="s">
        <v>2805</v>
      </c>
      <c r="F352" s="62"/>
      <c r="G352" s="62" t="s">
        <v>803</v>
      </c>
      <c r="H352" s="62" t="s">
        <v>2806</v>
      </c>
      <c r="I352" s="62"/>
      <c r="J352" s="62"/>
      <c r="K352" s="62"/>
      <c r="L352" s="63" t="s">
        <v>2807</v>
      </c>
    </row>
    <row r="353" customFormat="false" ht="33" hidden="false" customHeight="false" outlineLevel="0" collapsed="false">
      <c r="A353" s="62"/>
      <c r="B353" s="62"/>
      <c r="C353" s="62"/>
      <c r="D353" s="62"/>
      <c r="E353" s="62" t="s">
        <v>2808</v>
      </c>
      <c r="F353" s="62"/>
      <c r="G353" s="62"/>
      <c r="H353" s="62"/>
      <c r="I353" s="62"/>
      <c r="J353" s="62"/>
      <c r="K353" s="62"/>
      <c r="L353" s="63" t="s">
        <v>2809</v>
      </c>
    </row>
    <row r="354" customFormat="false" ht="33" hidden="false" customHeight="false" outlineLevel="0" collapsed="false">
      <c r="A354" s="62"/>
      <c r="B354" s="62"/>
      <c r="C354" s="62"/>
      <c r="D354" s="62"/>
      <c r="E354" s="63" t="s">
        <v>237</v>
      </c>
      <c r="F354" s="62"/>
      <c r="G354" s="62" t="s">
        <v>267</v>
      </c>
      <c r="H354" s="62" t="s">
        <v>268</v>
      </c>
      <c r="I354" s="62"/>
      <c r="J354" s="62"/>
      <c r="K354" s="62"/>
      <c r="L354" s="63" t="s">
        <v>2810</v>
      </c>
    </row>
    <row r="355" customFormat="false" ht="33" hidden="false" customHeight="false" outlineLevel="0" collapsed="false">
      <c r="A355" s="62"/>
      <c r="B355" s="62"/>
      <c r="C355" s="62"/>
      <c r="D355" s="62"/>
      <c r="E355" s="63" t="s">
        <v>2577</v>
      </c>
      <c r="F355" s="62"/>
      <c r="G355" s="63" t="s">
        <v>320</v>
      </c>
      <c r="H355" s="64" t="n">
        <v>40743</v>
      </c>
      <c r="I355" s="62"/>
      <c r="J355" s="62"/>
      <c r="K355" s="62"/>
      <c r="L355" s="62" t="s">
        <v>2811</v>
      </c>
    </row>
    <row r="356" customFormat="false" ht="48.75" hidden="false" customHeight="false" outlineLevel="0" collapsed="false">
      <c r="A356" s="62"/>
      <c r="B356" s="62"/>
      <c r="C356" s="62"/>
      <c r="D356" s="62"/>
      <c r="E356" s="63" t="s">
        <v>2452</v>
      </c>
      <c r="F356" s="62"/>
      <c r="G356" s="62"/>
      <c r="H356" s="63" t="s">
        <v>821</v>
      </c>
      <c r="I356" s="62"/>
      <c r="J356" s="62"/>
      <c r="K356" s="62"/>
      <c r="L356" s="63" t="s">
        <v>2812</v>
      </c>
    </row>
    <row r="357" customFormat="false" ht="33" hidden="false" customHeight="false" outlineLevel="0" collapsed="false">
      <c r="A357" s="62"/>
      <c r="B357" s="62"/>
      <c r="C357" s="62"/>
      <c r="D357" s="62"/>
      <c r="E357" s="63" t="s">
        <v>2581</v>
      </c>
      <c r="F357" s="62"/>
      <c r="G357" s="62"/>
      <c r="H357" s="62" t="s">
        <v>267</v>
      </c>
      <c r="I357" s="62"/>
      <c r="J357" s="62"/>
      <c r="K357" s="62"/>
      <c r="L357" s="62" t="s">
        <v>2813</v>
      </c>
    </row>
    <row r="358" customFormat="false" ht="17.25" hidden="false" customHeight="false" outlineLevel="0" collapsed="false">
      <c r="A358" s="62"/>
      <c r="B358" s="62"/>
      <c r="C358" s="62"/>
      <c r="D358" s="62"/>
      <c r="E358" s="63" t="s">
        <v>2583</v>
      </c>
      <c r="F358" s="62"/>
      <c r="G358" s="62"/>
      <c r="H358" s="64" t="n">
        <v>40743</v>
      </c>
      <c r="I358" s="62"/>
      <c r="J358" s="62"/>
      <c r="K358" s="62"/>
      <c r="L358" s="63" t="s">
        <v>956</v>
      </c>
    </row>
    <row r="359" customFormat="false" ht="33" hidden="false" customHeight="false" outlineLevel="0" collapsed="false">
      <c r="A359" s="62"/>
      <c r="B359" s="62"/>
      <c r="C359" s="62"/>
      <c r="D359" s="62"/>
      <c r="E359" s="63" t="s">
        <v>917</v>
      </c>
      <c r="F359" s="62"/>
      <c r="G359" s="62"/>
      <c r="H359" s="62" t="s">
        <v>267</v>
      </c>
      <c r="I359" s="62"/>
      <c r="J359" s="62"/>
      <c r="K359" s="62"/>
      <c r="L359" s="62" t="s">
        <v>2814</v>
      </c>
    </row>
    <row r="360" customFormat="false" ht="33" hidden="false" customHeight="false" outlineLevel="0" collapsed="false">
      <c r="A360" s="62"/>
      <c r="B360" s="62"/>
      <c r="C360" s="62"/>
      <c r="D360" s="62"/>
      <c r="E360" s="62" t="s">
        <v>2815</v>
      </c>
      <c r="F360" s="62"/>
      <c r="G360" s="62"/>
      <c r="H360" s="62" t="s">
        <v>2816</v>
      </c>
      <c r="I360" s="62"/>
      <c r="J360" s="62"/>
      <c r="K360" s="62"/>
      <c r="L360" s="62" t="s">
        <v>2817</v>
      </c>
    </row>
    <row r="361" customFormat="false" ht="33" hidden="false" customHeight="false" outlineLevel="0" collapsed="false">
      <c r="A361" s="62"/>
      <c r="B361" s="62"/>
      <c r="C361" s="62"/>
      <c r="D361" s="62"/>
      <c r="E361" s="63" t="s">
        <v>289</v>
      </c>
      <c r="F361" s="62"/>
      <c r="G361" s="62"/>
      <c r="H361" s="62"/>
      <c r="I361" s="62"/>
      <c r="J361" s="62"/>
      <c r="K361" s="62"/>
      <c r="L361" s="62"/>
    </row>
    <row r="362" customFormat="false" ht="33" hidden="false" customHeight="false" outlineLevel="0" collapsed="false">
      <c r="A362" s="62"/>
      <c r="B362" s="62"/>
      <c r="C362" s="62"/>
      <c r="D362" s="62"/>
      <c r="E362" s="63" t="s">
        <v>2592</v>
      </c>
      <c r="F362" s="62"/>
      <c r="G362" s="62"/>
      <c r="H362" s="62"/>
      <c r="I362" s="62"/>
      <c r="J362" s="62"/>
      <c r="K362" s="62"/>
      <c r="L362" s="62"/>
    </row>
    <row r="363" customFormat="false" ht="33" hidden="false" customHeight="false" outlineLevel="0" collapsed="false">
      <c r="A363" s="62"/>
      <c r="B363" s="62"/>
      <c r="C363" s="62"/>
      <c r="D363" s="62"/>
      <c r="E363" s="63" t="s">
        <v>2596</v>
      </c>
      <c r="F363" s="62"/>
      <c r="G363" s="62"/>
      <c r="H363" s="62"/>
      <c r="I363" s="62"/>
      <c r="J363" s="62"/>
      <c r="K363" s="62"/>
      <c r="L363" s="62"/>
    </row>
    <row r="364" customFormat="false" ht="17.25" hidden="false" customHeight="false" outlineLevel="0" collapsed="false">
      <c r="A364" s="62"/>
      <c r="B364" s="62"/>
      <c r="C364" s="62"/>
      <c r="D364" s="62"/>
      <c r="E364" s="63" t="s">
        <v>2304</v>
      </c>
      <c r="F364" s="62"/>
      <c r="G364" s="62"/>
      <c r="H364" s="62"/>
      <c r="I364" s="62"/>
      <c r="J364" s="62"/>
      <c r="K364" s="62"/>
      <c r="L364" s="62"/>
    </row>
    <row r="365" customFormat="false" ht="17.25" hidden="false" customHeight="false" outlineLevel="0" collapsed="false">
      <c r="A365" s="62"/>
      <c r="B365" s="62"/>
      <c r="C365" s="62"/>
      <c r="D365" s="62"/>
      <c r="E365" s="63" t="s">
        <v>2431</v>
      </c>
      <c r="F365" s="62"/>
      <c r="G365" s="62"/>
      <c r="H365" s="62"/>
      <c r="I365" s="62"/>
      <c r="J365" s="62"/>
      <c r="K365" s="62"/>
      <c r="L365" s="62"/>
    </row>
    <row r="366" customFormat="false" ht="17.25" hidden="false" customHeight="false" outlineLevel="0" collapsed="false">
      <c r="A366" s="62"/>
      <c r="B366" s="62"/>
      <c r="C366" s="62"/>
      <c r="D366" s="62"/>
      <c r="E366" s="63" t="s">
        <v>2741</v>
      </c>
      <c r="F366" s="62"/>
      <c r="G366" s="62"/>
      <c r="H366" s="62"/>
      <c r="I366" s="62"/>
      <c r="J366" s="62"/>
      <c r="K366" s="62"/>
      <c r="L366" s="62"/>
    </row>
    <row r="367" customFormat="false" ht="33" hidden="false" customHeight="false" outlineLevel="0" collapsed="false">
      <c r="A367" s="62"/>
      <c r="B367" s="62"/>
      <c r="C367" s="62"/>
      <c r="D367" s="62"/>
      <c r="E367" s="63" t="s">
        <v>2744</v>
      </c>
      <c r="F367" s="62"/>
      <c r="G367" s="62"/>
      <c r="H367" s="62"/>
      <c r="I367" s="62"/>
      <c r="J367" s="62"/>
      <c r="K367" s="62"/>
      <c r="L367" s="62"/>
    </row>
    <row r="368" customFormat="false" ht="33" hidden="false" customHeight="false" outlineLevel="0" collapsed="false">
      <c r="A368" s="62"/>
      <c r="B368" s="62"/>
      <c r="C368" s="62"/>
      <c r="D368" s="62"/>
      <c r="E368" s="63" t="s">
        <v>2600</v>
      </c>
      <c r="F368" s="62"/>
      <c r="G368" s="62"/>
      <c r="H368" s="62"/>
      <c r="I368" s="62"/>
      <c r="J368" s="62"/>
      <c r="K368" s="62"/>
      <c r="L368" s="62"/>
    </row>
    <row r="369" customFormat="false" ht="17.25" hidden="false" customHeight="false" outlineLevel="0" collapsed="false">
      <c r="A369" s="62"/>
      <c r="B369" s="62"/>
      <c r="C369" s="62"/>
      <c r="D369" s="62"/>
      <c r="E369" s="62" t="s">
        <v>2818</v>
      </c>
      <c r="F369" s="62"/>
      <c r="G369" s="62"/>
      <c r="H369" s="62"/>
      <c r="I369" s="62"/>
      <c r="J369" s="62"/>
      <c r="K369" s="62"/>
      <c r="L369" s="62"/>
    </row>
    <row r="370" customFormat="false" ht="33" hidden="false" customHeight="false" outlineLevel="0" collapsed="false">
      <c r="A370" s="62"/>
      <c r="B370" s="62"/>
      <c r="C370" s="62"/>
      <c r="D370" s="62"/>
      <c r="E370" s="63" t="s">
        <v>289</v>
      </c>
      <c r="F370" s="62"/>
      <c r="G370" s="62"/>
      <c r="H370" s="62"/>
      <c r="I370" s="62"/>
      <c r="J370" s="62"/>
      <c r="K370" s="62"/>
      <c r="L370" s="62"/>
    </row>
    <row r="371" customFormat="false" ht="17.25" hidden="false" customHeight="false" outlineLevel="0" collapsed="false">
      <c r="A371" s="62"/>
      <c r="B371" s="62"/>
      <c r="C371" s="62"/>
      <c r="D371" s="62"/>
      <c r="E371" s="63" t="s">
        <v>909</v>
      </c>
      <c r="F371" s="62"/>
      <c r="G371" s="62"/>
      <c r="H371" s="62"/>
      <c r="I371" s="62"/>
      <c r="J371" s="62"/>
      <c r="K371" s="62"/>
      <c r="L371" s="62"/>
    </row>
    <row r="372" customFormat="false" ht="33" hidden="false" customHeight="false" outlineLevel="0" collapsed="false">
      <c r="A372" s="62"/>
      <c r="B372" s="62"/>
      <c r="C372" s="62"/>
      <c r="D372" s="62"/>
      <c r="E372" s="63" t="s">
        <v>2819</v>
      </c>
      <c r="F372" s="62"/>
      <c r="G372" s="62"/>
      <c r="H372" s="62"/>
      <c r="I372" s="62"/>
      <c r="J372" s="62"/>
      <c r="K372" s="62"/>
      <c r="L372" s="62"/>
    </row>
    <row r="373" customFormat="false" ht="33" hidden="false" customHeight="false" outlineLevel="0" collapsed="false">
      <c r="A373" s="62"/>
      <c r="B373" s="62"/>
      <c r="C373" s="62"/>
      <c r="D373" s="62"/>
      <c r="E373" s="63" t="s">
        <v>2820</v>
      </c>
      <c r="F373" s="62"/>
      <c r="G373" s="62"/>
      <c r="H373" s="62"/>
      <c r="I373" s="62"/>
      <c r="J373" s="62"/>
      <c r="K373" s="62"/>
      <c r="L373" s="62"/>
    </row>
    <row r="374" customFormat="false" ht="33" hidden="false" customHeight="false" outlineLevel="0" collapsed="false">
      <c r="A374" s="62"/>
      <c r="B374" s="62"/>
      <c r="C374" s="62"/>
      <c r="D374" s="62"/>
      <c r="E374" s="63" t="s">
        <v>2821</v>
      </c>
      <c r="F374" s="62"/>
      <c r="G374" s="62"/>
      <c r="H374" s="62"/>
      <c r="I374" s="62"/>
      <c r="J374" s="62"/>
      <c r="K374" s="62"/>
      <c r="L374" s="62"/>
    </row>
    <row r="375" customFormat="false" ht="33" hidden="false" customHeight="false" outlineLevel="0" collapsed="false">
      <c r="A375" s="62"/>
      <c r="B375" s="62"/>
      <c r="C375" s="62"/>
      <c r="D375" s="62"/>
      <c r="E375" s="63" t="s">
        <v>2822</v>
      </c>
      <c r="F375" s="62"/>
      <c r="G375" s="62"/>
      <c r="H375" s="62"/>
      <c r="I375" s="62"/>
      <c r="J375" s="62"/>
      <c r="K375" s="62"/>
      <c r="L375" s="62"/>
    </row>
    <row r="376" customFormat="false" ht="33" hidden="false" customHeight="false" outlineLevel="0" collapsed="false">
      <c r="A376" s="62"/>
      <c r="B376" s="62"/>
      <c r="C376" s="62"/>
      <c r="D376" s="62"/>
      <c r="E376" s="63" t="s">
        <v>244</v>
      </c>
      <c r="F376" s="62"/>
      <c r="G376" s="62"/>
      <c r="H376" s="62"/>
      <c r="I376" s="62"/>
      <c r="J376" s="62"/>
      <c r="K376" s="62"/>
      <c r="L376" s="62"/>
    </row>
    <row r="377" customFormat="false" ht="33" hidden="false" customHeight="false" outlineLevel="0" collapsed="false">
      <c r="A377" s="62"/>
      <c r="B377" s="62"/>
      <c r="C377" s="62"/>
      <c r="D377" s="62"/>
      <c r="E377" s="63" t="s">
        <v>919</v>
      </c>
      <c r="F377" s="62"/>
      <c r="G377" s="62"/>
      <c r="H377" s="62"/>
      <c r="I377" s="62"/>
      <c r="J377" s="62"/>
      <c r="K377" s="62"/>
      <c r="L377" s="62"/>
    </row>
    <row r="378" customFormat="false" ht="17.25" hidden="false" customHeight="false" outlineLevel="0" collapsed="false">
      <c r="A378" s="62"/>
      <c r="B378" s="62"/>
      <c r="C378" s="62"/>
      <c r="D378" s="62"/>
      <c r="E378" s="63" t="s">
        <v>893</v>
      </c>
      <c r="F378" s="62"/>
      <c r="G378" s="62"/>
      <c r="H378" s="62"/>
      <c r="I378" s="62"/>
      <c r="J378" s="62"/>
      <c r="K378" s="62"/>
      <c r="L378" s="62"/>
    </row>
    <row r="379" customFormat="false" ht="48.75" hidden="false" customHeight="false" outlineLevel="0" collapsed="false">
      <c r="A379" s="62"/>
      <c r="B379" s="62"/>
      <c r="C379" s="62"/>
      <c r="D379" s="62"/>
      <c r="E379" s="63" t="s">
        <v>2364</v>
      </c>
      <c r="F379" s="62"/>
      <c r="G379" s="62"/>
      <c r="H379" s="62"/>
      <c r="I379" s="62"/>
      <c r="J379" s="62"/>
      <c r="K379" s="62"/>
      <c r="L379" s="62"/>
    </row>
    <row r="380" customFormat="false" ht="33" hidden="false" customHeight="false" outlineLevel="0" collapsed="false">
      <c r="A380" s="62"/>
      <c r="B380" s="62"/>
      <c r="C380" s="62"/>
      <c r="D380" s="62"/>
      <c r="E380" s="63" t="s">
        <v>2823</v>
      </c>
      <c r="F380" s="62"/>
      <c r="G380" s="62"/>
      <c r="H380" s="62"/>
      <c r="I380" s="62"/>
      <c r="J380" s="62"/>
      <c r="K380" s="62"/>
      <c r="L380" s="62"/>
    </row>
    <row r="381" customFormat="false" ht="17.25" hidden="false" customHeight="false" outlineLevel="0" collapsed="false">
      <c r="A381" s="62"/>
      <c r="B381" s="62"/>
      <c r="C381" s="62"/>
      <c r="D381" s="62"/>
      <c r="E381" s="62" t="s">
        <v>964</v>
      </c>
      <c r="F381" s="62"/>
      <c r="G381" s="62"/>
      <c r="H381" s="62"/>
      <c r="I381" s="62"/>
      <c r="J381" s="62"/>
      <c r="K381" s="62"/>
      <c r="L381" s="62"/>
    </row>
    <row r="382" customFormat="false" ht="33" hidden="false" customHeight="false" outlineLevel="0" collapsed="false">
      <c r="A382" s="62"/>
      <c r="B382" s="62"/>
      <c r="C382" s="62"/>
      <c r="D382" s="62"/>
      <c r="E382" s="63" t="s">
        <v>896</v>
      </c>
      <c r="F382" s="62"/>
      <c r="G382" s="62"/>
      <c r="H382" s="62"/>
      <c r="I382" s="62"/>
      <c r="J382" s="62"/>
      <c r="K382" s="62"/>
      <c r="L382" s="62"/>
    </row>
    <row r="383" customFormat="false" ht="33" hidden="false" customHeight="false" outlineLevel="0" collapsed="false">
      <c r="A383" s="62"/>
      <c r="B383" s="62"/>
      <c r="C383" s="62"/>
      <c r="D383" s="62"/>
      <c r="E383" s="63" t="s">
        <v>2824</v>
      </c>
      <c r="F383" s="62"/>
      <c r="G383" s="62"/>
      <c r="H383" s="62"/>
      <c r="I383" s="62"/>
      <c r="J383" s="62"/>
      <c r="K383" s="62"/>
      <c r="L383" s="62"/>
    </row>
    <row r="384" customFormat="false" ht="33" hidden="false" customHeight="false" outlineLevel="0" collapsed="false">
      <c r="A384" s="62"/>
      <c r="B384" s="62"/>
      <c r="C384" s="62"/>
      <c r="D384" s="62"/>
      <c r="E384" s="63" t="s">
        <v>2821</v>
      </c>
      <c r="F384" s="62"/>
      <c r="G384" s="62"/>
      <c r="H384" s="62"/>
      <c r="I384" s="62"/>
      <c r="J384" s="62"/>
      <c r="K384" s="62"/>
      <c r="L384" s="62"/>
    </row>
    <row r="385" customFormat="false" ht="17.25" hidden="false" customHeight="false" outlineLevel="0" collapsed="false">
      <c r="A385" s="62"/>
      <c r="B385" s="62"/>
      <c r="C385" s="62"/>
      <c r="D385" s="62"/>
      <c r="E385" s="62" t="s">
        <v>964</v>
      </c>
      <c r="F385" s="62"/>
      <c r="G385" s="62"/>
      <c r="H385" s="62"/>
      <c r="I385" s="62"/>
      <c r="J385" s="62"/>
      <c r="K385" s="62"/>
      <c r="L385" s="62"/>
    </row>
    <row r="386" customFormat="false" ht="17.25" hidden="false" customHeight="false" outlineLevel="0" collapsed="false">
      <c r="A386" s="62"/>
      <c r="B386" s="62"/>
      <c r="C386" s="62"/>
      <c r="D386" s="62"/>
      <c r="E386" s="63" t="s">
        <v>233</v>
      </c>
      <c r="F386" s="62"/>
      <c r="G386" s="62"/>
      <c r="H386" s="62"/>
      <c r="I386" s="62"/>
      <c r="J386" s="62"/>
      <c r="K386" s="62"/>
      <c r="L386" s="62"/>
    </row>
    <row r="387" customFormat="false" ht="48.75" hidden="false" customHeight="false" outlineLevel="0" collapsed="false">
      <c r="A387" s="62"/>
      <c r="B387" s="62"/>
      <c r="C387" s="62"/>
      <c r="D387" s="62" t="s">
        <v>274</v>
      </c>
      <c r="E387" s="62" t="s">
        <v>275</v>
      </c>
      <c r="F387" s="62" t="s">
        <v>268</v>
      </c>
      <c r="G387" s="62" t="s">
        <v>267</v>
      </c>
      <c r="H387" s="62" t="s">
        <v>268</v>
      </c>
      <c r="I387" s="62" t="s">
        <v>276</v>
      </c>
      <c r="J387" s="62" t="s">
        <v>276</v>
      </c>
      <c r="K387" s="62"/>
      <c r="L387" s="62"/>
    </row>
    <row r="388" customFormat="false" ht="33" hidden="false" customHeight="false" outlineLevel="0" collapsed="false">
      <c r="A388" s="62"/>
      <c r="B388" s="62"/>
      <c r="C388" s="62"/>
      <c r="D388" s="63" t="s">
        <v>277</v>
      </c>
      <c r="E388" s="62"/>
      <c r="F388" s="62"/>
      <c r="G388" s="63" t="s">
        <v>1353</v>
      </c>
      <c r="H388" s="62" t="s">
        <v>2825</v>
      </c>
      <c r="I388" s="62"/>
      <c r="J388" s="62"/>
      <c r="K388" s="62"/>
      <c r="L388" s="62"/>
    </row>
    <row r="389" customFormat="false" ht="48.75" hidden="false" customHeight="false" outlineLevel="0" collapsed="false">
      <c r="A389" s="62"/>
      <c r="B389" s="62"/>
      <c r="C389" s="62"/>
      <c r="D389" s="62"/>
      <c r="E389" s="62"/>
      <c r="F389" s="62"/>
      <c r="G389" s="63" t="s">
        <v>270</v>
      </c>
      <c r="H389" s="63" t="s">
        <v>821</v>
      </c>
      <c r="I389" s="62"/>
      <c r="J389" s="62"/>
      <c r="K389" s="62"/>
      <c r="L389" s="62"/>
    </row>
    <row r="390" customFormat="false" ht="33" hidden="false" customHeight="false" outlineLevel="0" collapsed="false">
      <c r="A390" s="62"/>
      <c r="B390" s="62"/>
      <c r="C390" s="62"/>
      <c r="D390" s="62"/>
      <c r="E390" s="62"/>
      <c r="F390" s="62"/>
      <c r="G390" s="62" t="s">
        <v>267</v>
      </c>
      <c r="H390" s="62" t="s">
        <v>267</v>
      </c>
      <c r="I390" s="62"/>
      <c r="J390" s="62"/>
      <c r="K390" s="62"/>
      <c r="L390" s="62"/>
    </row>
    <row r="391" customFormat="false" ht="17.25" hidden="false" customHeight="false" outlineLevel="0" collapsed="false">
      <c r="A391" s="62"/>
      <c r="B391" s="62"/>
      <c r="C391" s="62"/>
      <c r="D391" s="62"/>
      <c r="E391" s="62"/>
      <c r="F391" s="62"/>
      <c r="G391" s="62" t="s">
        <v>2826</v>
      </c>
      <c r="H391" s="62" t="s">
        <v>2827</v>
      </c>
      <c r="I391" s="62"/>
      <c r="J391" s="62"/>
      <c r="K391" s="62"/>
      <c r="L391" s="62"/>
    </row>
    <row r="392" customFormat="false" ht="33" hidden="false" customHeight="false" outlineLevel="0" collapsed="false">
      <c r="A392" s="62"/>
      <c r="B392" s="62"/>
      <c r="C392" s="62"/>
      <c r="D392" s="62"/>
      <c r="E392" s="62"/>
      <c r="F392" s="62"/>
      <c r="G392" s="62" t="s">
        <v>267</v>
      </c>
      <c r="H392" s="62" t="s">
        <v>267</v>
      </c>
      <c r="I392" s="62"/>
      <c r="J392" s="62"/>
      <c r="K392" s="62"/>
      <c r="L392" s="62"/>
    </row>
    <row r="393" customFormat="false" ht="33" hidden="false" customHeight="false" outlineLevel="0" collapsed="false">
      <c r="A393" s="62"/>
      <c r="B393" s="62"/>
      <c r="C393" s="62"/>
      <c r="D393" s="62"/>
      <c r="E393" s="62"/>
      <c r="F393" s="62"/>
      <c r="G393" s="62" t="s">
        <v>322</v>
      </c>
      <c r="H393" s="62" t="s">
        <v>2828</v>
      </c>
      <c r="I393" s="62"/>
      <c r="J393" s="62"/>
      <c r="K393" s="62"/>
      <c r="L393" s="62"/>
    </row>
    <row r="394" customFormat="false" ht="33" hidden="false" customHeight="false" outlineLevel="0" collapsed="false">
      <c r="A394" s="62"/>
      <c r="B394" s="62"/>
      <c r="C394" s="62"/>
      <c r="D394" s="62"/>
      <c r="E394" s="62"/>
      <c r="F394" s="62"/>
      <c r="G394" s="62" t="s">
        <v>2829</v>
      </c>
      <c r="H394" s="62"/>
      <c r="I394" s="62"/>
      <c r="J394" s="62"/>
      <c r="K394" s="62"/>
      <c r="L394" s="62"/>
    </row>
    <row r="395" customFormat="false" ht="15.75" hidden="false" customHeight="false" outlineLevel="0" collapsed="false">
      <c r="A395" s="3" t="s">
        <v>211</v>
      </c>
    </row>
    <row r="402" customFormat="false" ht="15.75" hidden="false" customHeight="false" outlineLevel="0" collapsed="false">
      <c r="A402" s="65" t="s">
        <v>281</v>
      </c>
    </row>
  </sheetData>
  <hyperlinks>
    <hyperlink ref="M1" location="Index!A1" display="Index"/>
    <hyperlink ref="A395" r:id="rId1" display="Take Print ;   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Q4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10" activeCellId="0" sqref="G10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C1" s="0" t="n">
        <v>528</v>
      </c>
      <c r="E1" s="0" t="n">
        <v>529</v>
      </c>
      <c r="G1" s="0" t="n">
        <v>530</v>
      </c>
      <c r="I1" s="0" t="n">
        <v>531</v>
      </c>
    </row>
    <row r="2" customFormat="false" ht="15.75" hidden="false" customHeight="false" outlineLevel="0" collapsed="false"/>
    <row r="3" customFormat="false" ht="17.25" hidden="false" customHeight="false" outlineLevel="0" collapsed="false">
      <c r="C3" s="62" t="s">
        <v>2298</v>
      </c>
      <c r="D3" s="62"/>
      <c r="E3" s="62" t="s">
        <v>2399</v>
      </c>
      <c r="F3" s="62"/>
      <c r="G3" s="62" t="s">
        <v>2298</v>
      </c>
      <c r="H3" s="62"/>
      <c r="I3" s="62" t="s">
        <v>2399</v>
      </c>
      <c r="J3" s="62"/>
    </row>
    <row r="4" customFormat="false" ht="33" hidden="false" customHeight="false" outlineLevel="0" collapsed="false">
      <c r="C4" s="62" t="n">
        <v>4</v>
      </c>
      <c r="D4" s="62" t="s">
        <v>771</v>
      </c>
      <c r="E4" s="62" t="n">
        <v>20</v>
      </c>
      <c r="F4" s="62" t="s">
        <v>2403</v>
      </c>
      <c r="G4" s="62" t="n">
        <v>14</v>
      </c>
      <c r="H4" s="62" t="s">
        <v>771</v>
      </c>
      <c r="I4" s="62" t="n">
        <v>12</v>
      </c>
      <c r="J4" s="62" t="s">
        <v>2618</v>
      </c>
      <c r="L4" s="0" t="n">
        <v>224</v>
      </c>
      <c r="M4" s="0" t="n">
        <v>15</v>
      </c>
      <c r="N4" s="0" t="n">
        <v>12</v>
      </c>
      <c r="P4" s="0" t="s">
        <v>2830</v>
      </c>
      <c r="Q4" s="0" t="n">
        <v>89</v>
      </c>
    </row>
    <row r="5" customFormat="false" ht="33" hidden="false" customHeight="false" outlineLevel="0" collapsed="false">
      <c r="C5" s="62" t="n">
        <v>5</v>
      </c>
      <c r="D5" s="62" t="s">
        <v>1024</v>
      </c>
      <c r="E5" s="62" t="s">
        <v>1250</v>
      </c>
      <c r="F5" s="62" t="s">
        <v>2406</v>
      </c>
      <c r="G5" s="62" t="n">
        <v>17</v>
      </c>
      <c r="H5" s="62" t="s">
        <v>1493</v>
      </c>
      <c r="I5" s="62" t="n">
        <v>13</v>
      </c>
      <c r="J5" s="62" t="s">
        <v>2620</v>
      </c>
      <c r="M5" s="0" t="n">
        <v>15</v>
      </c>
      <c r="N5" s="0" t="n">
        <v>12</v>
      </c>
      <c r="P5" s="0" t="s">
        <v>2831</v>
      </c>
      <c r="Q5" s="0" t="n">
        <v>312</v>
      </c>
    </row>
    <row r="6" customFormat="false" ht="33" hidden="false" customHeight="false" outlineLevel="0" collapsed="false">
      <c r="C6" s="62" t="s">
        <v>267</v>
      </c>
      <c r="D6" s="62" t="s">
        <v>268</v>
      </c>
      <c r="E6" s="62" t="s">
        <v>632</v>
      </c>
      <c r="F6" s="62" t="s">
        <v>2408</v>
      </c>
      <c r="G6" s="62" t="n">
        <v>21</v>
      </c>
      <c r="H6" s="62" t="s">
        <v>2579</v>
      </c>
      <c r="I6" s="62"/>
      <c r="J6" s="62"/>
    </row>
    <row r="7" customFormat="false" ht="33" hidden="false" customHeight="false" outlineLevel="0" collapsed="false">
      <c r="C7" s="63" t="s">
        <v>320</v>
      </c>
      <c r="D7" s="62" t="s">
        <v>1831</v>
      </c>
      <c r="E7" s="62" t="s">
        <v>2411</v>
      </c>
      <c r="F7" s="62" t="s">
        <v>2412</v>
      </c>
      <c r="G7" s="62" t="n">
        <v>22</v>
      </c>
      <c r="H7" s="62" t="s">
        <v>771</v>
      </c>
      <c r="I7" s="62" t="n">
        <v>18</v>
      </c>
      <c r="J7" s="62" t="s">
        <v>2623</v>
      </c>
    </row>
    <row r="8" customFormat="false" ht="33" hidden="false" customHeight="false" outlineLevel="0" collapsed="false">
      <c r="E8" s="62"/>
      <c r="F8" s="62" t="s">
        <v>2062</v>
      </c>
      <c r="G8" s="62" t="n">
        <v>23</v>
      </c>
      <c r="H8" s="62" t="s">
        <v>771</v>
      </c>
      <c r="I8" s="62"/>
      <c r="J8" s="62"/>
      <c r="L8" s="0" t="n">
        <v>225</v>
      </c>
      <c r="M8" s="0" t="n">
        <v>12</v>
      </c>
      <c r="N8" s="0" t="n">
        <v>18</v>
      </c>
    </row>
    <row r="9" customFormat="false" ht="33" hidden="false" customHeight="false" outlineLevel="0" collapsed="false">
      <c r="E9" s="62"/>
      <c r="F9" s="62" t="s">
        <v>2416</v>
      </c>
      <c r="G9" s="62" t="n">
        <v>24</v>
      </c>
      <c r="H9" s="62" t="s">
        <v>771</v>
      </c>
      <c r="I9" s="62" t="n">
        <v>19</v>
      </c>
      <c r="J9" s="62" t="s">
        <v>771</v>
      </c>
      <c r="M9" s="4" t="n">
        <f aca="false">SUM(M4:M8)</f>
        <v>42</v>
      </c>
      <c r="N9" s="4" t="n">
        <f aca="false">SUM(N4:N8)</f>
        <v>42</v>
      </c>
    </row>
    <row r="10" customFormat="false" ht="33" hidden="false" customHeight="false" outlineLevel="0" collapsed="false">
      <c r="E10" s="62"/>
      <c r="F10" s="62" t="s">
        <v>792</v>
      </c>
      <c r="G10" s="103" t="s">
        <v>2586</v>
      </c>
      <c r="H10" s="62"/>
      <c r="I10" s="62" t="s">
        <v>267</v>
      </c>
      <c r="J10" s="62" t="s">
        <v>268</v>
      </c>
    </row>
    <row r="11" customFormat="false" ht="33" hidden="false" customHeight="false" outlineLevel="0" collapsed="false">
      <c r="E11" s="62" t="s">
        <v>2421</v>
      </c>
      <c r="F11" s="62" t="s">
        <v>1553</v>
      </c>
      <c r="G11" s="62" t="n">
        <v>1</v>
      </c>
      <c r="H11" s="62" t="s">
        <v>771</v>
      </c>
      <c r="I11" s="63" t="s">
        <v>1251</v>
      </c>
      <c r="J11" s="62" t="s">
        <v>2627</v>
      </c>
    </row>
    <row r="12" customFormat="false" ht="48.75" hidden="false" customHeight="false" outlineLevel="0" collapsed="false">
      <c r="E12" s="62" t="s">
        <v>2423</v>
      </c>
      <c r="F12" s="62" t="s">
        <v>2424</v>
      </c>
      <c r="G12" s="62" t="n">
        <v>2</v>
      </c>
      <c r="H12" s="62" t="s">
        <v>2589</v>
      </c>
      <c r="I12" s="63" t="s">
        <v>270</v>
      </c>
      <c r="J12" s="63" t="s">
        <v>821</v>
      </c>
    </row>
    <row r="13" customFormat="false" ht="33" hidden="false" customHeight="false" outlineLevel="0" collapsed="false">
      <c r="E13" s="62" t="s">
        <v>906</v>
      </c>
      <c r="F13" s="62" t="s">
        <v>2426</v>
      </c>
      <c r="G13" s="62" t="s">
        <v>267</v>
      </c>
      <c r="H13" s="62" t="s">
        <v>268</v>
      </c>
      <c r="I13" s="62" t="s">
        <v>267</v>
      </c>
      <c r="J13" s="62" t="s">
        <v>267</v>
      </c>
    </row>
    <row r="14" customFormat="false" ht="17.25" hidden="false" customHeight="false" outlineLevel="0" collapsed="false">
      <c r="E14" s="62" t="s">
        <v>2429</v>
      </c>
      <c r="F14" s="62"/>
      <c r="G14" s="63" t="s">
        <v>2277</v>
      </c>
      <c r="H14" s="62" t="s">
        <v>2593</v>
      </c>
      <c r="I14" s="64" t="n">
        <v>40820</v>
      </c>
      <c r="J14" s="62" t="s">
        <v>2629</v>
      </c>
    </row>
    <row r="15" customFormat="false" ht="33" hidden="false" customHeight="false" outlineLevel="0" collapsed="false">
      <c r="E15" s="62" t="n">
        <v>1</v>
      </c>
      <c r="F15" s="62" t="s">
        <v>1896</v>
      </c>
      <c r="G15" s="63" t="s">
        <v>270</v>
      </c>
      <c r="H15" s="62"/>
      <c r="I15" s="62" t="s">
        <v>267</v>
      </c>
      <c r="J15" s="62" t="s">
        <v>267</v>
      </c>
    </row>
    <row r="16" customFormat="false" ht="33" hidden="false" customHeight="false" outlineLevel="0" collapsed="false">
      <c r="E16" s="62" t="n">
        <v>2</v>
      </c>
      <c r="F16" s="62" t="s">
        <v>771</v>
      </c>
      <c r="G16" s="62" t="s">
        <v>267</v>
      </c>
      <c r="H16" s="62"/>
      <c r="I16" s="62" t="s">
        <v>2618</v>
      </c>
      <c r="J16" s="62" t="s">
        <v>2630</v>
      </c>
    </row>
    <row r="17" customFormat="false" ht="33" hidden="false" customHeight="false" outlineLevel="0" collapsed="false">
      <c r="E17" s="102" t="s">
        <v>2832</v>
      </c>
      <c r="F17" s="62" t="s">
        <v>907</v>
      </c>
      <c r="G17" s="62" t="s">
        <v>2593</v>
      </c>
      <c r="H17" s="62"/>
      <c r="I17" s="62" t="s">
        <v>771</v>
      </c>
      <c r="J17" s="62"/>
    </row>
    <row r="18" customFormat="false" ht="33" hidden="false" customHeight="false" outlineLevel="0" collapsed="false">
      <c r="E18" s="62" t="s">
        <v>2435</v>
      </c>
      <c r="F18" s="62"/>
      <c r="G18" s="62" t="s">
        <v>267</v>
      </c>
      <c r="H18" s="62"/>
      <c r="I18" s="62"/>
      <c r="J18" s="62"/>
    </row>
    <row r="19" customFormat="false" ht="33" hidden="false" customHeight="false" outlineLevel="0" collapsed="false">
      <c r="E19" s="62" t="n">
        <v>1</v>
      </c>
      <c r="F19" s="62" t="s">
        <v>771</v>
      </c>
      <c r="I19" s="62"/>
      <c r="J19" s="62"/>
    </row>
    <row r="20" customFormat="false" ht="33" hidden="false" customHeight="false" outlineLevel="0" collapsed="false">
      <c r="E20" s="62" t="n">
        <v>2</v>
      </c>
      <c r="F20" s="62" t="s">
        <v>771</v>
      </c>
      <c r="I20" s="62" t="n">
        <v>2043</v>
      </c>
      <c r="J20" s="62" t="s">
        <v>2732</v>
      </c>
    </row>
    <row r="21" customFormat="false" ht="17.25" hidden="false" customHeight="false" outlineLevel="0" collapsed="false">
      <c r="E21" s="62"/>
      <c r="F21" s="62"/>
      <c r="I21" s="62"/>
      <c r="J21" s="63" t="s">
        <v>1291</v>
      </c>
    </row>
    <row r="22" customFormat="false" ht="33" hidden="false" customHeight="false" outlineLevel="0" collapsed="false">
      <c r="E22" s="62" t="n">
        <v>2460</v>
      </c>
      <c r="F22" s="62" t="s">
        <v>2443</v>
      </c>
      <c r="I22" s="62"/>
      <c r="J22" s="62"/>
    </row>
    <row r="23" customFormat="false" ht="33" hidden="false" customHeight="false" outlineLevel="0" collapsed="false">
      <c r="E23" s="62"/>
      <c r="F23" s="63" t="s">
        <v>2446</v>
      </c>
      <c r="I23" s="62"/>
      <c r="J23" s="62"/>
    </row>
    <row r="24" customFormat="false" ht="33" hidden="false" customHeight="false" outlineLevel="0" collapsed="false">
      <c r="E24" s="62" t="s">
        <v>267</v>
      </c>
      <c r="F24" s="62" t="s">
        <v>268</v>
      </c>
      <c r="I24" s="103" t="s">
        <v>2399</v>
      </c>
      <c r="J24" s="62"/>
    </row>
    <row r="25" customFormat="false" ht="33" hidden="false" customHeight="false" outlineLevel="0" collapsed="false">
      <c r="E25" s="63" t="s">
        <v>331</v>
      </c>
      <c r="F25" s="62" t="s">
        <v>2450</v>
      </c>
      <c r="I25" s="62" t="s">
        <v>2760</v>
      </c>
      <c r="J25" s="62" t="s">
        <v>2761</v>
      </c>
    </row>
    <row r="26" customFormat="false" ht="48.75" hidden="false" customHeight="false" outlineLevel="0" collapsed="false">
      <c r="E26" s="63" t="s">
        <v>270</v>
      </c>
      <c r="F26" s="63" t="s">
        <v>821</v>
      </c>
      <c r="I26" s="62" t="s">
        <v>2762</v>
      </c>
      <c r="J26" s="62" t="s">
        <v>2111</v>
      </c>
    </row>
    <row r="27" customFormat="false" ht="33" hidden="false" customHeight="false" outlineLevel="0" collapsed="false">
      <c r="E27" s="62" t="s">
        <v>267</v>
      </c>
      <c r="F27" s="62" t="s">
        <v>267</v>
      </c>
      <c r="I27" s="62" t="s">
        <v>2763</v>
      </c>
      <c r="J27" s="62" t="s">
        <v>2764</v>
      </c>
    </row>
    <row r="28" customFormat="false" ht="33" hidden="false" customHeight="false" outlineLevel="0" collapsed="false">
      <c r="E28" s="62" t="s">
        <v>2455</v>
      </c>
      <c r="F28" s="62" t="s">
        <v>515</v>
      </c>
      <c r="I28" s="62" t="s">
        <v>267</v>
      </c>
      <c r="J28" s="62" t="s">
        <v>268</v>
      </c>
    </row>
    <row r="29" customFormat="false" ht="33" hidden="false" customHeight="false" outlineLevel="0" collapsed="false">
      <c r="E29" s="62" t="s">
        <v>267</v>
      </c>
      <c r="F29" s="62" t="s">
        <v>267</v>
      </c>
      <c r="I29" s="63" t="s">
        <v>269</v>
      </c>
      <c r="J29" s="64" t="n">
        <v>40679</v>
      </c>
    </row>
    <row r="30" customFormat="false" ht="33" hidden="false" customHeight="false" outlineLevel="0" collapsed="false">
      <c r="E30" s="62" t="s">
        <v>2126</v>
      </c>
      <c r="F30" s="62" t="s">
        <v>2457</v>
      </c>
      <c r="I30" s="63" t="s">
        <v>270</v>
      </c>
      <c r="J30" s="62"/>
    </row>
    <row r="31" customFormat="false" ht="33" hidden="false" customHeight="false" outlineLevel="0" collapsed="false">
      <c r="E31" s="62" t="s">
        <v>2459</v>
      </c>
      <c r="F31" s="62"/>
      <c r="I31" s="62" t="s">
        <v>267</v>
      </c>
      <c r="J31" s="62"/>
    </row>
    <row r="32" customFormat="false" ht="17.25" hidden="false" customHeight="false" outlineLevel="0" collapsed="false">
      <c r="I32" s="64" t="n">
        <v>40679</v>
      </c>
      <c r="J32" s="62"/>
    </row>
    <row r="33" customFormat="false" ht="33" hidden="false" customHeight="false" outlineLevel="0" collapsed="false">
      <c r="I33" s="62" t="s">
        <v>2761</v>
      </c>
      <c r="J33" s="62"/>
    </row>
    <row r="34" customFormat="false" ht="33" hidden="false" customHeight="false" outlineLevel="0" collapsed="false">
      <c r="I34" s="62" t="s">
        <v>2765</v>
      </c>
      <c r="J34" s="62"/>
    </row>
    <row r="35" customFormat="false" ht="17.25" hidden="false" customHeight="false" outlineLevel="0" collapsed="false">
      <c r="I35" s="103" t="s">
        <v>2399</v>
      </c>
      <c r="J35" s="62"/>
    </row>
    <row r="36" customFormat="false" ht="17.25" hidden="false" customHeight="false" outlineLevel="0" collapsed="false">
      <c r="I36" s="62" t="s">
        <v>1463</v>
      </c>
      <c r="J36" s="62" t="s">
        <v>1915</v>
      </c>
    </row>
    <row r="37" customFormat="false" ht="33" hidden="false" customHeight="false" outlineLevel="0" collapsed="false">
      <c r="I37" s="62" t="s">
        <v>2775</v>
      </c>
      <c r="J37" s="62" t="s">
        <v>2776</v>
      </c>
    </row>
    <row r="38" customFormat="false" ht="17.25" hidden="false" customHeight="false" outlineLevel="0" collapsed="false">
      <c r="I38" s="63" t="s">
        <v>320</v>
      </c>
      <c r="J38" s="64" t="n">
        <v>40756</v>
      </c>
    </row>
    <row r="39" customFormat="false" ht="33" hidden="false" customHeight="false" outlineLevel="0" collapsed="false">
      <c r="I39" s="63" t="s">
        <v>270</v>
      </c>
      <c r="J39" s="62"/>
    </row>
    <row r="40" customFormat="false" ht="17.25" hidden="false" customHeight="false" outlineLevel="0" collapsed="false">
      <c r="I40" s="64" t="n">
        <v>40756</v>
      </c>
      <c r="J40" s="62"/>
    </row>
    <row r="41" customFormat="false" ht="15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" activeCellId="0" sqref="O5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9.34"/>
  </cols>
  <sheetData>
    <row r="1" customFormat="false" ht="23.85" hidden="false" customHeight="false" outlineLevel="0" collapsed="false">
      <c r="A1" s="104" t="s">
        <v>2833</v>
      </c>
      <c r="B1" s="104" t="s">
        <v>2834</v>
      </c>
      <c r="C1" s="104" t="s">
        <v>0</v>
      </c>
      <c r="D1" s="104" t="s">
        <v>2835</v>
      </c>
      <c r="E1" s="104" t="s">
        <v>2836</v>
      </c>
      <c r="F1" s="104" t="s">
        <v>2837</v>
      </c>
      <c r="G1" s="104" t="s">
        <v>2838</v>
      </c>
      <c r="H1" s="104" t="s">
        <v>2839</v>
      </c>
      <c r="I1" s="104" t="s">
        <v>2840</v>
      </c>
      <c r="J1" s="104" t="s">
        <v>2841</v>
      </c>
      <c r="K1" s="104" t="s">
        <v>369</v>
      </c>
      <c r="L1" s="104" t="s">
        <v>2842</v>
      </c>
      <c r="M1" s="104" t="s">
        <v>370</v>
      </c>
    </row>
    <row r="2" customFormat="false" ht="35.05" hidden="false" customHeight="false" outlineLevel="0" collapsed="false">
      <c r="A2" s="96" t="s">
        <v>2843</v>
      </c>
      <c r="B2" s="96" t="s">
        <v>2</v>
      </c>
      <c r="C2" s="96" t="s">
        <v>2844</v>
      </c>
      <c r="D2" s="96" t="s">
        <v>2845</v>
      </c>
      <c r="E2" s="96" t="s">
        <v>2846</v>
      </c>
      <c r="F2" s="96" t="s">
        <v>2847</v>
      </c>
      <c r="G2" s="96" t="s">
        <v>2848</v>
      </c>
      <c r="H2" s="96" t="s">
        <v>2849</v>
      </c>
      <c r="I2" s="96" t="s">
        <v>2850</v>
      </c>
      <c r="J2" s="96" t="n">
        <v>69</v>
      </c>
      <c r="K2" s="96" t="n">
        <v>192</v>
      </c>
      <c r="L2" s="96" t="n">
        <v>15</v>
      </c>
      <c r="M2" s="96" t="n">
        <v>439</v>
      </c>
    </row>
    <row r="3" customFormat="false" ht="35.05" hidden="false" customHeight="false" outlineLevel="0" collapsed="false">
      <c r="A3" s="96" t="s">
        <v>2843</v>
      </c>
      <c r="B3" s="96" t="s">
        <v>2</v>
      </c>
      <c r="C3" s="96" t="s">
        <v>2844</v>
      </c>
      <c r="D3" s="96" t="s">
        <v>2845</v>
      </c>
      <c r="E3" s="96" t="s">
        <v>2846</v>
      </c>
      <c r="F3" s="96" t="s">
        <v>2847</v>
      </c>
      <c r="G3" s="96" t="s">
        <v>2848</v>
      </c>
      <c r="H3" s="96" t="s">
        <v>2849</v>
      </c>
      <c r="I3" s="96" t="s">
        <v>2850</v>
      </c>
      <c r="J3" s="96" t="n">
        <v>66</v>
      </c>
      <c r="K3" s="96" t="n">
        <v>195</v>
      </c>
      <c r="L3" s="96" t="n">
        <v>13</v>
      </c>
      <c r="M3" s="96" t="n">
        <v>442</v>
      </c>
    </row>
    <row r="4" customFormat="false" ht="46.25" hidden="false" customHeight="false" outlineLevel="0" collapsed="false">
      <c r="A4" s="96" t="s">
        <v>2843</v>
      </c>
      <c r="B4" s="96" t="s">
        <v>2</v>
      </c>
      <c r="C4" s="96" t="s">
        <v>2844</v>
      </c>
      <c r="D4" s="96" t="s">
        <v>2851</v>
      </c>
      <c r="E4" s="96" t="s">
        <v>2852</v>
      </c>
      <c r="F4" s="96" t="s">
        <v>2853</v>
      </c>
      <c r="G4" s="96" t="s">
        <v>2854</v>
      </c>
      <c r="H4" s="96" t="s">
        <v>2855</v>
      </c>
      <c r="I4" s="96" t="s">
        <v>2850</v>
      </c>
      <c r="J4" s="96" t="n">
        <v>125</v>
      </c>
      <c r="K4" s="96" t="n">
        <v>187</v>
      </c>
      <c r="L4" s="105" t="s">
        <v>2856</v>
      </c>
      <c r="M4" s="96" t="n">
        <v>427</v>
      </c>
    </row>
    <row r="5" customFormat="false" ht="46.25" hidden="false" customHeight="false" outlineLevel="0" collapsed="false">
      <c r="A5" s="96" t="s">
        <v>2843</v>
      </c>
      <c r="B5" s="96" t="s">
        <v>2</v>
      </c>
      <c r="C5" s="96" t="s">
        <v>2844</v>
      </c>
      <c r="D5" s="96" t="s">
        <v>2851</v>
      </c>
      <c r="E5" s="96" t="s">
        <v>2852</v>
      </c>
      <c r="F5" s="96" t="s">
        <v>2853</v>
      </c>
      <c r="G5" s="96" t="s">
        <v>2854</v>
      </c>
      <c r="H5" s="96" t="s">
        <v>2855</v>
      </c>
      <c r="I5" s="96" t="s">
        <v>2850</v>
      </c>
      <c r="J5" s="96" t="n">
        <v>125</v>
      </c>
      <c r="K5" s="96" t="n">
        <v>187</v>
      </c>
      <c r="L5" s="105" t="s">
        <v>2856</v>
      </c>
      <c r="M5" s="96" t="n">
        <v>427</v>
      </c>
    </row>
    <row r="6" customFormat="false" ht="46.25" hidden="false" customHeight="false" outlineLevel="0" collapsed="false">
      <c r="A6" s="96" t="s">
        <v>2843</v>
      </c>
      <c r="B6" s="96" t="s">
        <v>2</v>
      </c>
      <c r="C6" s="96" t="s">
        <v>2844</v>
      </c>
      <c r="D6" s="96" t="s">
        <v>2851</v>
      </c>
      <c r="E6" s="96" t="s">
        <v>2852</v>
      </c>
      <c r="F6" s="96" t="s">
        <v>2853</v>
      </c>
      <c r="G6" s="96" t="s">
        <v>2854</v>
      </c>
      <c r="H6" s="96" t="s">
        <v>2855</v>
      </c>
      <c r="I6" s="96" t="s">
        <v>2850</v>
      </c>
      <c r="J6" s="96" t="n">
        <v>66</v>
      </c>
      <c r="K6" s="96" t="n">
        <v>187</v>
      </c>
      <c r="L6" s="96" t="n">
        <v>9</v>
      </c>
      <c r="M6" s="96" t="n">
        <v>428</v>
      </c>
    </row>
    <row r="7" customFormat="false" ht="46.25" hidden="false" customHeight="false" outlineLevel="0" collapsed="false">
      <c r="A7" s="96" t="s">
        <v>2843</v>
      </c>
      <c r="B7" s="96" t="s">
        <v>2</v>
      </c>
      <c r="C7" s="96" t="s">
        <v>2844</v>
      </c>
      <c r="D7" s="96" t="s">
        <v>2857</v>
      </c>
      <c r="E7" s="96" t="s">
        <v>2858</v>
      </c>
      <c r="F7" s="96" t="s">
        <v>2853</v>
      </c>
      <c r="G7" s="96" t="s">
        <v>2859</v>
      </c>
      <c r="H7" s="96" t="s">
        <v>2860</v>
      </c>
      <c r="I7" s="96" t="s">
        <v>2850</v>
      </c>
      <c r="J7" s="96" t="n">
        <v>28</v>
      </c>
      <c r="K7" s="96" t="n">
        <v>485</v>
      </c>
      <c r="L7" s="96" t="n">
        <v>11</v>
      </c>
      <c r="M7" s="96" t="n">
        <v>895</v>
      </c>
    </row>
    <row r="8" customFormat="false" ht="46.25" hidden="false" customHeight="false" outlineLevel="0" collapsed="false">
      <c r="A8" s="96" t="s">
        <v>2843</v>
      </c>
      <c r="B8" s="96" t="s">
        <v>2</v>
      </c>
      <c r="C8" s="96" t="s">
        <v>2844</v>
      </c>
      <c r="D8" s="96" t="s">
        <v>2861</v>
      </c>
      <c r="E8" s="96" t="s">
        <v>2862</v>
      </c>
      <c r="F8" s="96" t="s">
        <v>2853</v>
      </c>
      <c r="G8" s="96" t="s">
        <v>2863</v>
      </c>
      <c r="H8" s="96" t="s">
        <v>2864</v>
      </c>
      <c r="I8" s="96" t="s">
        <v>2850</v>
      </c>
      <c r="J8" s="96" t="n">
        <v>29</v>
      </c>
      <c r="K8" s="96" t="n">
        <v>480</v>
      </c>
      <c r="L8" s="96" t="s">
        <v>603</v>
      </c>
      <c r="M8" s="96" t="n">
        <v>888</v>
      </c>
    </row>
    <row r="9" customFormat="false" ht="35.05" hidden="false" customHeight="false" outlineLevel="0" collapsed="false">
      <c r="A9" s="96" t="s">
        <v>2843</v>
      </c>
      <c r="B9" s="96" t="s">
        <v>2</v>
      </c>
      <c r="C9" s="96" t="s">
        <v>2844</v>
      </c>
      <c r="D9" s="96" t="s">
        <v>2865</v>
      </c>
      <c r="E9" s="96" t="s">
        <v>2866</v>
      </c>
      <c r="F9" s="96" t="s">
        <v>2847</v>
      </c>
      <c r="G9" s="96" t="s">
        <v>2867</v>
      </c>
      <c r="H9" s="96" t="s">
        <v>2868</v>
      </c>
      <c r="I9" s="96" t="s">
        <v>763</v>
      </c>
      <c r="J9" s="96" t="n">
        <v>126</v>
      </c>
      <c r="K9" s="96" t="n">
        <v>271</v>
      </c>
      <c r="L9" s="96" t="n">
        <v>17</v>
      </c>
      <c r="M9" s="96" t="n">
        <v>614</v>
      </c>
    </row>
    <row r="10" customFormat="false" ht="35.05" hidden="false" customHeight="false" outlineLevel="0" collapsed="false">
      <c r="A10" s="96" t="s">
        <v>2843</v>
      </c>
      <c r="B10" s="96" t="s">
        <v>2</v>
      </c>
      <c r="C10" s="96" t="s">
        <v>2844</v>
      </c>
      <c r="D10" s="96" t="s">
        <v>2865</v>
      </c>
      <c r="E10" s="96" t="s">
        <v>2866</v>
      </c>
      <c r="F10" s="96" t="s">
        <v>2847</v>
      </c>
      <c r="G10" s="96" t="s">
        <v>2867</v>
      </c>
      <c r="H10" s="96" t="s">
        <v>2868</v>
      </c>
      <c r="I10" s="96" t="s">
        <v>763</v>
      </c>
      <c r="J10" s="96" t="n">
        <v>53</v>
      </c>
      <c r="K10" s="96" t="n">
        <v>426</v>
      </c>
      <c r="L10" s="96" t="n">
        <v>3</v>
      </c>
      <c r="M10" s="96" t="n">
        <v>851</v>
      </c>
    </row>
    <row r="11" customFormat="false" ht="46.25" hidden="false" customHeight="false" outlineLevel="0" collapsed="false">
      <c r="A11" s="96" t="s">
        <v>2843</v>
      </c>
      <c r="B11" s="96" t="s">
        <v>2</v>
      </c>
      <c r="C11" s="96" t="s">
        <v>2844</v>
      </c>
      <c r="D11" s="96" t="s">
        <v>2869</v>
      </c>
      <c r="E11" s="96" t="s">
        <v>2870</v>
      </c>
      <c r="F11" s="96" t="s">
        <v>2853</v>
      </c>
      <c r="G11" s="96" t="s">
        <v>2871</v>
      </c>
      <c r="H11" s="96" t="s">
        <v>2872</v>
      </c>
      <c r="I11" s="96" t="s">
        <v>2850</v>
      </c>
      <c r="J11" s="96" t="n">
        <v>110</v>
      </c>
      <c r="K11" s="96" t="n">
        <v>89</v>
      </c>
      <c r="L11" s="105" t="s">
        <v>2873</v>
      </c>
      <c r="M11" s="96" t="n">
        <v>264</v>
      </c>
    </row>
    <row r="12" customFormat="false" ht="46.25" hidden="false" customHeight="false" outlineLevel="0" collapsed="false">
      <c r="A12" s="96" t="s">
        <v>2843</v>
      </c>
      <c r="B12" s="96" t="s">
        <v>2</v>
      </c>
      <c r="C12" s="96" t="s">
        <v>2844</v>
      </c>
      <c r="D12" s="96" t="s">
        <v>2869</v>
      </c>
      <c r="E12" s="96" t="s">
        <v>2870</v>
      </c>
      <c r="F12" s="96" t="s">
        <v>2853</v>
      </c>
      <c r="G12" s="96" t="s">
        <v>2871</v>
      </c>
      <c r="H12" s="96" t="s">
        <v>2872</v>
      </c>
      <c r="I12" s="96" t="s">
        <v>2850</v>
      </c>
      <c r="J12" s="96" t="n">
        <v>16</v>
      </c>
      <c r="K12" s="96" t="n">
        <v>131</v>
      </c>
      <c r="L12" s="96" t="n">
        <v>23</v>
      </c>
      <c r="M12" s="96" t="n">
        <v>341</v>
      </c>
    </row>
    <row r="13" customFormat="false" ht="46.25" hidden="false" customHeight="false" outlineLevel="0" collapsed="false">
      <c r="A13" s="96" t="s">
        <v>2843</v>
      </c>
      <c r="B13" s="96" t="s">
        <v>2</v>
      </c>
      <c r="C13" s="96" t="s">
        <v>2844</v>
      </c>
      <c r="D13" s="96" t="s">
        <v>2869</v>
      </c>
      <c r="E13" s="96" t="s">
        <v>2870</v>
      </c>
      <c r="F13" s="96" t="s">
        <v>2853</v>
      </c>
      <c r="G13" s="96" t="s">
        <v>2871</v>
      </c>
      <c r="H13" s="96" t="s">
        <v>2872</v>
      </c>
      <c r="I13" s="96" t="s">
        <v>2850</v>
      </c>
      <c r="J13" s="96" t="n">
        <v>89</v>
      </c>
      <c r="K13" s="96" t="n">
        <v>191</v>
      </c>
      <c r="L13" s="105" t="s">
        <v>595</v>
      </c>
      <c r="M13" s="96" t="n">
        <v>436</v>
      </c>
    </row>
    <row r="14" customFormat="false" ht="46.25" hidden="false" customHeight="false" outlineLevel="0" collapsed="false">
      <c r="A14" s="96" t="s">
        <v>2843</v>
      </c>
      <c r="B14" s="96" t="s">
        <v>2</v>
      </c>
      <c r="C14" s="96" t="s">
        <v>2844</v>
      </c>
      <c r="D14" s="96" t="s">
        <v>2869</v>
      </c>
      <c r="E14" s="96" t="s">
        <v>2870</v>
      </c>
      <c r="F14" s="96" t="s">
        <v>2853</v>
      </c>
      <c r="G14" s="96" t="s">
        <v>2871</v>
      </c>
      <c r="H14" s="96" t="s">
        <v>2872</v>
      </c>
      <c r="I14" s="96" t="s">
        <v>2850</v>
      </c>
      <c r="J14" s="96" t="n">
        <v>88</v>
      </c>
      <c r="K14" s="96" t="n">
        <v>259</v>
      </c>
      <c r="L14" s="96" t="n">
        <v>14</v>
      </c>
      <c r="M14" s="96" t="n">
        <v>547</v>
      </c>
    </row>
    <row r="15" customFormat="false" ht="46.25" hidden="false" customHeight="false" outlineLevel="0" collapsed="false">
      <c r="A15" s="96" t="s">
        <v>2843</v>
      </c>
      <c r="B15" s="96" t="s">
        <v>2</v>
      </c>
      <c r="C15" s="96" t="s">
        <v>2844</v>
      </c>
      <c r="D15" s="96" t="s">
        <v>2874</v>
      </c>
      <c r="E15" s="96" t="s">
        <v>2875</v>
      </c>
      <c r="F15" s="96" t="s">
        <v>2853</v>
      </c>
      <c r="G15" s="96" t="s">
        <v>2876</v>
      </c>
      <c r="H15" s="96" t="s">
        <v>2877</v>
      </c>
      <c r="I15" s="96" t="s">
        <v>2850</v>
      </c>
      <c r="J15" s="96" t="n">
        <v>40</v>
      </c>
      <c r="K15" s="96" t="n">
        <v>440</v>
      </c>
      <c r="L15" s="96" t="s">
        <v>600</v>
      </c>
      <c r="M15" s="96" t="n">
        <v>816</v>
      </c>
    </row>
    <row r="16" customFormat="false" ht="46.25" hidden="false" customHeight="false" outlineLevel="0" collapsed="false">
      <c r="A16" s="96" t="s">
        <v>2843</v>
      </c>
      <c r="B16" s="96" t="s">
        <v>2</v>
      </c>
      <c r="C16" s="96" t="s">
        <v>2844</v>
      </c>
      <c r="D16" s="96" t="s">
        <v>2878</v>
      </c>
      <c r="E16" s="96" t="s">
        <v>2879</v>
      </c>
      <c r="F16" s="96" t="s">
        <v>2853</v>
      </c>
      <c r="G16" s="96" t="s">
        <v>2880</v>
      </c>
      <c r="H16" s="96" t="s">
        <v>2881</v>
      </c>
      <c r="I16" s="96" t="s">
        <v>2850</v>
      </c>
      <c r="J16" s="96" t="n">
        <v>77</v>
      </c>
      <c r="K16" s="96" t="n">
        <v>402</v>
      </c>
      <c r="L16" s="96" t="s">
        <v>2882</v>
      </c>
      <c r="M16" s="96" t="n">
        <v>757</v>
      </c>
    </row>
    <row r="17" customFormat="false" ht="46.25" hidden="false" customHeight="false" outlineLevel="0" collapsed="false">
      <c r="A17" s="96" t="s">
        <v>2843</v>
      </c>
      <c r="B17" s="96" t="s">
        <v>2</v>
      </c>
      <c r="C17" s="96" t="s">
        <v>2844</v>
      </c>
      <c r="D17" s="96" t="s">
        <v>2883</v>
      </c>
      <c r="E17" s="96" t="s">
        <v>2884</v>
      </c>
      <c r="F17" s="96" t="s">
        <v>2853</v>
      </c>
      <c r="G17" s="96" t="s">
        <v>2885</v>
      </c>
      <c r="H17" s="96" t="s">
        <v>2886</v>
      </c>
      <c r="I17" s="96" t="s">
        <v>2850</v>
      </c>
      <c r="J17" s="96" t="n">
        <v>117</v>
      </c>
      <c r="K17" s="96" t="n">
        <v>281</v>
      </c>
      <c r="L17" s="96" t="n">
        <v>18</v>
      </c>
      <c r="M17" s="96" t="n">
        <v>578</v>
      </c>
    </row>
    <row r="18" customFormat="false" ht="46.25" hidden="false" customHeight="false" outlineLevel="0" collapsed="false">
      <c r="A18" s="96" t="s">
        <v>2843</v>
      </c>
      <c r="B18" s="96" t="s">
        <v>2</v>
      </c>
      <c r="C18" s="96" t="s">
        <v>2844</v>
      </c>
      <c r="D18" s="96" t="s">
        <v>2887</v>
      </c>
      <c r="E18" s="96" t="s">
        <v>2888</v>
      </c>
      <c r="F18" s="96" t="s">
        <v>2853</v>
      </c>
      <c r="G18" s="96" t="s">
        <v>2889</v>
      </c>
      <c r="H18" s="96" t="s">
        <v>2890</v>
      </c>
      <c r="I18" s="96" t="s">
        <v>763</v>
      </c>
      <c r="J18" s="96" t="n">
        <v>126</v>
      </c>
      <c r="K18" s="96" t="n">
        <v>272</v>
      </c>
      <c r="L18" s="96" t="n">
        <v>16</v>
      </c>
      <c r="M18" s="96" t="s">
        <v>2891</v>
      </c>
    </row>
    <row r="19" customFormat="false" ht="46.25" hidden="false" customHeight="false" outlineLevel="0" collapsed="false">
      <c r="A19" s="96" t="s">
        <v>2843</v>
      </c>
      <c r="B19" s="96" t="s">
        <v>2</v>
      </c>
      <c r="C19" s="96" t="s">
        <v>2844</v>
      </c>
      <c r="D19" s="96" t="s">
        <v>2887</v>
      </c>
      <c r="E19" s="96" t="s">
        <v>2888</v>
      </c>
      <c r="F19" s="96" t="s">
        <v>2853</v>
      </c>
      <c r="G19" s="96" t="s">
        <v>2889</v>
      </c>
      <c r="H19" s="96" t="s">
        <v>2890</v>
      </c>
      <c r="I19" s="96" t="s">
        <v>763</v>
      </c>
      <c r="J19" s="96" t="n">
        <v>127</v>
      </c>
      <c r="K19" s="96" t="n">
        <v>273</v>
      </c>
      <c r="L19" s="96" t="n">
        <v>14</v>
      </c>
      <c r="M19" s="96" t="n">
        <v>626</v>
      </c>
    </row>
    <row r="20" customFormat="false" ht="46.25" hidden="false" customHeight="false" outlineLevel="0" collapsed="false">
      <c r="A20" s="96" t="s">
        <v>2843</v>
      </c>
      <c r="B20" s="96" t="s">
        <v>2</v>
      </c>
      <c r="C20" s="96" t="s">
        <v>2844</v>
      </c>
      <c r="D20" s="96" t="s">
        <v>2887</v>
      </c>
      <c r="E20" s="96" t="s">
        <v>2888</v>
      </c>
      <c r="F20" s="96" t="s">
        <v>2853</v>
      </c>
      <c r="G20" s="96" t="s">
        <v>2889</v>
      </c>
      <c r="H20" s="96" t="s">
        <v>2890</v>
      </c>
      <c r="I20" s="96" t="s">
        <v>763</v>
      </c>
      <c r="J20" s="96" t="n">
        <v>53</v>
      </c>
      <c r="K20" s="96" t="n">
        <v>426</v>
      </c>
      <c r="L20" s="96" t="n">
        <v>3</v>
      </c>
      <c r="M20" s="96" t="n">
        <v>851</v>
      </c>
    </row>
    <row r="21" customFormat="false" ht="46.25" hidden="false" customHeight="false" outlineLevel="0" collapsed="false">
      <c r="A21" s="96" t="s">
        <v>2843</v>
      </c>
      <c r="B21" s="96" t="s">
        <v>2</v>
      </c>
      <c r="C21" s="96" t="s">
        <v>2844</v>
      </c>
      <c r="D21" s="96" t="s">
        <v>2887</v>
      </c>
      <c r="E21" s="96" t="s">
        <v>2888</v>
      </c>
      <c r="F21" s="96" t="s">
        <v>2853</v>
      </c>
      <c r="G21" s="96" t="s">
        <v>2889</v>
      </c>
      <c r="H21" s="96" t="s">
        <v>2890</v>
      </c>
      <c r="I21" s="96" t="s">
        <v>763</v>
      </c>
      <c r="J21" s="96" t="n">
        <v>128</v>
      </c>
      <c r="K21" s="96" t="n">
        <v>433</v>
      </c>
      <c r="L21" s="96" t="n">
        <v>20</v>
      </c>
      <c r="M21" s="96" t="n">
        <v>867</v>
      </c>
    </row>
    <row r="22" customFormat="false" ht="46.25" hidden="false" customHeight="false" outlineLevel="0" collapsed="false">
      <c r="A22" s="96" t="s">
        <v>2843</v>
      </c>
      <c r="B22" s="96" t="s">
        <v>2</v>
      </c>
      <c r="C22" s="96" t="s">
        <v>2844</v>
      </c>
      <c r="D22" s="96" t="s">
        <v>2887</v>
      </c>
      <c r="E22" s="96" t="s">
        <v>2888</v>
      </c>
      <c r="F22" s="96" t="s">
        <v>2853</v>
      </c>
      <c r="G22" s="96" t="s">
        <v>2889</v>
      </c>
      <c r="H22" s="96" t="s">
        <v>2890</v>
      </c>
      <c r="I22" s="96" t="s">
        <v>763</v>
      </c>
      <c r="J22" s="96" t="n">
        <v>83</v>
      </c>
      <c r="K22" s="96" t="n">
        <v>434</v>
      </c>
      <c r="L22" s="96" t="n">
        <v>17</v>
      </c>
      <c r="M22" s="96" t="n">
        <v>872</v>
      </c>
    </row>
    <row r="23" customFormat="false" ht="46.25" hidden="false" customHeight="false" outlineLevel="0" collapsed="false">
      <c r="A23" s="96" t="s">
        <v>2843</v>
      </c>
      <c r="B23" s="96" t="s">
        <v>2</v>
      </c>
      <c r="C23" s="96" t="s">
        <v>2844</v>
      </c>
      <c r="D23" s="96" t="s">
        <v>2892</v>
      </c>
      <c r="E23" s="96" t="s">
        <v>2893</v>
      </c>
      <c r="F23" s="96" t="s">
        <v>2853</v>
      </c>
      <c r="G23" s="96" t="s">
        <v>2894</v>
      </c>
      <c r="H23" s="96" t="s">
        <v>2895</v>
      </c>
      <c r="I23" s="96" t="s">
        <v>2850</v>
      </c>
      <c r="J23" s="96" t="n">
        <v>4</v>
      </c>
      <c r="K23" s="96" t="n">
        <v>261</v>
      </c>
      <c r="L23" s="96" t="n">
        <v>16</v>
      </c>
      <c r="M23" s="96" t="n">
        <v>558</v>
      </c>
    </row>
    <row r="24" customFormat="false" ht="46.25" hidden="false" customHeight="false" outlineLevel="0" collapsed="false">
      <c r="A24" s="96" t="s">
        <v>2843</v>
      </c>
      <c r="B24" s="96" t="s">
        <v>2</v>
      </c>
      <c r="C24" s="96" t="s">
        <v>2844</v>
      </c>
      <c r="D24" s="96" t="s">
        <v>2892</v>
      </c>
      <c r="E24" s="96" t="s">
        <v>2893</v>
      </c>
      <c r="F24" s="96" t="s">
        <v>2853</v>
      </c>
      <c r="G24" s="96" t="s">
        <v>2894</v>
      </c>
      <c r="H24" s="96" t="s">
        <v>2895</v>
      </c>
      <c r="I24" s="96" t="s">
        <v>2850</v>
      </c>
      <c r="J24" s="96" t="n">
        <v>106</v>
      </c>
      <c r="K24" s="96" t="n">
        <v>56</v>
      </c>
      <c r="L24" s="105" t="s">
        <v>2896</v>
      </c>
      <c r="M24" s="96" t="n">
        <v>212</v>
      </c>
    </row>
    <row r="25" customFormat="false" ht="46.25" hidden="false" customHeight="false" outlineLevel="0" collapsed="false">
      <c r="A25" s="96" t="s">
        <v>2843</v>
      </c>
      <c r="B25" s="96" t="s">
        <v>2</v>
      </c>
      <c r="C25" s="96" t="s">
        <v>2844</v>
      </c>
      <c r="D25" s="96" t="s">
        <v>2892</v>
      </c>
      <c r="E25" s="96" t="s">
        <v>2893</v>
      </c>
      <c r="F25" s="96" t="s">
        <v>2853</v>
      </c>
      <c r="G25" s="96" t="s">
        <v>2894</v>
      </c>
      <c r="H25" s="96" t="s">
        <v>2895</v>
      </c>
      <c r="I25" s="96" t="s">
        <v>2850</v>
      </c>
      <c r="J25" s="96" t="n">
        <v>32</v>
      </c>
      <c r="K25" s="96" t="n">
        <v>57</v>
      </c>
      <c r="L25" s="96" t="n">
        <v>3</v>
      </c>
      <c r="M25" s="96" t="n">
        <v>213</v>
      </c>
    </row>
    <row r="26" customFormat="false" ht="46.25" hidden="false" customHeight="false" outlineLevel="0" collapsed="false">
      <c r="A26" s="96" t="s">
        <v>2843</v>
      </c>
      <c r="B26" s="96" t="s">
        <v>2</v>
      </c>
      <c r="C26" s="96" t="s">
        <v>2844</v>
      </c>
      <c r="D26" s="96" t="s">
        <v>2892</v>
      </c>
      <c r="E26" s="96" t="s">
        <v>2893</v>
      </c>
      <c r="F26" s="96" t="s">
        <v>2853</v>
      </c>
      <c r="G26" s="96" t="s">
        <v>2894</v>
      </c>
      <c r="H26" s="96" t="s">
        <v>2895</v>
      </c>
      <c r="I26" s="96" t="s">
        <v>2850</v>
      </c>
      <c r="J26" s="96" t="n">
        <v>106</v>
      </c>
      <c r="K26" s="96" t="n">
        <v>59</v>
      </c>
      <c r="L26" s="105" t="s">
        <v>595</v>
      </c>
      <c r="M26" s="96" t="n">
        <v>217</v>
      </c>
    </row>
    <row r="27" customFormat="false" ht="46.25" hidden="false" customHeight="false" outlineLevel="0" collapsed="false">
      <c r="A27" s="96" t="s">
        <v>2843</v>
      </c>
      <c r="B27" s="96" t="s">
        <v>2</v>
      </c>
      <c r="C27" s="96" t="s">
        <v>2844</v>
      </c>
      <c r="D27" s="96" t="s">
        <v>2883</v>
      </c>
      <c r="E27" s="96" t="s">
        <v>2884</v>
      </c>
      <c r="F27" s="96" t="s">
        <v>2853</v>
      </c>
      <c r="G27" s="96" t="s">
        <v>2885</v>
      </c>
      <c r="H27" s="96" t="s">
        <v>2886</v>
      </c>
      <c r="I27" s="96" t="s">
        <v>2850</v>
      </c>
      <c r="J27" s="96" t="n">
        <v>9</v>
      </c>
      <c r="K27" s="96" t="n">
        <v>73</v>
      </c>
      <c r="L27" s="105" t="s">
        <v>2897</v>
      </c>
      <c r="M27" s="96" t="n">
        <v>231</v>
      </c>
    </row>
    <row r="28" customFormat="false" ht="46.25" hidden="false" customHeight="false" outlineLevel="0" collapsed="false">
      <c r="A28" s="96" t="s">
        <v>2843</v>
      </c>
      <c r="B28" s="96" t="s">
        <v>2</v>
      </c>
      <c r="C28" s="96" t="s">
        <v>2844</v>
      </c>
      <c r="D28" s="96" t="s">
        <v>2883</v>
      </c>
      <c r="E28" s="96" t="s">
        <v>2884</v>
      </c>
      <c r="F28" s="96" t="s">
        <v>2853</v>
      </c>
      <c r="G28" s="96" t="s">
        <v>2885</v>
      </c>
      <c r="H28" s="96" t="s">
        <v>2886</v>
      </c>
      <c r="I28" s="96" t="s">
        <v>2850</v>
      </c>
      <c r="J28" s="96" t="n">
        <v>20</v>
      </c>
      <c r="K28" s="96" t="n">
        <v>88</v>
      </c>
      <c r="L28" s="105" t="s">
        <v>2898</v>
      </c>
      <c r="M28" s="96" t="n">
        <v>252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2025-04-25T00:18:27Z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