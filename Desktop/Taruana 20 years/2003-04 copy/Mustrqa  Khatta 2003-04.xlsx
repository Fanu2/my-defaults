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2012-13" sheetId="1" state="visible" r:id="rId2"/>
    <sheet name="2007-08" sheetId="2" state="visible" r:id="rId3"/>
    <sheet name="602" sheetId="3" state="visible" r:id="rId4"/>
    <sheet name="2017-18" sheetId="4" state="visible" r:id="rId5"/>
    <sheet name="2023-24" sheetId="5" state="visible" r:id="rId6"/>
    <sheet name="2003-04" sheetId="6" state="visible" r:id="rId7"/>
    <sheet name="EOI" sheetId="7" state="visible" r:id="rId8"/>
    <sheet name="diff" sheetId="8" state="visible" r:id="rId9"/>
    <sheet name="588" sheetId="9" state="visible" r:id="rId10"/>
    <sheet name="posseion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<sst xmlns="http://schemas.openxmlformats.org/spreadsheetml/2006/main" count="1714" uniqueCount="580">
  <si>
    <t xml:space="preserve">Khewat</t>
  </si>
  <si>
    <t xml:space="preserve">Thadeala</t>
  </si>
  <si>
    <t xml:space="preserve">Khewat No: 345</t>
  </si>
  <si>
    <t xml:space="preserve">Marla</t>
  </si>
  <si>
    <t xml:space="preserve">Total Estate Area: 106 Kanals, 10 Marlas (2130 Marlas)</t>
  </si>
  <si>
    <t xml:space="preserve">Gurtej Singh   353/6390  0K-5K-17M-6S                  </t>
  </si>
  <si>
    <t xml:space="preserve">353/6390</t>
  </si>
  <si>
    <t xml:space="preserve">Gurcharan Singh353/6390  0K-5K-17M-6S                  </t>
  </si>
  <si>
    <t xml:space="preserve">Owner          Share     Area                          Remarks</t>
  </si>
  <si>
    <t xml:space="preserve">Satpal Singh   </t>
  </si>
  <si>
    <t xml:space="preserve">353/25560</t>
  </si>
  <si>
    <t xml:space="preserve">------------------------------------------------------------------------------------------</t>
  </si>
  <si>
    <t xml:space="preserve">Sukhpal Singh</t>
  </si>
  <si>
    <t xml:space="preserve">Javir Singh</t>
  </si>
  <si>
    <t xml:space="preserve">Baljeet Kaur</t>
  </si>
  <si>
    <t xml:space="preserve">Basakha Bhajna 8/213     0K-4K-0M                      </t>
  </si>
  <si>
    <t xml:space="preserve">8/213</t>
  </si>
  <si>
    <t xml:space="preserve">harpal lakha   13/710    0K-1K-19M                     </t>
  </si>
  <si>
    <t xml:space="preserve">13/710</t>
  </si>
  <si>
    <t xml:space="preserve">Surjit Singh   29/2130   0K-1K-9M                      </t>
  </si>
  <si>
    <t xml:space="preserve">29/2130</t>
  </si>
  <si>
    <t xml:space="preserve">Gurbachan Singh353/6390  0K-5K-17M-6S                  </t>
  </si>
  <si>
    <t xml:space="preserve">Kartar kaur    328/1065  4K-0K-16M                     </t>
  </si>
  <si>
    <t xml:space="preserve">328/1065</t>
  </si>
  <si>
    <t xml:space="preserve">Satpal singh   82/1065   1K-0K-4M                      </t>
  </si>
  <si>
    <t xml:space="preserve">82/1065</t>
  </si>
  <si>
    <t xml:space="preserve">Avtar Ram Singh267/710   5K-0K-1M                      </t>
  </si>
  <si>
    <t xml:space="preserve">267/710</t>
  </si>
  <si>
    <t xml:space="preserve">Sukhdev Singh  4/1065    0K-0K-8M                      </t>
  </si>
  <si>
    <t xml:space="preserve">4/1065</t>
  </si>
  <si>
    <t xml:space="preserve">TOTAL                    13K-2K-10M</t>
  </si>
  <si>
    <t xml:space="preserve">Khewat No: 410</t>
  </si>
  <si>
    <t xml:space="preserve">Min</t>
  </si>
  <si>
    <t xml:space="preserve">Total Estate Area: 5 Kanals, 12 Marlas (112 Marlas)</t>
  </si>
  <si>
    <t xml:space="preserve">Gurtej         353/6390  0K-0K-6M-2S                   </t>
  </si>
  <si>
    <t xml:space="preserve">Gurcharan      353/6390  0K-0K-6M-2S                   </t>
  </si>
  <si>
    <t xml:space="preserve">sukhdev        4/10065   0K-0K-0M                      </t>
  </si>
  <si>
    <t xml:space="preserve">surjit singh   29/2130   0K-0K-1M-5S                   </t>
  </si>
  <si>
    <t xml:space="preserve">shamsher       656/3195  0K-1K-2M-9S                   </t>
  </si>
  <si>
    <t xml:space="preserve">656/3195</t>
  </si>
  <si>
    <t xml:space="preserve">Satpal         82/1065   0K-0K-8M-6S                   </t>
  </si>
  <si>
    <t xml:space="preserve">sukhdev        4/1065    0K-0K-0M-4S                   </t>
  </si>
  <si>
    <t xml:space="preserve">surjit kaur    89/335    0K-1K-9M-7S                   </t>
  </si>
  <si>
    <t xml:space="preserve">89/355</t>
  </si>
  <si>
    <t xml:space="preserve">harpal &amp;       13/710    0K-0K-2M                      </t>
  </si>
  <si>
    <t xml:space="preserve">satpal Bros    353/6390  0K-0K-6M-2S                   </t>
  </si>
  <si>
    <t xml:space="preserve">kartar kaur    214/3195  0K-0K-7M-5S                   </t>
  </si>
  <si>
    <t xml:space="preserve">214/3195</t>
  </si>
  <si>
    <t xml:space="preserve">surjit kaur    89/355    0K-1K-8M-1S                   </t>
  </si>
  <si>
    <t xml:space="preserve">avtar singh    38/165    0K-1K-5M-7S                   </t>
  </si>
  <si>
    <t xml:space="preserve">38/1065</t>
  </si>
  <si>
    <t xml:space="preserve">Bhajan         8/213     0K-0K-4M-2S                   </t>
  </si>
  <si>
    <t xml:space="preserve">Ram singh      7/2130    0K-0K-0M-3S                   </t>
  </si>
  <si>
    <t xml:space="preserve">7/2130</t>
  </si>
  <si>
    <t xml:space="preserve">Baljeet @D     26/213    0K-0K-13M-6S                  </t>
  </si>
  <si>
    <t xml:space="preserve">26/213</t>
  </si>
  <si>
    <t xml:space="preserve">avtar singh    38/1065   0K-0K-3M-9S                   </t>
  </si>
  <si>
    <t xml:space="preserve">TOTAL                    0K-5K-12M</t>
  </si>
  <si>
    <t xml:space="preserve">Banali</t>
  </si>
  <si>
    <t xml:space="preserve">Khewat No: 414</t>
  </si>
  <si>
    <t xml:space="preserve">Total Estate Area: 99 Kanals, 0 Marlas (1980 Marlas)</t>
  </si>
  <si>
    <t xml:space="preserve">gurcharan singh1/6       2K-0K-10M                     </t>
  </si>
  <si>
    <t xml:space="preserve">1/6</t>
  </si>
  <si>
    <t xml:space="preserve">surjit singh   1/6       2K-0K-10M                     </t>
  </si>
  <si>
    <t xml:space="preserve">satpal         1/11      1K-1K-0M                      </t>
  </si>
  <si>
    <t xml:space="preserve">1/11</t>
  </si>
  <si>
    <t xml:space="preserve">major          2/99      0K-2K-0M                      </t>
  </si>
  <si>
    <t xml:space="preserve">'2/99</t>
  </si>
  <si>
    <t xml:space="preserve">kartar kaur    5/66      0K-7K-10M                     </t>
  </si>
  <si>
    <t xml:space="preserve">'5/66</t>
  </si>
  <si>
    <t xml:space="preserve">Jagpal         2/297     0K-0K-13M-3S                  </t>
  </si>
  <si>
    <t xml:space="preserve">'2/297</t>
  </si>
  <si>
    <t xml:space="preserve">Mahakdep       2/297     0K-0K-13M-3S                  </t>
  </si>
  <si>
    <t xml:space="preserve">Lavjot         2/297     0K-0K-13M-3S                  </t>
  </si>
  <si>
    <t xml:space="preserve">harpal         1/18      0K-5K-10M                     </t>
  </si>
  <si>
    <t xml:space="preserve">1/18</t>
  </si>
  <si>
    <t xml:space="preserve">gurdev kaur@   2/99      0K-2K-0M                      </t>
  </si>
  <si>
    <t xml:space="preserve">Satpal Bros    7/66      1K-2K-10M                     </t>
  </si>
  <si>
    <t xml:space="preserve">'7/66</t>
  </si>
  <si>
    <t xml:space="preserve">basakha        1/132     0K-0K-15M                     </t>
  </si>
  <si>
    <t xml:space="preserve">'1/132</t>
  </si>
  <si>
    <t xml:space="preserve">Bhajana        41/396    1K-2K-5M                      </t>
  </si>
  <si>
    <t xml:space="preserve">'41/396</t>
  </si>
  <si>
    <t xml:space="preserve">Gurmeet singh  1/6       2K-0K-10M                     </t>
  </si>
  <si>
    <t xml:space="preserve">Marlas Input</t>
  </si>
  <si>
    <t xml:space="preserve">Killa</t>
  </si>
  <si>
    <t xml:space="preserve">Kanal</t>
  </si>
  <si>
    <t xml:space="preserve">Sarshai</t>
  </si>
  <si>
    <t xml:space="preserve">Result Text</t>
  </si>
  <si>
    <t xml:space="preserve">TOTAL                    12K-3K-0M</t>
  </si>
  <si>
    <t xml:space="preserve">Dhani</t>
  </si>
  <si>
    <t xml:space="preserve">Khewat No: 331</t>
  </si>
  <si>
    <t xml:space="preserve">Total Estate Area: 112 Kanals, 7 Marlas (2247 Marlas)</t>
  </si>
  <si>
    <t xml:space="preserve">Jasvir Singh</t>
  </si>
  <si>
    <t xml:space="preserve">1/3</t>
  </si>
  <si>
    <t xml:space="preserve">Baljinder Singh</t>
  </si>
  <si>
    <t xml:space="preserve">Gurmeet Singh</t>
  </si>
  <si>
    <t xml:space="preserve">Jasvir Singh   1/3       4K-5K-9M                      </t>
  </si>
  <si>
    <t xml:space="preserve">Baljinder Singh1/3       4K-5K-9M                      </t>
  </si>
  <si>
    <t xml:space="preserve">Gurmeet Singh  1/3       4K-5K-9M                      </t>
  </si>
  <si>
    <t xml:space="preserve">TOTAL                    14K-0K-7M</t>
  </si>
  <si>
    <t xml:space="preserve">13/1 was originally belonged to 3 of us</t>
  </si>
  <si>
    <t xml:space="preserve">Total Mustrqa share of family 5K-1K-10M-0S</t>
  </si>
  <si>
    <t xml:space="preserve">Behlan with shamsher etc</t>
  </si>
  <si>
    <t xml:space="preserve">Khewat No: 362</t>
  </si>
  <si>
    <t xml:space="preserve">Total Estate Area: 7 Kanals, 0 Marlas (140 Marlas)</t>
  </si>
  <si>
    <t xml:space="preserve">Satpal Singh   46/981    0K-2K-6M                      </t>
  </si>
  <si>
    <t xml:space="preserve">46/981</t>
  </si>
  <si>
    <t xml:space="preserve">Jagdev Singh   47/981    0K-2K-7M                      </t>
  </si>
  <si>
    <t xml:space="preserve">47/981</t>
  </si>
  <si>
    <t xml:space="preserve">Gurcharan  Singh220/981   1K-3K-0M                      </t>
  </si>
  <si>
    <t xml:space="preserve">220/981</t>
  </si>
  <si>
    <t xml:space="preserve">Avtar &amp;Ram     479/981   2K-7K-19M                     </t>
  </si>
  <si>
    <t xml:space="preserve">479/981</t>
  </si>
  <si>
    <t xml:space="preserve">Satpal Singh   46/981    0K-0K-6M-5S                   </t>
  </si>
  <si>
    <t xml:space="preserve">shamsher etc   8/109     0K-3K-12M                     </t>
  </si>
  <si>
    <t xml:space="preserve">8/109</t>
  </si>
  <si>
    <t xml:space="preserve">Jagdev Singh   47/981    0K-0K-6M-6S                   </t>
  </si>
  <si>
    <t xml:space="preserve">Kartar Kaur    13/109    0K-5K-17M                     </t>
  </si>
  <si>
    <t xml:space="preserve">13/109</t>
  </si>
  <si>
    <t xml:space="preserve">Gurcharan Singh220/981   0K-1K-11M-4S                  </t>
  </si>
  <si>
    <t xml:space="preserve">Avtar &amp;Ram     478/981   0K-3K-8M-2S                   </t>
  </si>
  <si>
    <t xml:space="preserve">Shamsher Singh 8/109     0K-0K-10M-2S                  </t>
  </si>
  <si>
    <t xml:space="preserve">Kartar Kaur    13/109    0K-0K-16M-6S                  </t>
  </si>
  <si>
    <t xml:space="preserve">TOTAL                    0K-6K-19M-8S</t>
  </si>
  <si>
    <t xml:space="preserve">Behlan-Sanjha</t>
  </si>
  <si>
    <t xml:space="preserve">Khewat No: 339</t>
  </si>
  <si>
    <t xml:space="preserve">Total Estate Area: 69 Kanals, 5 Marlas (1385 Marlas)</t>
  </si>
  <si>
    <t xml:space="preserve">557/15568</t>
  </si>
  <si>
    <t xml:space="preserve">K</t>
  </si>
  <si>
    <t xml:space="preserve">M</t>
  </si>
  <si>
    <t xml:space="preserve">Surjit Singh   405/7784  0K-3K-12M-1S                  </t>
  </si>
  <si>
    <t xml:space="preserve">405/7784</t>
  </si>
  <si>
    <t xml:space="preserve">Gurmeet Singh  689/7784  0K-6K-2M-5S                   </t>
  </si>
  <si>
    <t xml:space="preserve">689/7784</t>
  </si>
  <si>
    <t xml:space="preserve">dhani</t>
  </si>
  <si>
    <t xml:space="preserve">Basakha Singh  36/973    0K-2K-11M-2S                  </t>
  </si>
  <si>
    <t xml:space="preserve">36/973</t>
  </si>
  <si>
    <t xml:space="preserve">Gurcharan Singh96/973    0K-6K-16M-6S                  </t>
  </si>
  <si>
    <t xml:space="preserve">kothe kole</t>
  </si>
  <si>
    <t xml:space="preserve">Chinder Kaur   18/973    0K-1K-5M-6S                   </t>
  </si>
  <si>
    <t xml:space="preserve">18/973</t>
  </si>
  <si>
    <t xml:space="preserve">with samsher</t>
  </si>
  <si>
    <t xml:space="preserve">Gurbachan Singh557/3892  1K-1K-18M-2S                  </t>
  </si>
  <si>
    <t xml:space="preserve">557/3892</t>
  </si>
  <si>
    <t xml:space="preserve">78//24-2</t>
  </si>
  <si>
    <t xml:space="preserve">Satpal Singh   281/3892  0K-4K-19M-9S                  </t>
  </si>
  <si>
    <t xml:space="preserve">281/3892</t>
  </si>
  <si>
    <t xml:space="preserve">Om Praksh      877/3892  1K-7K-12M-1S                  </t>
  </si>
  <si>
    <t xml:space="preserve">877/3892</t>
  </si>
  <si>
    <t xml:space="preserve">Kartar Kaur    95/556    1K-3K-16M-6S                  </t>
  </si>
  <si>
    <t xml:space="preserve">95/556</t>
  </si>
  <si>
    <t xml:space="preserve">Surjit Kaur    365/3892  0K-6K-9M-8S                   </t>
  </si>
  <si>
    <t xml:space="preserve">365/3892</t>
  </si>
  <si>
    <t xml:space="preserve"> </t>
  </si>
  <si>
    <t xml:space="preserve">TOTAL                    8K-5K-5M</t>
  </si>
  <si>
    <t xml:space="preserve">//44</t>
  </si>
  <si>
    <t xml:space="preserve">Khewat No: 359</t>
  </si>
  <si>
    <t xml:space="preserve">5/14</t>
  </si>
  <si>
    <t xml:space="preserve">Jagdev Singh                     </t>
  </si>
  <si>
    <t xml:space="preserve">1/7</t>
  </si>
  <si>
    <t xml:space="preserve">Avtar &amp; Ram</t>
  </si>
  <si>
    <t xml:space="preserve">'½</t>
  </si>
  <si>
    <t xml:space="preserve">Satpal         5/14      0K-2K-10M                     </t>
  </si>
  <si>
    <t xml:space="preserve">Jagdev         1/7       0K-1K-0M                      </t>
  </si>
  <si>
    <t xml:space="preserve">Avtar &amp;Ram     1/2       0K-3K-10M                     </t>
  </si>
  <si>
    <t xml:space="preserve">TOTAL                    0K-7K-0M</t>
  </si>
  <si>
    <t xml:space="preserve">Gurbachan</t>
  </si>
  <si>
    <t xml:space="preserve">OK</t>
  </si>
  <si>
    <t xml:space="preserve">Sold</t>
  </si>
  <si>
    <t xml:space="preserve">Satpal</t>
  </si>
  <si>
    <t xml:space="preserve">om prakash</t>
  </si>
  <si>
    <t xml:space="preserve">1/3 share from wasiat</t>
  </si>
  <si>
    <t xml:space="preserve">Total</t>
  </si>
  <si>
    <t xml:space="preserve">Rasta upto khewat </t>
  </si>
  <si>
    <t xml:space="preserve">Khewat No: 326</t>
  </si>
  <si>
    <t xml:space="preserve">Gurcharan Singh1/6       2K-0K-10M                     </t>
  </si>
  <si>
    <t xml:space="preserve">Surjit Singh   1/6       2K-0K-10M                     </t>
  </si>
  <si>
    <t xml:space="preserve">Gurmeet Singh  1/6       2K-0K-10M                     </t>
  </si>
  <si>
    <t xml:space="preserve">Basakha Singh  1/9       1K-3K-0M                      </t>
  </si>
  <si>
    <t xml:space="preserve">1/9</t>
  </si>
  <si>
    <t xml:space="preserve">Chinder Kaur   1/18      0K-5K-10M                     </t>
  </si>
  <si>
    <t xml:space="preserve">Gurbachan Singh7/66      1K-2K-10M                     </t>
  </si>
  <si>
    <t xml:space="preserve">Satpal Singh   1/11      1K-1K-0M                      </t>
  </si>
  <si>
    <t xml:space="preserve">Kaur Singh     2/33      0K-6K-0M                      </t>
  </si>
  <si>
    <t xml:space="preserve">'2/33</t>
  </si>
  <si>
    <t xml:space="preserve">Kartar Kaur    5/66      0K-7K-10M                     </t>
  </si>
  <si>
    <t xml:space="preserve">96/973</t>
  </si>
  <si>
    <t xml:space="preserve">gurmel Singh</t>
  </si>
  <si>
    <t xml:space="preserve">220/2943</t>
  </si>
  <si>
    <t xml:space="preserve">gurnishan</t>
  </si>
  <si>
    <t xml:space="preserve">110/2943</t>
  </si>
  <si>
    <t xml:space="preserve">sukhwinder</t>
  </si>
  <si>
    <t xml:space="preserve">'673/2943</t>
  </si>
  <si>
    <t xml:space="preserve">gurbakshish</t>
  </si>
  <si>
    <t xml:space="preserve">'110/2943</t>
  </si>
  <si>
    <t xml:space="preserve">Karamjit</t>
  </si>
  <si>
    <t xml:space="preserve">'47/2943</t>
  </si>
  <si>
    <t xml:space="preserve">'94/2943</t>
  </si>
  <si>
    <t xml:space="preserve">karamjit/bhajna</t>
  </si>
  <si>
    <t xml:space="preserve">'20/981</t>
  </si>
  <si>
    <t xml:space="preserve">sukhpreet</t>
  </si>
  <si>
    <t xml:space="preserve">parminder</t>
  </si>
  <si>
    <t xml:space="preserve">'200/981</t>
  </si>
  <si>
    <t xml:space="preserve">avtar</t>
  </si>
  <si>
    <t xml:space="preserve">'79/1962</t>
  </si>
  <si>
    <t xml:space="preserve">Ram Singh</t>
  </si>
  <si>
    <t xml:space="preserve">97/1962</t>
  </si>
  <si>
    <t xml:space="preserve">jaskirat</t>
  </si>
  <si>
    <t xml:space="preserve">'46/981</t>
  </si>
  <si>
    <t xml:space="preserve">shamsher</t>
  </si>
  <si>
    <t xml:space="preserve">'21/109</t>
  </si>
  <si>
    <t xml:space="preserve">2007-08</t>
  </si>
  <si>
    <t xml:space="preserve">2012-13</t>
  </si>
  <si>
    <t xml:space="preserve">2017-18</t>
  </si>
  <si>
    <t xml:space="preserve">1 Min</t>
  </si>
  <si>
    <t xml:space="preserve">2 Min</t>
  </si>
  <si>
    <t xml:space="preserve">97/1440</t>
  </si>
  <si>
    <t xml:space="preserve">100/1251</t>
  </si>
  <si>
    <t xml:space="preserve">2/69</t>
  </si>
  <si>
    <t xml:space="preserve">5/2</t>
  </si>
  <si>
    <t xml:space="preserve">Surjeet Singh</t>
  </si>
  <si>
    <t xml:space="preserve">sukhpal</t>
  </si>
  <si>
    <t xml:space="preserve">6/1</t>
  </si>
  <si>
    <t xml:space="preserve">Jagdev Singh</t>
  </si>
  <si>
    <t xml:space="preserve">979/5760</t>
  </si>
  <si>
    <t xml:space="preserve">250/1251</t>
  </si>
  <si>
    <t xml:space="preserve">Jaskirat</t>
  </si>
  <si>
    <t xml:space="preserve">5/69</t>
  </si>
  <si>
    <t xml:space="preserve">15/2</t>
  </si>
  <si>
    <t xml:space="preserve">Satpal Singh</t>
  </si>
  <si>
    <t xml:space="preserve">gurmeet</t>
  </si>
  <si>
    <t xml:space="preserve">81/640</t>
  </si>
  <si>
    <t xml:space="preserve">41/278</t>
  </si>
  <si>
    <t xml:space="preserve">1/46</t>
  </si>
  <si>
    <t xml:space="preserve">Surjeet Kaur Avtar Sinngh  &amp; Ram Singh</t>
  </si>
  <si>
    <t xml:space="preserve">ram</t>
  </si>
  <si>
    <t xml:space="preserve">43/480</t>
  </si>
  <si>
    <t xml:space="preserve">43/417</t>
  </si>
  <si>
    <t xml:space="preserve">Kartar Kaur Sahmsher Singh &amp; Kehar singh</t>
  </si>
  <si>
    <t xml:space="preserve">jagsir</t>
  </si>
  <si>
    <t xml:space="preserve">1/40</t>
  </si>
  <si>
    <t xml:space="preserve">9/278</t>
  </si>
  <si>
    <t xml:space="preserve">Basakha Singh &amp; Bhjnna Singh</t>
  </si>
  <si>
    <t xml:space="preserve">Bhajan Singh</t>
  </si>
  <si>
    <t xml:space="preserve">37/640</t>
  </si>
  <si>
    <t xml:space="preserve">7/139</t>
  </si>
  <si>
    <t xml:space="preserve">Harpal Singh &amp; Lakhbir Singh</t>
  </si>
  <si>
    <t xml:space="preserve">gurcharan</t>
  </si>
  <si>
    <t xml:space="preserve">89/640</t>
  </si>
  <si>
    <t xml:space="preserve">23/139</t>
  </si>
  <si>
    <t xml:space="preserve">3/46</t>
  </si>
  <si>
    <t xml:space="preserve">Gurcharan</t>
  </si>
  <si>
    <t xml:space="preserve">bansi Lal</t>
  </si>
  <si>
    <t xml:space="preserve">9/64</t>
  </si>
  <si>
    <t xml:space="preserve">11/23</t>
  </si>
  <si>
    <t xml:space="preserve">Gurbachan Singh</t>
  </si>
  <si>
    <t xml:space="preserve">Satpal Sukhpal Jasvir &amp; baljeet</t>
  </si>
  <si>
    <t xml:space="preserve">31/384</t>
  </si>
  <si>
    <t xml:space="preserve">161/1668</t>
  </si>
  <si>
    <t xml:space="preserve">5/138</t>
  </si>
  <si>
    <t xml:space="preserve">Om Parkash</t>
  </si>
  <si>
    <t xml:space="preserve">887/3892</t>
  </si>
  <si>
    <t xml:space="preserve">Maheswari</t>
  </si>
  <si>
    <t xml:space="preserve">inderjeet</t>
  </si>
  <si>
    <t xml:space="preserve">23/640</t>
  </si>
  <si>
    <t xml:space="preserve">25/556</t>
  </si>
  <si>
    <t xml:space="preserve">15 Min</t>
  </si>
  <si>
    <t xml:space="preserve">4/23</t>
  </si>
  <si>
    <t xml:space="preserve">1755/5760</t>
  </si>
  <si>
    <t xml:space="preserve">838/3892</t>
  </si>
  <si>
    <t xml:space="preserve">13/1</t>
  </si>
  <si>
    <t xml:space="preserve">84-03</t>
  </si>
  <si>
    <t xml:space="preserve">0//304</t>
  </si>
  <si>
    <t xml:space="preserve">गढडे</t>
  </si>
  <si>
    <t xml:space="preserve">1-0</t>
  </si>
  <si>
    <t xml:space="preserve">1/12</t>
  </si>
  <si>
    <t xml:space="preserve">353/19170</t>
  </si>
  <si>
    <t xml:space="preserve">7/198</t>
  </si>
  <si>
    <t xml:space="preserve">13-14</t>
  </si>
  <si>
    <t xml:space="preserve">0//493</t>
  </si>
  <si>
    <t xml:space="preserve">0-3</t>
  </si>
  <si>
    <t xml:space="preserve">21/2</t>
  </si>
  <si>
    <t xml:space="preserve">Amadeep Singh</t>
  </si>
  <si>
    <t xml:space="preserve">29//1/1</t>
  </si>
  <si>
    <r>
      <rPr>
        <sz val="12"/>
        <color rgb="FF000000"/>
        <rFont val="FreeSans"/>
        <family val="2"/>
        <charset val="1"/>
      </rPr>
      <t xml:space="preserve">खाली</t>
    </r>
    <r>
      <rPr>
        <sz val="12"/>
        <color rgb="FF000000"/>
        <rFont val="Arial"/>
        <family val="2"/>
        <charset val="1"/>
      </rPr>
      <t xml:space="preserve">/</t>
    </r>
    <r>
      <rPr>
        <sz val="12"/>
        <color rgb="FF000000"/>
        <rFont val="FreeSans"/>
        <family val="2"/>
        <charset val="1"/>
      </rPr>
      <t xml:space="preserve">अन्य कुछ</t>
    </r>
  </si>
  <si>
    <t xml:space="preserve">नहरी</t>
  </si>
  <si>
    <t xml:space="preserve">0-5</t>
  </si>
  <si>
    <t xml:space="preserve">1/48</t>
  </si>
  <si>
    <t xml:space="preserve">'1829/19170</t>
  </si>
  <si>
    <t xml:space="preserve">79/1980</t>
  </si>
  <si>
    <t xml:space="preserve">01-03</t>
  </si>
  <si>
    <t xml:space="preserve">29//2/1</t>
  </si>
  <si>
    <t xml:space="preserve">6-0</t>
  </si>
  <si>
    <t xml:space="preserve">Satpal singh</t>
  </si>
  <si>
    <t xml:space="preserve">1/16</t>
  </si>
  <si>
    <t xml:space="preserve">19/220</t>
  </si>
  <si>
    <t xml:space="preserve">99-00</t>
  </si>
  <si>
    <t xml:space="preserve">72//16</t>
  </si>
  <si>
    <t xml:space="preserve">1-15</t>
  </si>
  <si>
    <t xml:space="preserve">Surjit Kaur</t>
  </si>
  <si>
    <t xml:space="preserve">1/4</t>
  </si>
  <si>
    <t xml:space="preserve">3/99</t>
  </si>
  <si>
    <t xml:space="preserve">72//24/2</t>
  </si>
  <si>
    <t xml:space="preserve">0-8</t>
  </si>
  <si>
    <t xml:space="preserve">3/8</t>
  </si>
  <si>
    <t xml:space="preserve">??</t>
  </si>
  <si>
    <t xml:space="preserve">1/297</t>
  </si>
  <si>
    <t xml:space="preserve">72//25/2</t>
  </si>
  <si>
    <t xml:space="preserve">नहर</t>
  </si>
  <si>
    <t xml:space="preserve">3-18</t>
  </si>
  <si>
    <t xml:space="preserve">1/8</t>
  </si>
  <si>
    <t xml:space="preserve">85//4/2</t>
  </si>
  <si>
    <t xml:space="preserve">2-18</t>
  </si>
  <si>
    <t xml:space="preserve">85//5</t>
  </si>
  <si>
    <t xml:space="preserve">1-14</t>
  </si>
  <si>
    <t xml:space="preserve">5/66</t>
  </si>
  <si>
    <t xml:space="preserve">24//21/2</t>
  </si>
  <si>
    <t xml:space="preserve">बारानी</t>
  </si>
  <si>
    <t xml:space="preserve">3-6</t>
  </si>
  <si>
    <t xml:space="preserve">24//22/2</t>
  </si>
  <si>
    <t xml:space="preserve">3-16</t>
  </si>
  <si>
    <t xml:space="preserve">5-17</t>
  </si>
  <si>
    <t xml:space="preserve">85//6/1</t>
  </si>
  <si>
    <t xml:space="preserve">4-9</t>
  </si>
  <si>
    <t xml:space="preserve">24//23</t>
  </si>
  <si>
    <t xml:space="preserve">7-7</t>
  </si>
  <si>
    <t xml:space="preserve">24//24</t>
  </si>
  <si>
    <t xml:space="preserve">29//11</t>
  </si>
  <si>
    <t xml:space="preserve">6-12</t>
  </si>
  <si>
    <t xml:space="preserve">29//20/1</t>
  </si>
  <si>
    <t xml:space="preserve">0-4</t>
  </si>
  <si>
    <t xml:space="preserve">72//15</t>
  </si>
  <si>
    <t xml:space="preserve">1-11</t>
  </si>
  <si>
    <t xml:space="preserve">4-19</t>
  </si>
  <si>
    <t xml:space="preserve">24//25/2</t>
  </si>
  <si>
    <t xml:space="preserve">110</t>
  </si>
  <si>
    <t xml:space="preserve">29//10/2</t>
  </si>
  <si>
    <t xml:space="preserve">3-10</t>
  </si>
  <si>
    <t xml:space="preserve">0-19</t>
  </si>
  <si>
    <t xml:space="preserve">29//9/2</t>
  </si>
  <si>
    <t xml:space="preserve">4-0</t>
  </si>
  <si>
    <t xml:space="preserve">24//25/1</t>
  </si>
  <si>
    <t xml:space="preserve">29//1/2</t>
  </si>
  <si>
    <t xml:space="preserve">29//10/1</t>
  </si>
  <si>
    <t xml:space="preserve">29//2/2</t>
  </si>
  <si>
    <t xml:space="preserve">2-0</t>
  </si>
  <si>
    <t xml:space="preserve">29//9/1</t>
  </si>
  <si>
    <t xml:space="preserve">72//25/1</t>
  </si>
  <si>
    <t xml:space="preserve">2023-24</t>
  </si>
  <si>
    <t xml:space="preserve">Khewat No: 574</t>
  </si>
  <si>
    <t xml:space="preserve">Khewat No: 575</t>
  </si>
  <si>
    <t xml:space="preserve">Total Estate Area: 13 Kanals, 18 Marlas (278 Marlas)</t>
  </si>
  <si>
    <t xml:space="preserve">Khewat No: 576</t>
  </si>
  <si>
    <t xml:space="preserve">Total Estate Area: 0 Kanals, 23 Marlas (23 Marlas)</t>
  </si>
  <si>
    <t xml:space="preserve">Gurmeet Singh  81/640    0K-4K-1M                      </t>
  </si>
  <si>
    <t xml:space="preserve">Ram Singh      43/960    0K-1K-8M-6S                   </t>
  </si>
  <si>
    <t xml:space="preserve">Gurmeet Singh  41/278    0K-2K-1M                      </t>
  </si>
  <si>
    <t xml:space="preserve">Inderjit Singh 43/1920   0K-0K-14M-3S                  </t>
  </si>
  <si>
    <t xml:space="preserve">Ram Singh      43/834    0K-0K-14M-3S                  </t>
  </si>
  <si>
    <t xml:space="preserve">Gurnishan Singh89/3840   0K-0K-14M-8S                  </t>
  </si>
  <si>
    <t xml:space="preserve">Gurmieet singh 1/46      0K-0K-0M-4S                   </t>
  </si>
  <si>
    <t xml:space="preserve">Inderjit Singh 43/1668   0K-0K-7M-2S                   </t>
  </si>
  <si>
    <t xml:space="preserve">Gurbakshish Singh89/3840   0K-0K-14M-8S                  </t>
  </si>
  <si>
    <t xml:space="preserve">Ram Singh      1/69      0K-0K-0M-3S                   </t>
  </si>
  <si>
    <t xml:space="preserve">Gurnishan Singh23/834    0K-0K-7M-6S                   </t>
  </si>
  <si>
    <t xml:space="preserve">Harpal Singh   1/40      0K-0K-16M                     </t>
  </si>
  <si>
    <t xml:space="preserve">Sandeep kaur   1/345     0K-0K-0M-1S                   </t>
  </si>
  <si>
    <t xml:space="preserve">Gurbakshish Singh23/834    0K-0K-7M-6S                   &amp; Gurdheer Singh</t>
  </si>
  <si>
    <t xml:space="preserve">Bhajan Singh   37/640    0K-1K-17M                     </t>
  </si>
  <si>
    <t xml:space="preserve">Inderjit Singh 1/138     0K-0K-0M-2S                   </t>
  </si>
  <si>
    <t xml:space="preserve">Harpal Singh   9/278     0K-0K-9M                      &amp; Lakhbir Singh</t>
  </si>
  <si>
    <t xml:space="preserve">Gurnam Singh   89/960    0K-2K-19M-3S                  </t>
  </si>
  <si>
    <t xml:space="preserve">Gurnishan Singh1/92      0K-0K-0M-2S                   </t>
  </si>
  <si>
    <t xml:space="preserve">Bhajan Singh   7/139     0K-0K-14M                     </t>
  </si>
  <si>
    <t xml:space="preserve">Parminder Singh33/320    0K-3K-6M                      </t>
  </si>
  <si>
    <t xml:space="preserve">Gurbkhsis Singh1/92      0K-0K-0M-2S                   </t>
  </si>
  <si>
    <t xml:space="preserve">Gurnam Singh   46/417    0K-1K-10M-6S                  &amp; Gurmel Singh</t>
  </si>
  <si>
    <t xml:space="preserve">Inderjit Singh 23/640    0K-1K-3M                      </t>
  </si>
  <si>
    <t xml:space="preserve">Harpal Singh   1/46      0K-0K-0M-4S                   </t>
  </si>
  <si>
    <t xml:space="preserve">Parminder Singh17/139    0K-1K-14M                     </t>
  </si>
  <si>
    <t xml:space="preserve">Sukhpal Singh  97/1440   0K-2K-3M-1S                   </t>
  </si>
  <si>
    <t xml:space="preserve">Bhajan Singh   1/46      0K-0K-0M-4S                   </t>
  </si>
  <si>
    <t xml:space="preserve">Inderjit Singh 25/556    0K-0K-12M-4S                  </t>
  </si>
  <si>
    <t xml:space="preserve">Jaskirat Singh 979/5760  0K-5K-8M-7S                   </t>
  </si>
  <si>
    <t xml:space="preserve">Gurnam Singh   1/23      0K-0K-1M                      </t>
  </si>
  <si>
    <t xml:space="preserve">Sukhpal Singh  100/1251  0K-1K-2M-2S                   </t>
  </si>
  <si>
    <t xml:space="preserve">Jasvir Singh   97/1440   0K-2K-3M-1S                   </t>
  </si>
  <si>
    <t xml:space="preserve">Shamsher Singh 11/23     0K-0K-11M                     </t>
  </si>
  <si>
    <t xml:space="preserve">Jaskirat Singh 250/1251  0K-2K-15M-5S                  </t>
  </si>
  <si>
    <t xml:space="preserve">Shamsher Singh 9/64      0K-4K-10M                     </t>
  </si>
  <si>
    <t xml:space="preserve">Parminder Singh13/345    0K-0K-0M-8S                   </t>
  </si>
  <si>
    <t xml:space="preserve">Jasvir Singh   100/1251  0K-1K-2M-2S                   </t>
  </si>
  <si>
    <t xml:space="preserve">Inderjit singh 1/46      0K-0K-0M-4S                   </t>
  </si>
  <si>
    <t xml:space="preserve">TOTAL                    4K-0K-0M</t>
  </si>
  <si>
    <t xml:space="preserve">Sukhpal Singh  2/69      0K-0K-0M-6S                   </t>
  </si>
  <si>
    <t xml:space="preserve">TOTAL                    1K-5K-18M</t>
  </si>
  <si>
    <t xml:space="preserve">Jaskirat Singh 5/69      0K-0K-1M-6S                   </t>
  </si>
  <si>
    <t xml:space="preserve">Jasvir Singh   2/69      0K-0K-0M-6S                   </t>
  </si>
  <si>
    <t xml:space="preserve">Jattu Ram      4/23      0K-0K-4M                      </t>
  </si>
  <si>
    <t xml:space="preserve">TOTAL                    0K-1K-2M-8S</t>
  </si>
  <si>
    <t xml:space="preserve">Thade</t>
  </si>
  <si>
    <t xml:space="preserve">Sukhdev Singh  4/1065    0K-0K-7M-5S                   </t>
  </si>
  <si>
    <t xml:space="preserve">Jagpal singh   2/891     0K-0K-4M-4S                   </t>
  </si>
  <si>
    <t xml:space="preserve">2/891</t>
  </si>
  <si>
    <t xml:space="preserve">Harpal Singh   13/710    0K-1K-16M-9S                  etc.</t>
  </si>
  <si>
    <t xml:space="preserve">Harpal         13/710    0K-0K-2M                      </t>
  </si>
  <si>
    <t xml:space="preserve">Mehakdeep Singh4/891     0K-0K-8M-8S                   </t>
  </si>
  <si>
    <t xml:space="preserve">4/891</t>
  </si>
  <si>
    <t xml:space="preserve">Gurmeet Singh  353/6390  0K-5K-11M-4S                  </t>
  </si>
  <si>
    <t xml:space="preserve">sandeep kaur   89/3550   0K-0K-2M-7S                   </t>
  </si>
  <si>
    <t xml:space="preserve">Gurnsihan Singh1/36      0K-2K-15M                     </t>
  </si>
  <si>
    <t xml:space="preserve">1/36</t>
  </si>
  <si>
    <t xml:space="preserve">Gurnishan Singh353/38340 0K-0K-18M-5S                  </t>
  </si>
  <si>
    <t xml:space="preserve">353/38340</t>
  </si>
  <si>
    <t xml:space="preserve">Gurmeet Singh  353/6390  0K-0K-6M-2S                   </t>
  </si>
  <si>
    <t xml:space="preserve">Veerpal Kaur   17/396    0K-4K-5M                      </t>
  </si>
  <si>
    <t xml:space="preserve">17/396</t>
  </si>
  <si>
    <t xml:space="preserve">Gurbakhsis Singh353/38340 0K-0K-18M-5S                  </t>
  </si>
  <si>
    <t xml:space="preserve">Gurnishan      353/38340 0K-0K-1M                      </t>
  </si>
  <si>
    <t xml:space="preserve">Jasvir Kaur    19/660    0K-2K-17M                     </t>
  </si>
  <si>
    <t xml:space="preserve">19/660</t>
  </si>
  <si>
    <t xml:space="preserve">Darshan Singh  185/2018  1K-1K-5M                      </t>
  </si>
  <si>
    <t xml:space="preserve">185/2018</t>
  </si>
  <si>
    <t xml:space="preserve">Darshan Singh  15/56     0K-1K-10M                     </t>
  </si>
  <si>
    <t xml:space="preserve">Gurbaksish etc 1/36      0K-2K-15M                     </t>
  </si>
  <si>
    <t xml:space="preserve">Ram  Singh     7/2130    0K-0K-6M-6S                   </t>
  </si>
  <si>
    <t xml:space="preserve">Ram Singh      7/2130    0K-0K-0M-3S                   </t>
  </si>
  <si>
    <t xml:space="preserve">Gurmeet Singh  65/396    2K-0K-5M                      </t>
  </si>
  <si>
    <t xml:space="preserve">65/396</t>
  </si>
  <si>
    <t xml:space="preserve">Baljeet Kaur   26/213    1K-4K-6M-3S                   </t>
  </si>
  <si>
    <t xml:space="preserve">Baljit Kaur    26/213    0K-0K-13M-6S                  </t>
  </si>
  <si>
    <t xml:space="preserve">Lavjot Singh   4/891     0K-0K-8M-8S                   </t>
  </si>
  <si>
    <t xml:space="preserve">5/891</t>
  </si>
  <si>
    <t xml:space="preserve">Gurnam &amp; Gurmail353/9585  0K-3K-14M-3S                  </t>
  </si>
  <si>
    <t xml:space="preserve">353/9585</t>
  </si>
  <si>
    <t xml:space="preserve">Gurnam Gurmel  353/9585  0K-0K-4M-1S                   </t>
  </si>
  <si>
    <t xml:space="preserve">Gurnam &amp; Gurmel1/9       1K-3K-0M                      </t>
  </si>
  <si>
    <t xml:space="preserve">Rajvir &amp; Balkaran8/213     0K-3K-15M-7S                  </t>
  </si>
  <si>
    <t xml:space="preserve">Rajvir Balkaran8/213     0K-0K-4M-2S                   </t>
  </si>
  <si>
    <t xml:space="preserve">Inderjeet Singh3/44      0K-6K-15M                     </t>
  </si>
  <si>
    <t xml:space="preserve">3/44</t>
  </si>
  <si>
    <t xml:space="preserve">Shamsher Sngh  464879/42983401K-2K-18M-2S                  </t>
  </si>
  <si>
    <t xml:space="preserve">464879/4298340</t>
  </si>
  <si>
    <t xml:space="preserve">Shamsher       53/11928  0K-0K-0M-4S                   </t>
  </si>
  <si>
    <t xml:space="preserve">Harpal &amp;Lakhbir1/36      0K-2K-15M                     </t>
  </si>
  <si>
    <t xml:space="preserve">Parminder Singh473/10650 0K-4K-9M-6S                   </t>
  </si>
  <si>
    <t xml:space="preserve">473/10650</t>
  </si>
  <si>
    <t xml:space="preserve">Parminder      1094/5325 0K-1K-3M                      </t>
  </si>
  <si>
    <t xml:space="preserve">Karamjit Kaur  7/396     0K-1K-15M                     </t>
  </si>
  <si>
    <t xml:space="preserve">7/396</t>
  </si>
  <si>
    <t xml:space="preserve">Inderjit Singh 74/1065   0K-7K-0M-2S                   </t>
  </si>
  <si>
    <t xml:space="preserve">74/1065</t>
  </si>
  <si>
    <t xml:space="preserve">Inderji        74/1065   0K-0K-7M-7S                   </t>
  </si>
  <si>
    <t xml:space="preserve">Sukhjit Kaur   7/396     0K-1K-15M                     </t>
  </si>
  <si>
    <t xml:space="preserve">Amandeep singh 353/19170 0K-1K-17M-1S                  </t>
  </si>
  <si>
    <t xml:space="preserve">Amandeep       353/19170 0K-0K-2M-1S                   </t>
  </si>
  <si>
    <t xml:space="preserve">Manjit Kaur    7/396     0K-1K-15M                     </t>
  </si>
  <si>
    <t xml:space="preserve">Jasvir Singh   353/19170 0K-1K-17M-1S                  </t>
  </si>
  <si>
    <t xml:space="preserve">Jaskirat       1829/191700K-0K-10M-6S                  </t>
  </si>
  <si>
    <t xml:space="preserve">Gurpal Singh   2/297     0K-0K-13M-3S                  </t>
  </si>
  <si>
    <t xml:space="preserve">2/297</t>
  </si>
  <si>
    <t xml:space="preserve">Kehar Singh    38879/42983400K-0K-18M-2S                  </t>
  </si>
  <si>
    <t xml:space="preserve">38879/4298340</t>
  </si>
  <si>
    <t xml:space="preserve">Jasvir Singh   353/19170 0K-0K-2M-1S                   </t>
  </si>
  <si>
    <t xml:space="preserve">Harpal Singh   2/297     0K-0K-13M-3S                  </t>
  </si>
  <si>
    <t xml:space="preserve">Veerpal kaur   50/1009   0K-5K-0M                      </t>
  </si>
  <si>
    <t xml:space="preserve">50/1009</t>
  </si>
  <si>
    <t xml:space="preserve">Gurbakhsis     353/38340 0K-0K-1M                      </t>
  </si>
  <si>
    <t xml:space="preserve">Gurvinder Singh2/297     0K-0K-13M-3S                  </t>
  </si>
  <si>
    <t xml:space="preserve">Paramjit Kaur  50/1009   0K-5K-0M                      </t>
  </si>
  <si>
    <t xml:space="preserve">Gurpreet Singh 2/297     0K-0K-13M-3S                  </t>
  </si>
  <si>
    <t xml:space="preserve">Avtar Singh    267/1775  1K-7K-3M-5S                   </t>
  </si>
  <si>
    <t xml:space="preserve">267/1775</t>
  </si>
  <si>
    <t xml:space="preserve">Shamsher &amp; Kehar5/66      0K-7K-10M                     </t>
  </si>
  <si>
    <t xml:space="preserve">Jaskirat singh 1829/191701K-1K-12M-5S                  </t>
  </si>
  <si>
    <t xml:space="preserve">1829/19170</t>
  </si>
  <si>
    <t xml:space="preserve">Parminder Singh1/12      1K-0K-5M                      </t>
  </si>
  <si>
    <t xml:space="preserve">‘1/12</t>
  </si>
  <si>
    <t xml:space="preserve">Satpal Singh   19/220    1K-0K-11M                     </t>
  </si>
  <si>
    <t xml:space="preserve">sukhpal singh  2/891     0K-0K-4M-4S                   </t>
  </si>
  <si>
    <t xml:space="preserve">Amandeep Singh 7/198     0K-3K-10M                     </t>
  </si>
  <si>
    <t xml:space="preserve">Jaskirat Singh 79/1980   0K-3K-19M                     </t>
  </si>
  <si>
    <t xml:space="preserve">Jasvir Singh   7/198     0K-3K-10M                     </t>
  </si>
  <si>
    <t xml:space="preserve">Rajvir &amp; Balkaran7/220     0K-3K-3M                      </t>
  </si>
  <si>
    <t xml:space="preserve">7/220</t>
  </si>
  <si>
    <t xml:space="preserve">Ajaib singh Mithu Singh etc.2/99      0K-2K-0M                      </t>
  </si>
  <si>
    <t xml:space="preserve">2/99</t>
  </si>
  <si>
    <t xml:space="preserve">Khewat No: 583</t>
  </si>
  <si>
    <t xml:space="preserve">Khewat No: 584</t>
  </si>
  <si>
    <t xml:space="preserve">Khewat No: 588</t>
  </si>
  <si>
    <t xml:space="preserve">Total Estate Area: 100 Kanals, 18 Marlas (2018 Marlas)</t>
  </si>
  <si>
    <t xml:space="preserve">Sukhdev singh  4/1065    0K-0K-0M-4S                   </t>
  </si>
  <si>
    <t xml:space="preserve">//142</t>
  </si>
  <si>
    <t xml:space="preserve">Harpal &amp; Lakhbir Singh13/710    0K-0K-2M                      </t>
  </si>
  <si>
    <t xml:space="preserve">'21/2</t>
  </si>
  <si>
    <t xml:space="preserve">'5-12</t>
  </si>
  <si>
    <t xml:space="preserve">Sandeep Kaur   89/3550   0K-0K-2M-7S                   </t>
  </si>
  <si>
    <t xml:space="preserve">Gurmeet singh  353/6390  0K-0K-6M-2S                   </t>
  </si>
  <si>
    <t xml:space="preserve">Kashtkar</t>
  </si>
  <si>
    <t xml:space="preserve">Gurnsihan Singh353/38340 0K-0K-1M                      </t>
  </si>
  <si>
    <t xml:space="preserve">Shamsher &amp; Kehar</t>
  </si>
  <si>
    <t xml:space="preserve">Baljeet Kaur   26/213    0K-0K-13M-6S                  </t>
  </si>
  <si>
    <t xml:space="preserve">Gurnam &amp;gurmail353/9585  0K-0K-4M-1S                   </t>
  </si>
  <si>
    <t xml:space="preserve">Rajvir &amp; Balkaran8/213     0K-0K-4M-2S                   </t>
  </si>
  <si>
    <t xml:space="preserve">Shamsher &amp;Kehar53/11928  0K-0K-0M-4S                   </t>
  </si>
  <si>
    <t xml:space="preserve">Parminder Singh1094/5325 0K-1K-3M                      </t>
  </si>
  <si>
    <t xml:space="preserve">Inderjeet Singh74/1065   0K-0K-7M-7S                   </t>
  </si>
  <si>
    <t xml:space="preserve">Amandeep Singh 353/19170 0K-0K-2M-1S                   </t>
  </si>
  <si>
    <t xml:space="preserve">Jaskirat Singh 1829/191700K-0K-10M-6S                  </t>
  </si>
  <si>
    <t xml:space="preserve">Gurbaksish etc 353/38340 0K-0K-1M                      </t>
  </si>
  <si>
    <t xml:space="preserve">TOTAL                    12K-4K-18M</t>
  </si>
  <si>
    <t xml:space="preserve">Summary Total- Jasvir Singh</t>
  </si>
  <si>
    <t xml:space="preserve">Summary Total- Amandeep Singh</t>
  </si>
  <si>
    <t xml:space="preserve">Summary Total- Jaskirat Singh</t>
  </si>
  <si>
    <t xml:space="preserve">Summary Total- Jaskirat Singh Satpal Singh portion</t>
  </si>
  <si>
    <t xml:space="preserve">Summary Total- Sukhpal Singh</t>
  </si>
  <si>
    <t xml:space="preserve">Total Share of Father</t>
  </si>
  <si>
    <t xml:space="preserve">Total Share of Satpal</t>
  </si>
  <si>
    <t xml:space="preserve">Adjusted from Banali</t>
  </si>
  <si>
    <t xml:space="preserve">Father</t>
  </si>
  <si>
    <t xml:space="preserve">Less 171 marla each</t>
  </si>
  <si>
    <t xml:space="preserve">Adjusted from Thade</t>
  </si>
  <si>
    <t xml:space="preserve">16 Marla</t>
  </si>
  <si>
    <t xml:space="preserve">Khewat No: 322</t>
  </si>
  <si>
    <t xml:space="preserve">Khewat No: 337</t>
  </si>
  <si>
    <t xml:space="preserve">Total Estate Area: 49 Kanals, 1 Marlas (981 Marlas)</t>
  </si>
  <si>
    <t xml:space="preserve">TOTAL                    6K-1K-1M</t>
  </si>
  <si>
    <t xml:space="preserve">Khewat No: 318</t>
  </si>
  <si>
    <t xml:space="preserve">Gurcharan Singh</t>
  </si>
  <si>
    <t xml:space="preserve">717/1946</t>
  </si>
  <si>
    <t xml:space="preserve">Surjit Singh                      </t>
  </si>
  <si>
    <t xml:space="preserve">gurcharan      96/973    0K-6K-16M-6S                  </t>
  </si>
  <si>
    <t xml:space="preserve">gurbachan      717/1946  3K-1K-10M-3S                  </t>
  </si>
  <si>
    <t xml:space="preserve">surjit kaur</t>
  </si>
  <si>
    <t xml:space="preserve">surjit singh   405/7784  0K-3K-12M-1S                  </t>
  </si>
  <si>
    <t xml:space="preserve">Kartar Kaur    </t>
  </si>
  <si>
    <t xml:space="preserve">gurmit         689/7784  0K-6K-2M-5S                   </t>
  </si>
  <si>
    <t xml:space="preserve">baskaha</t>
  </si>
  <si>
    <t xml:space="preserve">satpal         281/3892  0K-4K-19M-9S                  </t>
  </si>
  <si>
    <t xml:space="preserve">shinder kaur</t>
  </si>
  <si>
    <t xml:space="preserve">surjit kaur    365/3892  0K-6K-9M-8S                   </t>
  </si>
  <si>
    <t xml:space="preserve">kartar kaur    95/556    1K-3K-16M-6S                  </t>
  </si>
  <si>
    <t xml:space="preserve">basakha        36/973    0K-2K-11M-2S                  </t>
  </si>
  <si>
    <t xml:space="preserve">shinderkaur    18/973    0K-1K-5M-6S                   </t>
  </si>
  <si>
    <t xml:space="preserve">Malki</t>
  </si>
  <si>
    <t xml:space="preserve">123.5 Marla available</t>
  </si>
  <si>
    <t xml:space="preserve">Where gone Killa 23/2</t>
  </si>
  <si>
    <t xml:space="preserve">2K8M</t>
  </si>
  <si>
    <t xml:space="preserve">shifted to Kh No. 421</t>
  </si>
  <si>
    <t xml:space="preserve">'1/297</t>
  </si>
  <si>
    <t xml:space="preserve">Satpal singh &amp; Gurbachan Singh</t>
  </si>
  <si>
    <t xml:space="preserve">gurpal singh</t>
  </si>
  <si>
    <t xml:space="preserve">jagpal</t>
  </si>
  <si>
    <t xml:space="preserve">mahakdeep</t>
  </si>
  <si>
    <t xml:space="preserve">lavjot</t>
  </si>
  <si>
    <t xml:space="preserve">harpal</t>
  </si>
  <si>
    <t xml:space="preserve">basakha</t>
  </si>
  <si>
    <t xml:space="preserve">gurdev kaur</t>
  </si>
  <si>
    <t xml:space="preserve">sukhjit</t>
  </si>
  <si>
    <t xml:space="preserve">'7/396</t>
  </si>
  <si>
    <t xml:space="preserve">manjot</t>
  </si>
  <si>
    <t xml:space="preserve">rajvir</t>
  </si>
  <si>
    <t xml:space="preserve">'3/44</t>
  </si>
  <si>
    <t xml:space="preserve">'1/99</t>
  </si>
  <si>
    <t xml:space="preserve">gurvinder</t>
  </si>
  <si>
    <t xml:space="preserve">malkit</t>
  </si>
  <si>
    <t xml:space="preserve">'2003-04</t>
  </si>
  <si>
    <t xml:space="preserve">'2023-24</t>
  </si>
  <si>
    <t xml:space="preserve">Diff.</t>
  </si>
  <si>
    <t xml:space="preserve">Physical</t>
  </si>
  <si>
    <t xml:space="preserve">Gurtej Singh</t>
  </si>
  <si>
    <t xml:space="preserve">Surjit Singh</t>
  </si>
  <si>
    <t xml:space="preserve">Ajmer Singh</t>
  </si>
  <si>
    <t xml:space="preserve">Sukhdev Singh</t>
  </si>
  <si>
    <t xml:space="preserve">Shamsher</t>
  </si>
  <si>
    <t xml:space="preserve">Ram</t>
  </si>
  <si>
    <t xml:space="preserve">Kehar</t>
  </si>
  <si>
    <t xml:space="preserve">Avtar</t>
  </si>
  <si>
    <t xml:space="preserve">Kabja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</si>
</sst>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mm/dd/yy"/>
    <numFmt numFmtId="168" formatCode="0.00000"/>
    <numFmt numFmtId="169" formatCode="d\-mmm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sz val="11"/>
      <color rgb="FF3465A4"/>
      <name val="Calibri"/>
      <family val="2"/>
      <charset val="1"/>
    </font>
    <font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FreeSan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6DCE5"/>
        <bgColor rgb="FFDDDDDD"/>
      </patternFill>
    </fill>
    <fill>
      <patternFill patternType="solid">
        <fgColor rgb="FFE7E6E6"/>
        <bgColor rgb="FFDEEBF7"/>
      </patternFill>
    </fill>
    <fill>
      <patternFill patternType="solid">
        <fgColor rgb="FFDEEBF7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2F2F2"/>
        <bgColor rgb="FFF5F5F5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5F5F5"/>
        <bgColor rgb="FFF2F2F2"/>
      </patternFill>
    </fill>
    <fill>
      <patternFill patternType="solid">
        <fgColor rgb="FFF9F9F9"/>
        <bgColor rgb="FFF5F5F5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999999"/>
      </top>
      <bottom style="medium">
        <color rgb="FFDDDDDD"/>
      </bottom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DDDDDD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DDDDDD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DDDDDD"/>
      </top>
      <bottom style="medium">
        <color rgb="FF999999"/>
      </bottom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DDDDDD"/>
      </top>
      <bottom style="medium">
        <color rgb="FFDDDDDD"/>
      </bottom>
      <diagonal/>
    </border>
    <border diagonalUp="false" diagonalDown="false">
      <left style="medium">
        <color rgb="FF999999"/>
      </left>
      <right style="medium">
        <color rgb="FFDDDDDD"/>
      </right>
      <top style="medium">
        <color rgb="FF999999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DDDDDD"/>
      </right>
      <top style="medium">
        <color rgb="FF999999"/>
      </top>
      <bottom style="medium">
        <color rgb="FF999999"/>
      </bottom>
      <diagonal/>
    </border>
    <border diagonalUp="false" diagonalDown="false">
      <left style="medium">
        <color rgb="FFDDDDDD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9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1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9" fontId="13" fillId="9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1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1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" fillId="1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1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9" fontId="13" fillId="1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10" borderId="1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3" fillId="10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5F5F5"/>
      <rgbColor rgb="FFE7E6E6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3465A4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173</xdr:row>
      <xdr:rowOff>0</xdr:rowOff>
    </xdr:from>
    <xdr:to>
      <xdr:col>12</xdr:col>
      <xdr:colOff>375480</xdr:colOff>
      <xdr:row>223</xdr:row>
      <xdr:rowOff>45000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812880" y="30635640"/>
          <a:ext cx="10385640" cy="880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0</xdr:colOff>
      <xdr:row>177</xdr:row>
      <xdr:rowOff>0</xdr:rowOff>
    </xdr:from>
    <xdr:to>
      <xdr:col>18</xdr:col>
      <xdr:colOff>4320</xdr:colOff>
      <xdr:row>182</xdr:row>
      <xdr:rowOff>7920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12448440" y="31336560"/>
          <a:ext cx="3255480" cy="884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142</xdr:row>
      <xdr:rowOff>0</xdr:rowOff>
    </xdr:from>
    <xdr:to>
      <xdr:col>12</xdr:col>
      <xdr:colOff>375480</xdr:colOff>
      <xdr:row>192</xdr:row>
      <xdr:rowOff>45000</xdr:rowOff>
    </xdr:to>
    <xdr:pic>
      <xdr:nvPicPr>
        <xdr:cNvPr id="2" name="Image 2" descr=""/>
        <xdr:cNvPicPr/>
      </xdr:nvPicPr>
      <xdr:blipFill>
        <a:blip r:embed="rId1"/>
        <a:stretch/>
      </xdr:blipFill>
      <xdr:spPr>
        <a:xfrm>
          <a:off x="812880" y="25157520"/>
          <a:ext cx="10385640" cy="880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0</xdr:colOff>
      <xdr:row>146</xdr:row>
      <xdr:rowOff>0</xdr:rowOff>
    </xdr:from>
    <xdr:to>
      <xdr:col>18</xdr:col>
      <xdr:colOff>4320</xdr:colOff>
      <xdr:row>151</xdr:row>
      <xdr:rowOff>7920</xdr:rowOff>
    </xdr:to>
    <xdr:pic>
      <xdr:nvPicPr>
        <xdr:cNvPr id="3" name="Image 3" descr=""/>
        <xdr:cNvPicPr/>
      </xdr:nvPicPr>
      <xdr:blipFill>
        <a:blip r:embed="rId2"/>
        <a:stretch/>
      </xdr:blipFill>
      <xdr:spPr>
        <a:xfrm>
          <a:off x="12448440" y="25858440"/>
          <a:ext cx="3255480" cy="884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638640</xdr:colOff>
      <xdr:row>42</xdr:row>
      <xdr:rowOff>144720</xdr:rowOff>
    </xdr:to>
    <xdr:pic>
      <xdr:nvPicPr>
        <xdr:cNvPr id="4" name="Image 1" descr=""/>
        <xdr:cNvPicPr/>
      </xdr:nvPicPr>
      <xdr:blipFill>
        <a:blip r:embed="rId1"/>
        <a:stretch/>
      </xdr:blipFill>
      <xdr:spPr>
        <a:xfrm>
          <a:off x="5689440" y="220320"/>
          <a:ext cx="10873080" cy="7330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121</xdr:row>
      <xdr:rowOff>0</xdr:rowOff>
    </xdr:from>
    <xdr:to>
      <xdr:col>12</xdr:col>
      <xdr:colOff>375480</xdr:colOff>
      <xdr:row>171</xdr:row>
      <xdr:rowOff>44640</xdr:rowOff>
    </xdr:to>
    <xdr:pic>
      <xdr:nvPicPr>
        <xdr:cNvPr id="5" name="Image 2" descr=""/>
        <xdr:cNvPicPr/>
      </xdr:nvPicPr>
      <xdr:blipFill>
        <a:blip r:embed="rId1"/>
        <a:stretch/>
      </xdr:blipFill>
      <xdr:spPr>
        <a:xfrm>
          <a:off x="812880" y="21431880"/>
          <a:ext cx="10385640" cy="880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0</xdr:colOff>
      <xdr:row>125</xdr:row>
      <xdr:rowOff>0</xdr:rowOff>
    </xdr:from>
    <xdr:to>
      <xdr:col>18</xdr:col>
      <xdr:colOff>4320</xdr:colOff>
      <xdr:row>130</xdr:row>
      <xdr:rowOff>7560</xdr:rowOff>
    </xdr:to>
    <xdr:pic>
      <xdr:nvPicPr>
        <xdr:cNvPr id="6" name="Image 3" descr=""/>
        <xdr:cNvPicPr/>
      </xdr:nvPicPr>
      <xdr:blipFill>
        <a:blip r:embed="rId2"/>
        <a:stretch/>
      </xdr:blipFill>
      <xdr:spPr>
        <a:xfrm>
          <a:off x="12448440" y="22132800"/>
          <a:ext cx="3255480" cy="884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172440</xdr:colOff>
      <xdr:row>28</xdr:row>
      <xdr:rowOff>94680</xdr:rowOff>
    </xdr:to>
    <xdr:pic>
      <xdr:nvPicPr>
        <xdr:cNvPr id="7" name="Image 5" descr=""/>
        <xdr:cNvPicPr/>
      </xdr:nvPicPr>
      <xdr:blipFill>
        <a:blip r:embed="rId1"/>
        <a:stretch/>
      </xdr:blipFill>
      <xdr:spPr>
        <a:xfrm>
          <a:off x="0" y="0"/>
          <a:ext cx="6674760" cy="464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12</xdr:col>
      <xdr:colOff>578880</xdr:colOff>
      <xdr:row>85</xdr:row>
      <xdr:rowOff>106200</xdr:rowOff>
    </xdr:to>
    <xdr:pic>
      <xdr:nvPicPr>
        <xdr:cNvPr id="8" name="Image 7" descr=""/>
        <xdr:cNvPicPr/>
      </xdr:nvPicPr>
      <xdr:blipFill>
        <a:blip r:embed="rId2"/>
        <a:stretch/>
      </xdr:blipFill>
      <xdr:spPr>
        <a:xfrm>
          <a:off x="0" y="4876920"/>
          <a:ext cx="10332360" cy="904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5</xdr:row>
      <xdr:rowOff>0</xdr:rowOff>
    </xdr:from>
    <xdr:to>
      <xdr:col>10</xdr:col>
      <xdr:colOff>71280</xdr:colOff>
      <xdr:row>59</xdr:row>
      <xdr:rowOff>125280</xdr:rowOff>
    </xdr:to>
    <xdr:pic>
      <xdr:nvPicPr>
        <xdr:cNvPr id="9" name="Image 6" descr=""/>
        <xdr:cNvPicPr/>
      </xdr:nvPicPr>
      <xdr:blipFill>
        <a:blip r:embed="rId1"/>
        <a:stretch/>
      </xdr:blipFill>
      <xdr:spPr>
        <a:xfrm>
          <a:off x="4876920" y="812880"/>
          <a:ext cx="3322440" cy="890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4</xdr:col>
      <xdr:colOff>150840</xdr:colOff>
      <xdr:row>52</xdr:row>
      <xdr:rowOff>25200</xdr:rowOff>
    </xdr:to>
    <xdr:pic>
      <xdr:nvPicPr>
        <xdr:cNvPr id="10" name="Image 4" descr=""/>
        <xdr:cNvPicPr/>
      </xdr:nvPicPr>
      <xdr:blipFill>
        <a:blip r:embed="rId2"/>
        <a:stretch/>
      </xdr:blipFill>
      <xdr:spPr>
        <a:xfrm>
          <a:off x="812880" y="812880"/>
          <a:ext cx="2589120" cy="7665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R172"/>
  <sheetViews>
    <sheetView showFormulas="false" showGridLines="true" showRowColHeaders="true" showZeros="true" rightToLeft="false" tabSelected="false" showOutlineSymbols="true" defaultGridColor="true" view="normal" topLeftCell="A186" colorId="64" zoomScale="100" zoomScaleNormal="100" zoomScalePageLayoutView="100" workbookViewId="0">
      <selection pane="topLeft" activeCell="G173" activeCellId="0" sqref="G173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25.85"/>
    <col collapsed="false" customWidth="true" hidden="false" outlineLevel="0" max="9" min="9" style="1" width="7.65"/>
    <col collapsed="false" customWidth="true" hidden="false" outlineLevel="0" max="10" min="10" style="1" width="16.27"/>
  </cols>
  <sheetData>
    <row r="3" customFormat="false" ht="17.35" hidden="false" customHeight="false" outlineLevel="0" collapsed="false">
      <c r="B3" s="2" t="s">
        <v>0</v>
      </c>
      <c r="C3" s="3" t="n">
        <v>409</v>
      </c>
      <c r="D3" s="4"/>
      <c r="E3" s="2" t="s">
        <v>1</v>
      </c>
      <c r="F3" s="5"/>
      <c r="G3" s="5"/>
      <c r="H3" s="5"/>
      <c r="J3" s="1" t="s">
        <v>2</v>
      </c>
    </row>
    <row r="4" customFormat="false" ht="13.8" hidden="false" customHeight="false" outlineLevel="0" collapsed="false">
      <c r="B4" s="5" t="n">
        <v>345</v>
      </c>
      <c r="C4" s="5"/>
      <c r="D4" s="5"/>
      <c r="E4" s="2" t="n">
        <v>2130</v>
      </c>
      <c r="F4" s="2" t="s">
        <v>3</v>
      </c>
      <c r="G4" s="5"/>
      <c r="H4" s="5"/>
      <c r="J4" s="1" t="s">
        <v>4</v>
      </c>
    </row>
    <row r="5" customFormat="false" ht="13.8" hidden="false" customHeight="false" outlineLevel="0" collapsed="false">
      <c r="B5" s="1" t="s">
        <v>5</v>
      </c>
      <c r="C5" s="5" t="s">
        <v>6</v>
      </c>
      <c r="D5" s="5" t="n">
        <f aca="false">353/6390</f>
        <v>0.0552425665101721</v>
      </c>
      <c r="E5" s="6" t="n">
        <f aca="false">E$4*D5</f>
        <v>117.666666666667</v>
      </c>
      <c r="F5" s="5"/>
      <c r="G5" s="5"/>
      <c r="H5" s="5"/>
    </row>
    <row r="6" customFormat="false" ht="13.8" hidden="false" customHeight="false" outlineLevel="0" collapsed="false">
      <c r="B6" s="1" t="s">
        <v>7</v>
      </c>
      <c r="C6" s="5" t="s">
        <v>6</v>
      </c>
      <c r="D6" s="5" t="n">
        <f aca="false">353/6390</f>
        <v>0.0552425665101721</v>
      </c>
      <c r="E6" s="6" t="n">
        <f aca="false">E$4*D6</f>
        <v>117.666666666667</v>
      </c>
      <c r="F6" s="5"/>
      <c r="G6" s="5"/>
      <c r="H6" s="5"/>
      <c r="J6" s="1" t="s">
        <v>8</v>
      </c>
    </row>
    <row r="7" customFormat="false" ht="13.8" hidden="false" customHeight="false" outlineLevel="0" collapsed="false">
      <c r="B7" s="1" t="s">
        <v>9</v>
      </c>
      <c r="C7" s="5" t="s">
        <v>10</v>
      </c>
      <c r="D7" s="5" t="n">
        <f aca="false">353/25560</f>
        <v>0.013810641627543</v>
      </c>
      <c r="E7" s="6" t="n">
        <f aca="false">E$4*D7</f>
        <v>29.4166666666667</v>
      </c>
      <c r="F7" s="5"/>
      <c r="G7" s="5"/>
      <c r="H7" s="5"/>
      <c r="J7" s="1" t="s">
        <v>11</v>
      </c>
    </row>
    <row r="8" customFormat="false" ht="13.8" hidden="false" customHeight="false" outlineLevel="0" collapsed="false">
      <c r="B8" s="1" t="s">
        <v>12</v>
      </c>
      <c r="C8" s="5" t="s">
        <v>10</v>
      </c>
      <c r="D8" s="5" t="n">
        <f aca="false">353/25560</f>
        <v>0.013810641627543</v>
      </c>
      <c r="E8" s="6" t="n">
        <f aca="false">E$4*D8</f>
        <v>29.4166666666667</v>
      </c>
      <c r="F8" s="5"/>
      <c r="G8" s="5"/>
      <c r="H8" s="5"/>
      <c r="Q8" s="1" t="n">
        <f aca="false">6390*4</f>
        <v>25560</v>
      </c>
    </row>
    <row r="9" customFormat="false" ht="13.8" hidden="false" customHeight="false" outlineLevel="0" collapsed="false">
      <c r="B9" s="1" t="s">
        <v>13</v>
      </c>
      <c r="C9" s="5" t="s">
        <v>10</v>
      </c>
      <c r="D9" s="5" t="n">
        <f aca="false">353/25560</f>
        <v>0.013810641627543</v>
      </c>
      <c r="E9" s="6" t="n">
        <f aca="false">E$4*D9</f>
        <v>29.4166666666667</v>
      </c>
      <c r="F9" s="5"/>
      <c r="G9" s="5"/>
      <c r="H9" s="5"/>
    </row>
    <row r="10" customFormat="false" ht="13.8" hidden="false" customHeight="false" outlineLevel="0" collapsed="false">
      <c r="B10" s="1" t="s">
        <v>14</v>
      </c>
      <c r="C10" s="5" t="s">
        <v>10</v>
      </c>
      <c r="D10" s="5" t="n">
        <f aca="false">353/25560</f>
        <v>0.013810641627543</v>
      </c>
      <c r="E10" s="6" t="n">
        <f aca="false">E$4*D10</f>
        <v>29.4166666666667</v>
      </c>
      <c r="F10" s="5"/>
      <c r="G10" s="5"/>
      <c r="H10" s="5"/>
    </row>
    <row r="11" customFormat="false" ht="13.8" hidden="false" customHeight="false" outlineLevel="0" collapsed="false">
      <c r="B11" s="1" t="s">
        <v>15</v>
      </c>
      <c r="C11" s="5" t="s">
        <v>16</v>
      </c>
      <c r="D11" s="5" t="n">
        <f aca="false">8/213</f>
        <v>0.0375586854460094</v>
      </c>
      <c r="E11" s="6" t="n">
        <f aca="false">E$4*D11</f>
        <v>80</v>
      </c>
      <c r="F11" s="5"/>
      <c r="G11" s="5"/>
      <c r="H11" s="5"/>
      <c r="J11" s="1" t="s">
        <v>5</v>
      </c>
    </row>
    <row r="12" customFormat="false" ht="13.8" hidden="false" customHeight="false" outlineLevel="0" collapsed="false">
      <c r="B12" s="1" t="s">
        <v>17</v>
      </c>
      <c r="C12" s="5" t="s">
        <v>18</v>
      </c>
      <c r="D12" s="5" t="n">
        <f aca="false">13/710</f>
        <v>0.0183098591549296</v>
      </c>
      <c r="E12" s="6" t="n">
        <f aca="false">E$4*D12</f>
        <v>39</v>
      </c>
      <c r="F12" s="5"/>
      <c r="G12" s="5"/>
      <c r="H12" s="5"/>
      <c r="J12" s="1" t="s">
        <v>7</v>
      </c>
    </row>
    <row r="13" customFormat="false" ht="13.8" hidden="false" customHeight="false" outlineLevel="0" collapsed="false">
      <c r="B13" s="1" t="s">
        <v>19</v>
      </c>
      <c r="C13" s="5" t="s">
        <v>20</v>
      </c>
      <c r="D13" s="5" t="n">
        <f aca="false">29/2130</f>
        <v>0.0136150234741784</v>
      </c>
      <c r="E13" s="6" t="n">
        <f aca="false">E$4*D13</f>
        <v>29</v>
      </c>
      <c r="F13" s="5"/>
      <c r="G13" s="5"/>
      <c r="H13" s="5"/>
      <c r="J13" s="1" t="s">
        <v>21</v>
      </c>
    </row>
    <row r="14" customFormat="false" ht="13.8" hidden="false" customHeight="false" outlineLevel="0" collapsed="false">
      <c r="B14" s="1" t="s">
        <v>22</v>
      </c>
      <c r="C14" s="5" t="s">
        <v>23</v>
      </c>
      <c r="D14" s="5" t="n">
        <f aca="false">328/1065</f>
        <v>0.307981220657277</v>
      </c>
      <c r="E14" s="6" t="n">
        <f aca="false">E$4*D14</f>
        <v>656</v>
      </c>
      <c r="F14" s="5"/>
      <c r="G14" s="5"/>
      <c r="H14" s="5"/>
      <c r="J14" s="1" t="s">
        <v>15</v>
      </c>
    </row>
    <row r="15" customFormat="false" ht="13.8" hidden="false" customHeight="false" outlineLevel="0" collapsed="false">
      <c r="B15" s="1" t="s">
        <v>24</v>
      </c>
      <c r="C15" s="5" t="s">
        <v>25</v>
      </c>
      <c r="D15" s="5" t="n">
        <f aca="false">82/1065</f>
        <v>0.0769953051643193</v>
      </c>
      <c r="E15" s="6" t="n">
        <f aca="false">E$4*D15</f>
        <v>164</v>
      </c>
      <c r="F15" s="5"/>
      <c r="G15" s="5"/>
      <c r="H15" s="5"/>
      <c r="J15" s="1" t="s">
        <v>17</v>
      </c>
    </row>
    <row r="16" customFormat="false" ht="13.8" hidden="false" customHeight="false" outlineLevel="0" collapsed="false">
      <c r="B16" s="1" t="s">
        <v>26</v>
      </c>
      <c r="C16" s="5" t="s">
        <v>27</v>
      </c>
      <c r="D16" s="5" t="n">
        <f aca="false">267/710</f>
        <v>0.376056338028169</v>
      </c>
      <c r="E16" s="6" t="n">
        <f aca="false">E$4*D16</f>
        <v>801</v>
      </c>
      <c r="F16" s="5"/>
      <c r="G16" s="5"/>
      <c r="H16" s="5"/>
      <c r="J16" s="1" t="s">
        <v>19</v>
      </c>
    </row>
    <row r="17" customFormat="false" ht="13.8" hidden="false" customHeight="false" outlineLevel="0" collapsed="false">
      <c r="B17" s="1" t="s">
        <v>28</v>
      </c>
      <c r="C17" s="5" t="s">
        <v>29</v>
      </c>
      <c r="D17" s="5" t="n">
        <f aca="false">4/1065</f>
        <v>0.00375586854460094</v>
      </c>
      <c r="E17" s="6" t="n">
        <f aca="false">E$4*D17</f>
        <v>8</v>
      </c>
      <c r="F17" s="5"/>
      <c r="G17" s="5"/>
      <c r="H17" s="5"/>
      <c r="J17" s="1" t="s">
        <v>22</v>
      </c>
    </row>
    <row r="18" customFormat="false" ht="13.8" hidden="false" customHeight="false" outlineLevel="0" collapsed="false">
      <c r="B18" s="5"/>
      <c r="C18" s="5"/>
      <c r="D18" s="5"/>
      <c r="E18" s="6" t="n">
        <f aca="false">E$86*D18</f>
        <v>0</v>
      </c>
      <c r="F18" s="5"/>
      <c r="G18" s="5"/>
      <c r="H18" s="5"/>
      <c r="J18" s="1" t="s">
        <v>24</v>
      </c>
    </row>
    <row r="19" customFormat="false" ht="13.8" hidden="false" customHeight="false" outlineLevel="0" collapsed="false">
      <c r="B19" s="5"/>
      <c r="C19" s="5"/>
      <c r="D19" s="5"/>
      <c r="E19" s="6" t="n">
        <f aca="false">E$86*D19</f>
        <v>0</v>
      </c>
      <c r="F19" s="5"/>
      <c r="G19" s="5"/>
      <c r="H19" s="5"/>
      <c r="J19" s="1" t="s">
        <v>26</v>
      </c>
    </row>
    <row r="20" customFormat="false" ht="13.8" hidden="false" customHeight="false" outlineLevel="0" collapsed="false">
      <c r="B20" s="5"/>
      <c r="C20" s="5"/>
      <c r="D20" s="5"/>
      <c r="E20" s="6" t="n">
        <f aca="false">E$86*D20</f>
        <v>0</v>
      </c>
      <c r="F20" s="5" t="n">
        <f aca="false">E20/20</f>
        <v>0</v>
      </c>
      <c r="G20" s="5"/>
      <c r="H20" s="5"/>
      <c r="J20" s="1" t="s">
        <v>28</v>
      </c>
    </row>
    <row r="21" customFormat="false" ht="13.8" hidden="false" customHeight="false" outlineLevel="0" collapsed="false">
      <c r="B21" s="5"/>
      <c r="C21" s="5"/>
      <c r="D21" s="7" t="n">
        <f aca="false">SUM(D5:D20)</f>
        <v>1</v>
      </c>
      <c r="E21" s="7" t="n">
        <f aca="false">SUM(E5:E20)</f>
        <v>2130</v>
      </c>
      <c r="F21" s="5"/>
      <c r="G21" s="5"/>
      <c r="H21" s="5"/>
      <c r="J21" s="1" t="s">
        <v>11</v>
      </c>
    </row>
    <row r="22" customFormat="false" ht="13.8" hidden="false" customHeight="false" outlineLevel="0" collapsed="false">
      <c r="B22" s="5"/>
      <c r="C22" s="5"/>
      <c r="D22" s="7"/>
      <c r="E22" s="7"/>
      <c r="F22" s="5"/>
      <c r="G22" s="5"/>
      <c r="H22" s="5"/>
      <c r="J22" s="1" t="s">
        <v>30</v>
      </c>
    </row>
    <row r="24" customFormat="false" ht="17.35" hidden="false" customHeight="false" outlineLevel="0" collapsed="false">
      <c r="B24" s="2" t="s">
        <v>0</v>
      </c>
      <c r="C24" s="3" t="n">
        <v>410</v>
      </c>
      <c r="D24" s="4"/>
      <c r="E24" s="2" t="s">
        <v>1</v>
      </c>
      <c r="F24" s="5"/>
      <c r="G24" s="5"/>
      <c r="H24" s="5"/>
      <c r="J24" s="1" t="s">
        <v>31</v>
      </c>
    </row>
    <row r="25" customFormat="false" ht="13.8" hidden="false" customHeight="false" outlineLevel="0" collapsed="false">
      <c r="B25" s="5" t="n">
        <v>345</v>
      </c>
      <c r="C25" s="5" t="s">
        <v>32</v>
      </c>
      <c r="D25" s="5"/>
      <c r="E25" s="2" t="n">
        <v>112</v>
      </c>
      <c r="F25" s="2" t="s">
        <v>3</v>
      </c>
      <c r="G25" s="5"/>
      <c r="H25" s="5"/>
      <c r="J25" s="1" t="s">
        <v>33</v>
      </c>
      <c r="Q25" s="1" t="n">
        <f aca="false">3195*2</f>
        <v>6390</v>
      </c>
    </row>
    <row r="26" customFormat="false" ht="13.8" hidden="false" customHeight="false" outlineLevel="0" collapsed="false">
      <c r="B26" s="1" t="s">
        <v>34</v>
      </c>
      <c r="C26" s="5" t="s">
        <v>6</v>
      </c>
      <c r="D26" s="5" t="n">
        <f aca="false">353/6390</f>
        <v>0.0552425665101721</v>
      </c>
      <c r="E26" s="6" t="n">
        <f aca="false">E$25*D26</f>
        <v>6.18716744913928</v>
      </c>
      <c r="F26" s="5"/>
      <c r="G26" s="5"/>
      <c r="H26" s="5"/>
    </row>
    <row r="27" customFormat="false" ht="13.8" hidden="false" customHeight="false" outlineLevel="0" collapsed="false">
      <c r="B27" s="1" t="s">
        <v>35</v>
      </c>
      <c r="C27" s="5" t="s">
        <v>6</v>
      </c>
      <c r="D27" s="5" t="n">
        <f aca="false">353/6390</f>
        <v>0.0552425665101721</v>
      </c>
      <c r="E27" s="6" t="n">
        <f aca="false">E$25*D27</f>
        <v>6.18716744913928</v>
      </c>
      <c r="F27" s="5"/>
      <c r="G27" s="5"/>
      <c r="H27" s="5"/>
      <c r="J27" s="1" t="s">
        <v>8</v>
      </c>
    </row>
    <row r="28" customFormat="false" ht="13.8" hidden="false" customHeight="false" outlineLevel="0" collapsed="false">
      <c r="B28" s="1" t="s">
        <v>36</v>
      </c>
      <c r="C28" s="5" t="s">
        <v>29</v>
      </c>
      <c r="D28" s="5" t="n">
        <f aca="false">4/1065</f>
        <v>0.00375586854460094</v>
      </c>
      <c r="E28" s="6" t="n">
        <f aca="false">E$25*D28</f>
        <v>0.420657276995305</v>
      </c>
      <c r="F28" s="5"/>
      <c r="G28" s="5"/>
      <c r="H28" s="5"/>
      <c r="J28" s="1" t="s">
        <v>11</v>
      </c>
    </row>
    <row r="29" customFormat="false" ht="13.8" hidden="false" customHeight="false" outlineLevel="0" collapsed="false">
      <c r="B29" s="1" t="s">
        <v>37</v>
      </c>
      <c r="C29" s="5" t="s">
        <v>20</v>
      </c>
      <c r="D29" s="5" t="n">
        <f aca="false">29/2130</f>
        <v>0.0136150234741784</v>
      </c>
      <c r="E29" s="6" t="n">
        <f aca="false">E$25*D29</f>
        <v>1.52488262910798</v>
      </c>
      <c r="F29" s="5"/>
      <c r="G29" s="5"/>
      <c r="H29" s="5"/>
      <c r="J29" s="1" t="s">
        <v>34</v>
      </c>
    </row>
    <row r="30" customFormat="false" ht="13.8" hidden="false" customHeight="false" outlineLevel="0" collapsed="false">
      <c r="B30" s="1" t="s">
        <v>38</v>
      </c>
      <c r="C30" s="5" t="s">
        <v>39</v>
      </c>
      <c r="D30" s="5" t="n">
        <f aca="false">656/3195</f>
        <v>0.205320813771518</v>
      </c>
      <c r="E30" s="6" t="n">
        <f aca="false">E$25*D30</f>
        <v>22.99593114241</v>
      </c>
      <c r="F30" s="5"/>
      <c r="G30" s="5"/>
      <c r="H30" s="5"/>
      <c r="J30" s="1" t="s">
        <v>35</v>
      </c>
    </row>
    <row r="31" customFormat="false" ht="13.8" hidden="false" customHeight="false" outlineLevel="0" collapsed="false">
      <c r="B31" s="1" t="s">
        <v>40</v>
      </c>
      <c r="C31" s="5" t="s">
        <v>25</v>
      </c>
      <c r="D31" s="5" t="n">
        <f aca="false">82/1065</f>
        <v>0.0769953051643193</v>
      </c>
      <c r="E31" s="6" t="n">
        <f aca="false">E$25*D31</f>
        <v>8.62347417840376</v>
      </c>
      <c r="F31" s="5"/>
      <c r="G31" s="5"/>
      <c r="H31" s="5"/>
      <c r="J31" s="1" t="s">
        <v>41</v>
      </c>
    </row>
    <row r="32" customFormat="false" ht="13.8" hidden="false" customHeight="false" outlineLevel="0" collapsed="false">
      <c r="B32" s="1" t="s">
        <v>42</v>
      </c>
      <c r="C32" s="5" t="s">
        <v>43</v>
      </c>
      <c r="D32" s="5" t="n">
        <f aca="false">89/355</f>
        <v>0.250704225352113</v>
      </c>
      <c r="E32" s="6" t="n">
        <f aca="false">E$25*D32</f>
        <v>28.0788732394366</v>
      </c>
      <c r="F32" s="5"/>
      <c r="G32" s="5"/>
      <c r="H32" s="5"/>
      <c r="J32" s="1" t="s">
        <v>37</v>
      </c>
    </row>
    <row r="33" customFormat="false" ht="13.8" hidden="false" customHeight="false" outlineLevel="0" collapsed="false">
      <c r="B33" s="1" t="s">
        <v>44</v>
      </c>
      <c r="C33" s="5" t="s">
        <v>18</v>
      </c>
      <c r="D33" s="5" t="n">
        <f aca="false">13/710</f>
        <v>0.0183098591549296</v>
      </c>
      <c r="E33" s="6" t="n">
        <f aca="false">E$25*D33</f>
        <v>2.05070422535211</v>
      </c>
      <c r="F33" s="5"/>
      <c r="G33" s="5"/>
      <c r="H33" s="5"/>
      <c r="J33" s="1" t="s">
        <v>38</v>
      </c>
    </row>
    <row r="34" customFormat="false" ht="13.8" hidden="false" customHeight="false" outlineLevel="0" collapsed="false">
      <c r="B34" s="1" t="s">
        <v>45</v>
      </c>
      <c r="C34" s="5" t="s">
        <v>6</v>
      </c>
      <c r="D34" s="5" t="n">
        <f aca="false">353/6390</f>
        <v>0.0552425665101721</v>
      </c>
      <c r="E34" s="6" t="n">
        <f aca="false">E$25*D34</f>
        <v>6.18716744913928</v>
      </c>
      <c r="F34" s="5"/>
      <c r="G34" s="5"/>
      <c r="H34" s="5"/>
      <c r="J34" s="1" t="s">
        <v>40</v>
      </c>
    </row>
    <row r="35" customFormat="false" ht="13.8" hidden="false" customHeight="false" outlineLevel="0" collapsed="false">
      <c r="B35" s="1" t="s">
        <v>46</v>
      </c>
      <c r="C35" s="5" t="s">
        <v>47</v>
      </c>
      <c r="D35" s="5" t="n">
        <f aca="false">214/3195</f>
        <v>0.0669796557120501</v>
      </c>
      <c r="E35" s="6" t="n">
        <f aca="false">E$25*D35</f>
        <v>7.50172143974961</v>
      </c>
      <c r="F35" s="5"/>
      <c r="G35" s="5"/>
      <c r="H35" s="5"/>
      <c r="J35" s="1" t="s">
        <v>48</v>
      </c>
    </row>
    <row r="36" customFormat="false" ht="13.8" hidden="false" customHeight="false" outlineLevel="0" collapsed="false">
      <c r="B36" s="1" t="s">
        <v>49</v>
      </c>
      <c r="C36" s="5" t="s">
        <v>50</v>
      </c>
      <c r="D36" s="5" t="n">
        <f aca="false">38/1065</f>
        <v>0.0356807511737089</v>
      </c>
      <c r="E36" s="6" t="n">
        <f aca="false">E$25*D36</f>
        <v>3.9962441314554</v>
      </c>
      <c r="F36" s="5"/>
      <c r="G36" s="5"/>
      <c r="H36" s="5"/>
      <c r="J36" s="1" t="s">
        <v>44</v>
      </c>
    </row>
    <row r="37" customFormat="false" ht="13.8" hidden="false" customHeight="false" outlineLevel="0" collapsed="false">
      <c r="B37" s="1" t="s">
        <v>51</v>
      </c>
      <c r="C37" s="5" t="s">
        <v>16</v>
      </c>
      <c r="D37" s="5" t="n">
        <f aca="false">8/213</f>
        <v>0.0375586854460094</v>
      </c>
      <c r="E37" s="6" t="n">
        <f aca="false">E$25*D37</f>
        <v>4.20657276995305</v>
      </c>
      <c r="F37" s="5"/>
      <c r="G37" s="5"/>
      <c r="H37" s="5"/>
      <c r="J37" s="1" t="s">
        <v>45</v>
      </c>
    </row>
    <row r="38" customFormat="false" ht="13.8" hidden="false" customHeight="false" outlineLevel="0" collapsed="false">
      <c r="B38" s="1" t="s">
        <v>52</v>
      </c>
      <c r="C38" s="5" t="s">
        <v>53</v>
      </c>
      <c r="D38" s="5" t="n">
        <f aca="false">7/2130</f>
        <v>0.00328638497652582</v>
      </c>
      <c r="E38" s="6" t="n">
        <f aca="false">E$25*D38</f>
        <v>0.368075117370892</v>
      </c>
      <c r="F38" s="5"/>
      <c r="G38" s="5"/>
      <c r="H38" s="5"/>
      <c r="J38" s="1" t="s">
        <v>46</v>
      </c>
    </row>
    <row r="39" customFormat="false" ht="13.8" hidden="false" customHeight="false" outlineLevel="0" collapsed="false">
      <c r="B39" s="1" t="s">
        <v>54</v>
      </c>
      <c r="C39" s="5" t="s">
        <v>55</v>
      </c>
      <c r="D39" s="5" t="n">
        <f aca="false">26/213</f>
        <v>0.122065727699531</v>
      </c>
      <c r="E39" s="6" t="n">
        <f aca="false">E$25*D39</f>
        <v>13.6713615023474</v>
      </c>
      <c r="F39" s="5"/>
      <c r="G39" s="5"/>
      <c r="H39" s="5"/>
      <c r="J39" s="1" t="s">
        <v>56</v>
      </c>
    </row>
    <row r="40" customFormat="false" ht="13.8" hidden="false" customHeight="false" outlineLevel="0" collapsed="false">
      <c r="B40" s="5"/>
      <c r="C40" s="5"/>
      <c r="D40" s="5"/>
      <c r="E40" s="6" t="n">
        <f aca="false">E$25*D40</f>
        <v>0</v>
      </c>
      <c r="F40" s="5"/>
      <c r="G40" s="5"/>
      <c r="H40" s="5"/>
      <c r="J40" s="1" t="s">
        <v>51</v>
      </c>
    </row>
    <row r="41" customFormat="false" ht="13.8" hidden="false" customHeight="false" outlineLevel="0" collapsed="false">
      <c r="B41" s="5"/>
      <c r="C41" s="5"/>
      <c r="D41" s="5"/>
      <c r="E41" s="6" t="n">
        <f aca="false">E$84*D41</f>
        <v>0</v>
      </c>
      <c r="F41" s="5" t="n">
        <f aca="false">E41/20</f>
        <v>0</v>
      </c>
      <c r="G41" s="5"/>
      <c r="H41" s="5"/>
      <c r="J41" s="1" t="s">
        <v>52</v>
      </c>
    </row>
    <row r="42" customFormat="false" ht="13.8" hidden="false" customHeight="false" outlineLevel="0" collapsed="false">
      <c r="B42" s="5"/>
      <c r="C42" s="5"/>
      <c r="D42" s="7" t="n">
        <f aca="false">SUM(D26:D41)</f>
        <v>1</v>
      </c>
      <c r="E42" s="7" t="n">
        <f aca="false">SUM(E26:E41)</f>
        <v>112</v>
      </c>
      <c r="F42" s="5"/>
      <c r="G42" s="5"/>
      <c r="H42" s="5"/>
      <c r="J42" s="1" t="s">
        <v>54</v>
      </c>
    </row>
    <row r="43" customFormat="false" ht="13.8" hidden="false" customHeight="false" outlineLevel="0" collapsed="false">
      <c r="B43" s="5"/>
      <c r="C43" s="5"/>
      <c r="D43" s="7"/>
      <c r="E43" s="7"/>
      <c r="F43" s="5"/>
      <c r="G43" s="5"/>
      <c r="H43" s="5"/>
      <c r="J43" s="1" t="s">
        <v>11</v>
      </c>
    </row>
    <row r="44" customFormat="false" ht="13.8" hidden="false" customHeight="false" outlineLevel="0" collapsed="false">
      <c r="J44" s="1" t="s">
        <v>57</v>
      </c>
    </row>
    <row r="46" customFormat="false" ht="17.35" hidden="false" customHeight="false" outlineLevel="0" collapsed="false">
      <c r="B46" s="2" t="s">
        <v>0</v>
      </c>
      <c r="C46" s="3" t="n">
        <v>414</v>
      </c>
      <c r="D46" s="4"/>
      <c r="E46" s="2" t="s">
        <v>58</v>
      </c>
      <c r="F46" s="5"/>
      <c r="G46" s="5"/>
      <c r="H46" s="5"/>
      <c r="J46" s="1" t="s">
        <v>59</v>
      </c>
    </row>
    <row r="47" customFormat="false" ht="13.8" hidden="false" customHeight="false" outlineLevel="0" collapsed="false">
      <c r="B47" s="5" t="n">
        <v>349</v>
      </c>
      <c r="C47" s="5"/>
      <c r="D47" s="5"/>
      <c r="E47" s="2" t="n">
        <v>1980</v>
      </c>
      <c r="F47" s="2" t="s">
        <v>3</v>
      </c>
      <c r="G47" s="5"/>
      <c r="H47" s="5"/>
      <c r="J47" s="1" t="s">
        <v>60</v>
      </c>
    </row>
    <row r="48" customFormat="false" ht="13.8" hidden="false" customHeight="false" outlineLevel="0" collapsed="false">
      <c r="B48" s="1" t="s">
        <v>61</v>
      </c>
      <c r="C48" s="1" t="s">
        <v>62</v>
      </c>
      <c r="D48" s="1" t="n">
        <f aca="false">1/6</f>
        <v>0.166666666666667</v>
      </c>
      <c r="E48" s="6" t="n">
        <f aca="false">E$47*D48</f>
        <v>330</v>
      </c>
      <c r="F48" s="5"/>
      <c r="G48" s="5"/>
      <c r="H48" s="5"/>
    </row>
    <row r="49" customFormat="false" ht="13.8" hidden="false" customHeight="false" outlineLevel="0" collapsed="false">
      <c r="B49" s="1" t="s">
        <v>63</v>
      </c>
      <c r="C49" s="1" t="s">
        <v>62</v>
      </c>
      <c r="D49" s="1" t="n">
        <f aca="false">1/6</f>
        <v>0.166666666666667</v>
      </c>
      <c r="E49" s="6" t="n">
        <f aca="false">E$47*D49</f>
        <v>330</v>
      </c>
      <c r="F49" s="5"/>
      <c r="G49" s="5"/>
      <c r="H49" s="5"/>
      <c r="J49" s="1" t="s">
        <v>8</v>
      </c>
    </row>
    <row r="50" customFormat="false" ht="13.8" hidden="false" customHeight="false" outlineLevel="0" collapsed="false">
      <c r="B50" s="1" t="s">
        <v>64</v>
      </c>
      <c r="C50" s="1" t="s">
        <v>65</v>
      </c>
      <c r="D50" s="1" t="n">
        <f aca="false">1/11</f>
        <v>0.0909090909090909</v>
      </c>
      <c r="E50" s="6" t="n">
        <f aca="false">E$47*D50</f>
        <v>180</v>
      </c>
      <c r="F50" s="5"/>
      <c r="G50" s="5"/>
      <c r="H50" s="5"/>
      <c r="J50" s="1" t="s">
        <v>11</v>
      </c>
    </row>
    <row r="51" customFormat="false" ht="13.8" hidden="false" customHeight="false" outlineLevel="0" collapsed="false">
      <c r="B51" s="1" t="s">
        <v>66</v>
      </c>
      <c r="C51" s="1" t="s">
        <v>67</v>
      </c>
      <c r="D51" s="1" t="n">
        <f aca="false">2/99</f>
        <v>0.0202020202020202</v>
      </c>
      <c r="E51" s="6" t="n">
        <f aca="false">E$47*D51</f>
        <v>40</v>
      </c>
      <c r="F51" s="5"/>
      <c r="G51" s="5"/>
      <c r="H51" s="5"/>
      <c r="J51" s="1" t="s">
        <v>61</v>
      </c>
    </row>
    <row r="52" customFormat="false" ht="13.8" hidden="false" customHeight="false" outlineLevel="0" collapsed="false">
      <c r="B52" s="1" t="s">
        <v>68</v>
      </c>
      <c r="C52" s="1" t="s">
        <v>69</v>
      </c>
      <c r="D52" s="1" t="n">
        <f aca="false">5/66</f>
        <v>0.0757575757575758</v>
      </c>
      <c r="E52" s="6" t="n">
        <f aca="false">E$47*D52</f>
        <v>150</v>
      </c>
      <c r="F52" s="5"/>
      <c r="G52" s="5"/>
      <c r="H52" s="5"/>
      <c r="J52" s="1" t="s">
        <v>63</v>
      </c>
    </row>
    <row r="53" customFormat="false" ht="13.8" hidden="false" customHeight="false" outlineLevel="0" collapsed="false">
      <c r="B53" s="1" t="s">
        <v>70</v>
      </c>
      <c r="C53" s="1" t="s">
        <v>71</v>
      </c>
      <c r="D53" s="1" t="n">
        <f aca="false">2/297</f>
        <v>0.00673400673400673</v>
      </c>
      <c r="E53" s="6" t="n">
        <f aca="false">E$47*D53</f>
        <v>13.3333333333333</v>
      </c>
      <c r="F53" s="5"/>
      <c r="G53" s="5"/>
      <c r="H53" s="5"/>
      <c r="J53" s="1" t="s">
        <v>64</v>
      </c>
    </row>
    <row r="54" customFormat="false" ht="13.8" hidden="false" customHeight="false" outlineLevel="0" collapsed="false">
      <c r="B54" s="1" t="s">
        <v>72</v>
      </c>
      <c r="C54" s="1" t="s">
        <v>71</v>
      </c>
      <c r="D54" s="1" t="n">
        <f aca="false">2/297</f>
        <v>0.00673400673400673</v>
      </c>
      <c r="E54" s="6" t="n">
        <f aca="false">E$47*D54</f>
        <v>13.3333333333333</v>
      </c>
      <c r="F54" s="5"/>
      <c r="G54" s="5"/>
      <c r="H54" s="5"/>
      <c r="J54" s="1" t="s">
        <v>66</v>
      </c>
    </row>
    <row r="55" customFormat="false" ht="13.8" hidden="false" customHeight="false" outlineLevel="0" collapsed="false">
      <c r="B55" s="1" t="s">
        <v>73</v>
      </c>
      <c r="C55" s="1" t="s">
        <v>71</v>
      </c>
      <c r="D55" s="1" t="n">
        <f aca="false">2/297</f>
        <v>0.00673400673400673</v>
      </c>
      <c r="E55" s="6" t="n">
        <f aca="false">E$47*D55</f>
        <v>13.3333333333333</v>
      </c>
      <c r="F55" s="5"/>
      <c r="G55" s="5"/>
      <c r="H55" s="5"/>
      <c r="J55" s="1" t="s">
        <v>68</v>
      </c>
    </row>
    <row r="56" customFormat="false" ht="13.8" hidden="false" customHeight="false" outlineLevel="0" collapsed="false">
      <c r="B56" s="1" t="s">
        <v>74</v>
      </c>
      <c r="C56" s="1" t="s">
        <v>75</v>
      </c>
      <c r="D56" s="1" t="n">
        <f aca="false">1/18</f>
        <v>0.0555555555555556</v>
      </c>
      <c r="E56" s="6" t="n">
        <f aca="false">E$47*D56</f>
        <v>110</v>
      </c>
      <c r="F56" s="5"/>
      <c r="G56" s="5"/>
      <c r="H56" s="5"/>
      <c r="J56" s="1" t="s">
        <v>70</v>
      </c>
    </row>
    <row r="57" customFormat="false" ht="13.8" hidden="false" customHeight="false" outlineLevel="0" collapsed="false">
      <c r="B57" s="1" t="s">
        <v>76</v>
      </c>
      <c r="C57" s="1" t="s">
        <v>67</v>
      </c>
      <c r="D57" s="1" t="n">
        <f aca="false">2/99</f>
        <v>0.0202020202020202</v>
      </c>
      <c r="E57" s="6" t="n">
        <f aca="false">E$47*D57</f>
        <v>40</v>
      </c>
      <c r="F57" s="5"/>
      <c r="G57" s="5"/>
      <c r="H57" s="5"/>
    </row>
    <row r="58" customFormat="false" ht="13.8" hidden="false" customHeight="false" outlineLevel="0" collapsed="false">
      <c r="B58" s="1" t="s">
        <v>77</v>
      </c>
      <c r="C58" s="1" t="s">
        <v>78</v>
      </c>
      <c r="D58" s="1" t="n">
        <f aca="false">7/66</f>
        <v>0.106060606060606</v>
      </c>
      <c r="E58" s="6" t="n">
        <f aca="false">E$47*D58</f>
        <v>210</v>
      </c>
      <c r="F58" s="5"/>
      <c r="G58" s="5"/>
      <c r="H58" s="5"/>
    </row>
    <row r="59" customFormat="false" ht="13.8" hidden="false" customHeight="false" outlineLevel="0" collapsed="false">
      <c r="B59" s="1" t="s">
        <v>79</v>
      </c>
      <c r="C59" s="1" t="s">
        <v>80</v>
      </c>
      <c r="D59" s="1" t="n">
        <f aca="false">1/132</f>
        <v>0.00757575757575758</v>
      </c>
      <c r="E59" s="6" t="n">
        <f aca="false">E$47*D59</f>
        <v>15</v>
      </c>
      <c r="F59" s="5"/>
      <c r="G59" s="5"/>
      <c r="H59" s="5"/>
    </row>
    <row r="60" customFormat="false" ht="13.8" hidden="false" customHeight="false" outlineLevel="0" collapsed="false">
      <c r="B60" s="1" t="s">
        <v>81</v>
      </c>
      <c r="C60" s="1" t="s">
        <v>82</v>
      </c>
      <c r="D60" s="1" t="n">
        <f aca="false">41/396</f>
        <v>0.103535353535354</v>
      </c>
      <c r="E60" s="6" t="n">
        <f aca="false">E$47*D60</f>
        <v>205</v>
      </c>
      <c r="F60" s="5"/>
      <c r="G60" s="5"/>
      <c r="H60" s="5"/>
      <c r="J60" s="1" t="s">
        <v>72</v>
      </c>
    </row>
    <row r="61" customFormat="false" ht="13.8" hidden="false" customHeight="false" outlineLevel="0" collapsed="false">
      <c r="B61" s="1" t="s">
        <v>83</v>
      </c>
      <c r="C61" s="1" t="s">
        <v>62</v>
      </c>
      <c r="D61" s="1" t="n">
        <f aca="false">1/6</f>
        <v>0.166666666666667</v>
      </c>
      <c r="E61" s="6" t="n">
        <f aca="false">E$47*D61</f>
        <v>330</v>
      </c>
      <c r="F61" s="5"/>
      <c r="G61" s="5"/>
      <c r="H61" s="5"/>
      <c r="J61" s="1" t="s">
        <v>73</v>
      </c>
    </row>
    <row r="62" customFormat="false" ht="13.8" hidden="false" customHeight="false" outlineLevel="0" collapsed="false">
      <c r="B62" s="5"/>
      <c r="C62" s="5"/>
      <c r="D62" s="5"/>
      <c r="E62" s="6"/>
      <c r="F62" s="5"/>
      <c r="G62" s="5"/>
      <c r="H62" s="5"/>
      <c r="J62" s="1" t="s">
        <v>74</v>
      </c>
    </row>
    <row r="63" customFormat="false" ht="13.8" hidden="false" customHeight="false" outlineLevel="0" collapsed="false">
      <c r="B63" s="5"/>
      <c r="C63" s="5"/>
      <c r="D63" s="5"/>
      <c r="E63" s="6"/>
      <c r="F63" s="5" t="n">
        <f aca="false">E63/20</f>
        <v>0</v>
      </c>
      <c r="G63" s="5"/>
      <c r="H63" s="5"/>
      <c r="J63" s="1" t="s">
        <v>76</v>
      </c>
    </row>
    <row r="64" customFormat="false" ht="13.8" hidden="false" customHeight="false" outlineLevel="0" collapsed="false">
      <c r="B64" s="5"/>
      <c r="C64" s="5"/>
      <c r="D64" s="7" t="n">
        <f aca="false">SUM(D48:D63)</f>
        <v>1</v>
      </c>
      <c r="E64" s="7" t="n">
        <f aca="false">SUM(E48:E63)</f>
        <v>1980</v>
      </c>
      <c r="F64" s="5"/>
      <c r="G64" s="5"/>
      <c r="H64" s="5"/>
      <c r="J64" s="1" t="s">
        <v>77</v>
      </c>
    </row>
    <row r="65" customFormat="false" ht="13.8" hidden="false" customHeight="false" outlineLevel="0" collapsed="false">
      <c r="B65" s="5"/>
      <c r="C65" s="5"/>
      <c r="D65" s="7"/>
      <c r="E65" s="7"/>
      <c r="F65" s="5"/>
      <c r="G65" s="5"/>
      <c r="H65" s="5"/>
      <c r="J65" s="1" t="s">
        <v>79</v>
      </c>
    </row>
    <row r="66" customFormat="false" ht="13.8" hidden="false" customHeight="false" outlineLevel="0" collapsed="false">
      <c r="J66" s="1" t="s">
        <v>81</v>
      </c>
    </row>
    <row r="67" customFormat="false" ht="13.8" hidden="false" customHeight="false" outlineLevel="0" collapsed="false">
      <c r="C67" s="1"/>
      <c r="G67" s="1"/>
      <c r="J67" s="1" t="s">
        <v>83</v>
      </c>
    </row>
    <row r="68" customFormat="false" ht="13.8" hidden="false" customHeight="false" outlineLevel="0" collapsed="false">
      <c r="B68" s="1" t="s">
        <v>84</v>
      </c>
      <c r="C68" s="1" t="s">
        <v>85</v>
      </c>
      <c r="D68" s="1" t="s">
        <v>86</v>
      </c>
      <c r="E68" s="1" t="s">
        <v>3</v>
      </c>
      <c r="F68" s="1" t="s">
        <v>87</v>
      </c>
      <c r="G68" s="1" t="s">
        <v>88</v>
      </c>
      <c r="J68" s="1" t="s">
        <v>11</v>
      </c>
    </row>
    <row r="69" customFormat="false" ht="13.8" hidden="false" customHeight="false" outlineLevel="0" collapsed="false">
      <c r="B69" s="1" t="n">
        <v>1980</v>
      </c>
      <c r="C69" s="1" t="n">
        <f aca="false">INT(B69/160)</f>
        <v>12</v>
      </c>
      <c r="D69" s="1" t="n">
        <f aca="false">INT((B69-160*INT(B69/160))/20)</f>
        <v>3</v>
      </c>
      <c r="E69" s="1" t="n">
        <f aca="false">INT(B69-160*INT(B69/160)-20*INT((B69-160*INT(B69/160))/20))</f>
        <v>0</v>
      </c>
      <c r="F69" s="1" t="n">
        <f aca="false">ROUND((B69-INT(B69))*9,0)</f>
        <v>0</v>
      </c>
      <c r="G69" s="1" t="str">
        <f aca="false">TEXT(C69,"0")&amp;"K-"&amp;TEXT(D69,"0")&amp;"K-"&amp;TEXT(E69,"0")&amp;"M-"&amp;TEXT(F69,"0")&amp;"S"</f>
        <v>12K-3K-0M-0S</v>
      </c>
      <c r="J69" s="1" t="s">
        <v>89</v>
      </c>
    </row>
    <row r="71" customFormat="false" ht="17.35" hidden="false" customHeight="false" outlineLevel="0" collapsed="false">
      <c r="B71" s="2" t="s">
        <v>0</v>
      </c>
      <c r="C71" s="3" t="n">
        <v>354</v>
      </c>
      <c r="D71" s="4"/>
      <c r="E71" s="5"/>
      <c r="F71" s="5"/>
      <c r="G71" s="2" t="s">
        <v>90</v>
      </c>
      <c r="H71" s="5"/>
      <c r="J71" s="1" t="s">
        <v>91</v>
      </c>
    </row>
    <row r="72" customFormat="false" ht="13.8" hidden="false" customHeight="false" outlineLevel="0" collapsed="false">
      <c r="B72" s="5" t="n">
        <v>331</v>
      </c>
      <c r="C72" s="5"/>
      <c r="D72" s="5"/>
      <c r="E72" s="2" t="n">
        <v>2247</v>
      </c>
      <c r="F72" s="2" t="s">
        <v>3</v>
      </c>
      <c r="G72" s="5"/>
      <c r="H72" s="5"/>
      <c r="J72" s="1" t="s">
        <v>92</v>
      </c>
    </row>
    <row r="73" customFormat="false" ht="13.8" hidden="false" customHeight="false" outlineLevel="0" collapsed="false">
      <c r="B73" s="1" t="s">
        <v>93</v>
      </c>
      <c r="C73" s="8" t="s">
        <v>94</v>
      </c>
      <c r="D73" s="5" t="n">
        <f aca="false">1/3</f>
        <v>0.333333333333333</v>
      </c>
      <c r="E73" s="6" t="n">
        <f aca="false">E$72*D73</f>
        <v>749</v>
      </c>
      <c r="F73" s="5"/>
      <c r="G73" s="5"/>
      <c r="H73" s="5"/>
    </row>
    <row r="74" customFormat="false" ht="13.8" hidden="false" customHeight="false" outlineLevel="0" collapsed="false">
      <c r="B74" s="1" t="s">
        <v>95</v>
      </c>
      <c r="C74" s="8" t="s">
        <v>94</v>
      </c>
      <c r="D74" s="5" t="n">
        <f aca="false">1/3</f>
        <v>0.333333333333333</v>
      </c>
      <c r="E74" s="6" t="n">
        <f aca="false">E$72*D74</f>
        <v>749</v>
      </c>
      <c r="F74" s="5"/>
      <c r="G74" s="5"/>
      <c r="H74" s="5"/>
      <c r="J74" s="1" t="s">
        <v>8</v>
      </c>
    </row>
    <row r="75" customFormat="false" ht="13.8" hidden="false" customHeight="false" outlineLevel="0" collapsed="false">
      <c r="B75" s="1" t="s">
        <v>96</v>
      </c>
      <c r="C75" s="8" t="s">
        <v>94</v>
      </c>
      <c r="D75" s="5" t="n">
        <f aca="false">1/3</f>
        <v>0.333333333333333</v>
      </c>
      <c r="E75" s="6" t="n">
        <f aca="false">E$72*D75</f>
        <v>749</v>
      </c>
      <c r="F75" s="5"/>
      <c r="G75" s="5"/>
      <c r="H75" s="5"/>
      <c r="J75" s="1" t="s">
        <v>11</v>
      </c>
    </row>
    <row r="76" customFormat="false" ht="13.8" hidden="false" customHeight="false" outlineLevel="0" collapsed="false">
      <c r="C76" s="5"/>
      <c r="D76" s="5"/>
      <c r="E76" s="6" t="n">
        <f aca="false">E$72*D76</f>
        <v>0</v>
      </c>
      <c r="F76" s="5"/>
      <c r="G76" s="5"/>
      <c r="H76" s="5"/>
      <c r="J76" s="1" t="s">
        <v>97</v>
      </c>
    </row>
    <row r="77" customFormat="false" ht="13.8" hidden="false" customHeight="false" outlineLevel="0" collapsed="false">
      <c r="C77" s="5"/>
      <c r="D77" s="5"/>
      <c r="E77" s="6" t="n">
        <f aca="false">E$72*D77</f>
        <v>0</v>
      </c>
      <c r="F77" s="5"/>
      <c r="G77" s="5"/>
      <c r="H77" s="5"/>
      <c r="J77" s="1" t="s">
        <v>98</v>
      </c>
    </row>
    <row r="78" customFormat="false" ht="13.8" hidden="false" customHeight="false" outlineLevel="0" collapsed="false">
      <c r="C78" s="5"/>
      <c r="D78" s="5"/>
      <c r="E78" s="6" t="n">
        <f aca="false">E$72*D78</f>
        <v>0</v>
      </c>
      <c r="F78" s="5"/>
      <c r="G78" s="5"/>
      <c r="H78" s="5"/>
      <c r="J78" s="1" t="s">
        <v>99</v>
      </c>
    </row>
    <row r="79" customFormat="false" ht="13.8" hidden="false" customHeight="false" outlineLevel="0" collapsed="false">
      <c r="C79" s="5"/>
      <c r="D79" s="5"/>
      <c r="E79" s="6" t="n">
        <f aca="false">E$72*D79</f>
        <v>0</v>
      </c>
      <c r="F79" s="5"/>
      <c r="G79" s="5"/>
      <c r="H79" s="5"/>
      <c r="J79" s="1" t="s">
        <v>11</v>
      </c>
    </row>
    <row r="80" customFormat="false" ht="13.8" hidden="false" customHeight="false" outlineLevel="0" collapsed="false">
      <c r="C80" s="5"/>
      <c r="D80" s="5"/>
      <c r="E80" s="6" t="n">
        <f aca="false">E$72*D80</f>
        <v>0</v>
      </c>
      <c r="F80" s="5"/>
      <c r="G80" s="5"/>
      <c r="H80" s="5"/>
      <c r="J80" s="1" t="s">
        <v>100</v>
      </c>
    </row>
    <row r="81" customFormat="false" ht="13.8" hidden="false" customHeight="false" outlineLevel="0" collapsed="false">
      <c r="C81" s="5"/>
      <c r="D81" s="5"/>
      <c r="E81" s="6" t="n">
        <f aca="false">E$72*D81</f>
        <v>0</v>
      </c>
      <c r="F81" s="5"/>
      <c r="G81" s="5"/>
      <c r="H81" s="5"/>
    </row>
    <row r="82" customFormat="false" ht="13.8" hidden="false" customHeight="false" outlineLevel="0" collapsed="false">
      <c r="C82" s="5"/>
      <c r="D82" s="5"/>
      <c r="E82" s="6" t="n">
        <f aca="false">E$72*D82</f>
        <v>0</v>
      </c>
      <c r="F82" s="5"/>
      <c r="G82" s="5"/>
      <c r="H82" s="5"/>
    </row>
    <row r="83" customFormat="false" ht="13.8" hidden="false" customHeight="false" outlineLevel="0" collapsed="false">
      <c r="B83" s="5"/>
      <c r="C83" s="5"/>
      <c r="D83" s="5"/>
      <c r="E83" s="6" t="n">
        <f aca="false">E$72*D83</f>
        <v>0</v>
      </c>
      <c r="F83" s="5"/>
      <c r="G83" s="5"/>
      <c r="H83" s="5"/>
    </row>
    <row r="84" customFormat="false" ht="13.8" hidden="false" customHeight="false" outlineLevel="0" collapsed="false">
      <c r="B84" s="5"/>
      <c r="C84" s="5"/>
      <c r="D84" s="5"/>
      <c r="E84" s="6" t="n">
        <f aca="false">E$72*D84</f>
        <v>0</v>
      </c>
      <c r="F84" s="5"/>
      <c r="G84" s="5"/>
      <c r="H84" s="5"/>
      <c r="K84" s="9" t="s">
        <v>101</v>
      </c>
    </row>
    <row r="85" customFormat="false" ht="13.8" hidden="false" customHeight="false" outlineLevel="0" collapsed="false">
      <c r="B85" s="5"/>
      <c r="C85" s="5"/>
      <c r="D85" s="5"/>
      <c r="E85" s="6" t="n">
        <f aca="false">E$72*D85</f>
        <v>0</v>
      </c>
      <c r="F85" s="5" t="n">
        <f aca="false">E85/20</f>
        <v>0</v>
      </c>
      <c r="G85" s="5"/>
      <c r="H85" s="5"/>
    </row>
    <row r="86" customFormat="false" ht="13.8" hidden="false" customHeight="false" outlineLevel="0" collapsed="false">
      <c r="B86" s="5"/>
      <c r="C86" s="5"/>
      <c r="D86" s="7" t="n">
        <f aca="false">SUM(D73:D85)</f>
        <v>1</v>
      </c>
      <c r="E86" s="7" t="n">
        <f aca="false">SUM(E73:E85)</f>
        <v>2247</v>
      </c>
      <c r="F86" s="5"/>
      <c r="G86" s="5"/>
      <c r="H86" s="5"/>
      <c r="K86" s="10" t="s">
        <v>102</v>
      </c>
    </row>
    <row r="87" customFormat="false" ht="13.8" hidden="false" customHeight="false" outlineLevel="0" collapsed="false">
      <c r="B87" s="5"/>
      <c r="C87" s="5"/>
      <c r="D87" s="7"/>
      <c r="E87" s="7"/>
      <c r="F87" s="5"/>
      <c r="G87" s="5"/>
      <c r="H87" s="5"/>
    </row>
    <row r="89" customFormat="false" ht="13.8" hidden="false" customHeight="false" outlineLevel="0" collapsed="false">
      <c r="B89" s="1" t="s">
        <v>84</v>
      </c>
      <c r="C89" s="1" t="s">
        <v>85</v>
      </c>
      <c r="D89" s="1" t="s">
        <v>86</v>
      </c>
      <c r="E89" s="1" t="s">
        <v>3</v>
      </c>
      <c r="F89" s="1" t="s">
        <v>87</v>
      </c>
      <c r="G89" s="1" t="s">
        <v>88</v>
      </c>
    </row>
    <row r="90" customFormat="false" ht="13.8" hidden="false" customHeight="false" outlineLevel="0" collapsed="false">
      <c r="B90" s="1" t="n">
        <v>830</v>
      </c>
      <c r="C90" s="1" t="n">
        <f aca="false">INT(B90/160)</f>
        <v>5</v>
      </c>
      <c r="D90" s="1" t="n">
        <f aca="false">INT((B90-160*INT(B90/160))/20)</f>
        <v>1</v>
      </c>
      <c r="E90" s="1" t="n">
        <f aca="false">INT(B90-160*INT(B90/160)-20*INT((B90-160*INT(B90/160))/20))</f>
        <v>10</v>
      </c>
      <c r="F90" s="1" t="n">
        <f aca="false">ROUND((B90-INT(B90))*9,0)</f>
        <v>0</v>
      </c>
      <c r="G90" s="1" t="str">
        <f aca="false">TEXT(C90,"0")&amp;"K-"&amp;TEXT(D90,"0")&amp;"K-"&amp;TEXT(E90,"0")&amp;"M-"&amp;TEXT(F90,"0")&amp;"S"</f>
        <v>5K-1K-10M-0S</v>
      </c>
    </row>
    <row r="93" customFormat="false" ht="17.35" hidden="false" customHeight="false" outlineLevel="0" collapsed="false">
      <c r="B93" s="2" t="s">
        <v>0</v>
      </c>
      <c r="C93" s="3" t="n">
        <v>362</v>
      </c>
      <c r="D93" s="4"/>
      <c r="E93" s="5"/>
      <c r="F93" s="5"/>
      <c r="G93" s="2" t="s">
        <v>103</v>
      </c>
      <c r="H93" s="5"/>
      <c r="J93" s="1" t="s">
        <v>104</v>
      </c>
    </row>
    <row r="94" customFormat="false" ht="13.8" hidden="false" customHeight="false" outlineLevel="0" collapsed="false">
      <c r="B94" s="5" t="n">
        <v>337</v>
      </c>
      <c r="C94" s="5"/>
      <c r="D94" s="5"/>
      <c r="E94" s="2" t="n">
        <v>981</v>
      </c>
      <c r="F94" s="2" t="s">
        <v>3</v>
      </c>
      <c r="G94" s="5"/>
      <c r="H94" s="5"/>
      <c r="J94" s="1" t="s">
        <v>105</v>
      </c>
    </row>
    <row r="95" customFormat="false" ht="13.8" hidden="false" customHeight="false" outlineLevel="0" collapsed="false">
      <c r="B95" s="1" t="s">
        <v>106</v>
      </c>
      <c r="C95" s="8" t="s">
        <v>107</v>
      </c>
      <c r="D95" s="11" t="n">
        <f aca="false">46/981</f>
        <v>0.0468909276248726</v>
      </c>
      <c r="E95" s="6" t="n">
        <f aca="false">E$94*D95</f>
        <v>46</v>
      </c>
      <c r="F95" s="5"/>
      <c r="G95" s="5"/>
      <c r="H95" s="5"/>
    </row>
    <row r="96" customFormat="false" ht="13.8" hidden="false" customHeight="false" outlineLevel="0" collapsed="false">
      <c r="B96" s="1" t="s">
        <v>108</v>
      </c>
      <c r="C96" s="8" t="s">
        <v>109</v>
      </c>
      <c r="D96" s="11" t="n">
        <f aca="false">47/981</f>
        <v>0.0479102956167176</v>
      </c>
      <c r="E96" s="6" t="n">
        <f aca="false">E$72*D96</f>
        <v>107.654434250765</v>
      </c>
      <c r="F96" s="5"/>
      <c r="G96" s="5"/>
      <c r="H96" s="5"/>
      <c r="J96" s="1" t="s">
        <v>8</v>
      </c>
    </row>
    <row r="97" customFormat="false" ht="13.8" hidden="false" customHeight="false" outlineLevel="0" collapsed="false">
      <c r="B97" s="1" t="s">
        <v>110</v>
      </c>
      <c r="C97" s="8" t="s">
        <v>111</v>
      </c>
      <c r="D97" s="11" t="n">
        <f aca="false">220/981</f>
        <v>0.224260958205912</v>
      </c>
      <c r="E97" s="6" t="n">
        <f aca="false">E$72*D97</f>
        <v>503.914373088685</v>
      </c>
      <c r="F97" s="5"/>
      <c r="G97" s="5"/>
      <c r="H97" s="5"/>
      <c r="J97" s="1" t="s">
        <v>11</v>
      </c>
    </row>
    <row r="98" customFormat="false" ht="13.8" hidden="false" customHeight="false" outlineLevel="0" collapsed="false">
      <c r="B98" s="1" t="s">
        <v>112</v>
      </c>
      <c r="C98" s="5" t="s">
        <v>113</v>
      </c>
      <c r="D98" s="11" t="n">
        <f aca="false">479/981</f>
        <v>0.488277268093782</v>
      </c>
      <c r="E98" s="6" t="n">
        <f aca="false">E$72*D98</f>
        <v>1097.15902140673</v>
      </c>
      <c r="F98" s="5"/>
      <c r="G98" s="5"/>
      <c r="H98" s="5"/>
      <c r="J98" s="1" t="s">
        <v>114</v>
      </c>
    </row>
    <row r="99" customFormat="false" ht="13.8" hidden="false" customHeight="false" outlineLevel="0" collapsed="false">
      <c r="B99" s="1" t="s">
        <v>115</v>
      </c>
      <c r="C99" s="5" t="s">
        <v>116</v>
      </c>
      <c r="D99" s="11" t="n">
        <f aca="false">8/109</f>
        <v>0.073394495412844</v>
      </c>
      <c r="E99" s="6" t="n">
        <f aca="false">E$72*D99</f>
        <v>164.917431192661</v>
      </c>
      <c r="F99" s="5"/>
      <c r="G99" s="5"/>
      <c r="H99" s="5"/>
      <c r="J99" s="1" t="s">
        <v>117</v>
      </c>
    </row>
    <row r="100" customFormat="false" ht="13.8" hidden="false" customHeight="false" outlineLevel="0" collapsed="false">
      <c r="B100" s="1" t="s">
        <v>118</v>
      </c>
      <c r="C100" s="5" t="s">
        <v>119</v>
      </c>
      <c r="D100" s="11" t="n">
        <f aca="false">13/109</f>
        <v>0.119266055045872</v>
      </c>
      <c r="E100" s="6" t="n">
        <f aca="false">E$72*D100</f>
        <v>267.990825688073</v>
      </c>
      <c r="F100" s="5"/>
      <c r="G100" s="5"/>
      <c r="H100" s="5"/>
      <c r="J100" s="1" t="s">
        <v>120</v>
      </c>
    </row>
    <row r="101" customFormat="false" ht="13.8" hidden="false" customHeight="false" outlineLevel="0" collapsed="false">
      <c r="C101" s="5"/>
      <c r="D101" s="11"/>
      <c r="E101" s="6" t="n">
        <f aca="false">E$72*D101</f>
        <v>0</v>
      </c>
      <c r="F101" s="5"/>
      <c r="G101" s="5"/>
      <c r="H101" s="5"/>
      <c r="J101" s="1" t="s">
        <v>121</v>
      </c>
    </row>
    <row r="102" customFormat="false" ht="13.8" hidden="false" customHeight="false" outlineLevel="0" collapsed="false">
      <c r="C102" s="5"/>
      <c r="D102" s="11"/>
      <c r="E102" s="6" t="n">
        <f aca="false">E$72*D102</f>
        <v>0</v>
      </c>
      <c r="F102" s="5"/>
      <c r="G102" s="5"/>
      <c r="H102" s="5"/>
      <c r="J102" s="1" t="s">
        <v>122</v>
      </c>
    </row>
    <row r="103" customFormat="false" ht="13.8" hidden="false" customHeight="false" outlineLevel="0" collapsed="false">
      <c r="C103" s="5"/>
      <c r="D103" s="11"/>
      <c r="E103" s="6" t="n">
        <f aca="false">E$72*D103</f>
        <v>0</v>
      </c>
      <c r="F103" s="5"/>
      <c r="G103" s="5"/>
      <c r="H103" s="5"/>
      <c r="J103" s="1" t="s">
        <v>123</v>
      </c>
    </row>
    <row r="104" customFormat="false" ht="13.8" hidden="false" customHeight="false" outlineLevel="0" collapsed="false">
      <c r="C104" s="5"/>
      <c r="D104" s="11"/>
      <c r="E104" s="6" t="n">
        <f aca="false">E$72*D104</f>
        <v>0</v>
      </c>
      <c r="F104" s="5"/>
      <c r="G104" s="5"/>
      <c r="H104" s="5"/>
      <c r="J104" s="1" t="s">
        <v>11</v>
      </c>
    </row>
    <row r="105" customFormat="false" ht="13.8" hidden="false" customHeight="false" outlineLevel="0" collapsed="false">
      <c r="B105" s="5"/>
      <c r="C105" s="5"/>
      <c r="D105" s="11"/>
      <c r="E105" s="6" t="n">
        <f aca="false">E$72*D105</f>
        <v>0</v>
      </c>
      <c r="F105" s="5"/>
      <c r="G105" s="5"/>
      <c r="H105" s="5"/>
      <c r="J105" s="1" t="s">
        <v>124</v>
      </c>
    </row>
    <row r="106" customFormat="false" ht="13.8" hidden="false" customHeight="false" outlineLevel="0" collapsed="false">
      <c r="B106" s="5"/>
      <c r="C106" s="5"/>
      <c r="D106" s="11"/>
      <c r="E106" s="6" t="n">
        <f aca="false">E$72*D106</f>
        <v>0</v>
      </c>
      <c r="F106" s="5"/>
      <c r="G106" s="5"/>
      <c r="H106" s="5"/>
    </row>
    <row r="107" customFormat="false" ht="13.8" hidden="false" customHeight="false" outlineLevel="0" collapsed="false">
      <c r="B107" s="5"/>
      <c r="C107" s="5"/>
      <c r="D107" s="11"/>
      <c r="E107" s="6" t="n">
        <f aca="false">E$72*D107</f>
        <v>0</v>
      </c>
      <c r="F107" s="5" t="n">
        <f aca="false">E107/20</f>
        <v>0</v>
      </c>
      <c r="G107" s="5"/>
      <c r="H107" s="5"/>
    </row>
    <row r="108" customFormat="false" ht="13.8" hidden="false" customHeight="false" outlineLevel="0" collapsed="false">
      <c r="B108" s="5"/>
      <c r="C108" s="5"/>
      <c r="D108" s="7" t="n">
        <f aca="false">SUM(D95:D107)</f>
        <v>1</v>
      </c>
      <c r="E108" s="7" t="n">
        <f aca="false">SUM(E95:E107)</f>
        <v>2187.63608562691</v>
      </c>
      <c r="F108" s="5"/>
      <c r="G108" s="5"/>
      <c r="H108" s="5"/>
    </row>
    <row r="109" customFormat="false" ht="13.8" hidden="false" customHeight="false" outlineLevel="0" collapsed="false">
      <c r="B109" s="5"/>
      <c r="C109" s="5"/>
      <c r="D109" s="7"/>
      <c r="E109" s="7"/>
      <c r="F109" s="5"/>
      <c r="G109" s="5"/>
      <c r="H109" s="5"/>
      <c r="P109" s="1" t="n">
        <f aca="false">3892*4</f>
        <v>15568</v>
      </c>
    </row>
    <row r="111" customFormat="false" ht="13.8" hidden="false" customHeight="false" outlineLevel="0" collapsed="false">
      <c r="B111" s="1" t="s">
        <v>84</v>
      </c>
      <c r="C111" s="1" t="s">
        <v>85</v>
      </c>
      <c r="D111" s="1" t="s">
        <v>86</v>
      </c>
      <c r="E111" s="1" t="s">
        <v>3</v>
      </c>
      <c r="F111" s="1" t="s">
        <v>87</v>
      </c>
      <c r="G111" s="1" t="s">
        <v>88</v>
      </c>
    </row>
    <row r="112" customFormat="false" ht="13.8" hidden="false" customHeight="false" outlineLevel="0" collapsed="false">
      <c r="B112" s="1" t="n">
        <v>1097</v>
      </c>
      <c r="C112" s="1" t="n">
        <f aca="false">INT(B112/160)</f>
        <v>6</v>
      </c>
      <c r="D112" s="1" t="n">
        <f aca="false">INT((B112-160*INT(B112/160))/20)</f>
        <v>6</v>
      </c>
      <c r="E112" s="1" t="n">
        <f aca="false">INT(B112-160*INT(B112/160)-20*INT((B112-160*INT(B112/160))/20))</f>
        <v>17</v>
      </c>
      <c r="F112" s="1" t="n">
        <f aca="false">ROUND((B112-INT(B112))*9,0)</f>
        <v>0</v>
      </c>
      <c r="G112" s="1" t="str">
        <f aca="false">TEXT(C112,"0")&amp;"K-"&amp;TEXT(D112,"0")&amp;"K-"&amp;TEXT(E112,"0")&amp;"M-"&amp;TEXT(F112,"0")&amp;"S"</f>
        <v>6K-6K-17M-0S</v>
      </c>
    </row>
    <row r="115" customFormat="false" ht="17.35" hidden="false" customHeight="false" outlineLevel="0" collapsed="false">
      <c r="B115" s="2" t="s">
        <v>0</v>
      </c>
      <c r="C115" s="3" t="n">
        <v>402</v>
      </c>
      <c r="D115" s="4"/>
      <c r="E115" s="5"/>
      <c r="F115" s="5"/>
      <c r="G115" s="2" t="s">
        <v>125</v>
      </c>
      <c r="H115" s="5"/>
      <c r="J115" s="1" t="s">
        <v>126</v>
      </c>
    </row>
    <row r="116" customFormat="false" ht="13.8" hidden="false" customHeight="false" outlineLevel="0" collapsed="false">
      <c r="B116" s="5" t="n">
        <v>339</v>
      </c>
      <c r="C116" s="5"/>
      <c r="D116" s="5"/>
      <c r="E116" s="2" t="n">
        <v>1385</v>
      </c>
      <c r="F116" s="2" t="s">
        <v>3</v>
      </c>
      <c r="G116" s="5"/>
      <c r="H116" s="5"/>
      <c r="J116" s="1" t="s">
        <v>127</v>
      </c>
    </row>
    <row r="117" customFormat="false" ht="13.8" hidden="false" customHeight="false" outlineLevel="0" collapsed="false">
      <c r="B117" s="1" t="s">
        <v>9</v>
      </c>
      <c r="C117" s="5" t="s">
        <v>128</v>
      </c>
      <c r="D117" s="5" t="n">
        <f aca="false">557/15568</f>
        <v>0.03577852004111</v>
      </c>
      <c r="E117" s="6" t="n">
        <f aca="false">E$116*D117</f>
        <v>49.5532502569373</v>
      </c>
      <c r="F117" s="5"/>
      <c r="G117" s="5"/>
      <c r="H117" s="5"/>
      <c r="P117" s="1" t="s">
        <v>129</v>
      </c>
      <c r="Q117" s="1" t="s">
        <v>130</v>
      </c>
    </row>
    <row r="118" customFormat="false" ht="13.8" hidden="false" customHeight="false" outlineLevel="0" collapsed="false">
      <c r="B118" s="1" t="s">
        <v>12</v>
      </c>
      <c r="C118" s="5" t="s">
        <v>128</v>
      </c>
      <c r="D118" s="5" t="n">
        <f aca="false">557/15568</f>
        <v>0.03577852004111</v>
      </c>
      <c r="E118" s="6" t="n">
        <f aca="false">E$116*D118</f>
        <v>49.5532502569373</v>
      </c>
      <c r="F118" s="5"/>
      <c r="G118" s="5"/>
      <c r="H118" s="5"/>
      <c r="O118" s="6" t="n">
        <v>136.65</v>
      </c>
      <c r="P118" s="1"/>
      <c r="Q118" s="1"/>
    </row>
    <row r="119" customFormat="false" ht="13.8" hidden="false" customHeight="false" outlineLevel="0" collapsed="false">
      <c r="B119" s="1" t="s">
        <v>13</v>
      </c>
      <c r="C119" s="5" t="s">
        <v>128</v>
      </c>
      <c r="D119" s="5" t="n">
        <f aca="false">557/15568</f>
        <v>0.03577852004111</v>
      </c>
      <c r="E119" s="6" t="n">
        <f aca="false">E$116*D119</f>
        <v>49.5532502569373</v>
      </c>
      <c r="F119" s="5"/>
      <c r="G119" s="5"/>
      <c r="H119" s="5"/>
      <c r="P119" s="1"/>
      <c r="Q119" s="1"/>
    </row>
    <row r="120" customFormat="false" ht="13.8" hidden="false" customHeight="false" outlineLevel="0" collapsed="false">
      <c r="B120" s="1" t="s">
        <v>14</v>
      </c>
      <c r="C120" s="5" t="s">
        <v>128</v>
      </c>
      <c r="D120" s="5" t="n">
        <f aca="false">557/15568</f>
        <v>0.03577852004111</v>
      </c>
      <c r="E120" s="6" t="n">
        <f aca="false">E$116*D120</f>
        <v>49.5532502569373</v>
      </c>
      <c r="F120" s="5"/>
      <c r="G120" s="5"/>
      <c r="H120" s="5"/>
      <c r="P120" s="1"/>
      <c r="Q120" s="1"/>
    </row>
    <row r="121" customFormat="false" ht="13.8" hidden="false" customHeight="false" outlineLevel="0" collapsed="false">
      <c r="B121" s="1" t="s">
        <v>131</v>
      </c>
      <c r="C121" s="5" t="s">
        <v>132</v>
      </c>
      <c r="D121" s="5" t="n">
        <f aca="false">405/7784</f>
        <v>0.0520298047276465</v>
      </c>
      <c r="E121" s="6" t="n">
        <f aca="false">E$116*D121</f>
        <v>72.0612795477903</v>
      </c>
      <c r="F121" s="5"/>
      <c r="G121" s="5"/>
      <c r="H121" s="5"/>
      <c r="J121" s="1" t="s">
        <v>8</v>
      </c>
      <c r="P121" s="1" t="n">
        <v>27</v>
      </c>
      <c r="Q121" s="1" t="n">
        <v>16</v>
      </c>
    </row>
    <row r="122" customFormat="false" ht="13.8" hidden="false" customHeight="false" outlineLevel="0" collapsed="false">
      <c r="B122" s="1" t="s">
        <v>133</v>
      </c>
      <c r="C122" s="5" t="s">
        <v>134</v>
      </c>
      <c r="D122" s="5" t="n">
        <f aca="false">689/7784</f>
        <v>0.0885149023638232</v>
      </c>
      <c r="E122" s="6" t="n">
        <f aca="false">E$116*D122</f>
        <v>122.593139773895</v>
      </c>
      <c r="F122" s="5"/>
      <c r="G122" s="5"/>
      <c r="H122" s="5"/>
      <c r="J122" s="1" t="s">
        <v>11</v>
      </c>
      <c r="P122" s="1" t="n">
        <v>32</v>
      </c>
      <c r="Q122" s="1" t="n">
        <v>0</v>
      </c>
      <c r="R122" s="1" t="s">
        <v>135</v>
      </c>
    </row>
    <row r="123" customFormat="false" ht="13.8" hidden="false" customHeight="false" outlineLevel="0" collapsed="false">
      <c r="B123" s="1" t="s">
        <v>136</v>
      </c>
      <c r="C123" s="5" t="s">
        <v>137</v>
      </c>
      <c r="D123" s="5" t="n">
        <f aca="false">36/973</f>
        <v>0.0369989722507708</v>
      </c>
      <c r="E123" s="6" t="n">
        <f aca="false">E$116*D123</f>
        <v>51.2435765673176</v>
      </c>
      <c r="F123" s="5"/>
      <c r="G123" s="5"/>
      <c r="H123" s="5"/>
      <c r="J123" s="1" t="s">
        <v>138</v>
      </c>
      <c r="P123" s="1" t="n">
        <v>4</v>
      </c>
      <c r="Q123" s="1" t="n">
        <v>12</v>
      </c>
      <c r="R123" s="1" t="s">
        <v>139</v>
      </c>
    </row>
    <row r="124" customFormat="false" ht="13.8" hidden="false" customHeight="false" outlineLevel="0" collapsed="false">
      <c r="B124" s="1" t="s">
        <v>140</v>
      </c>
      <c r="C124" s="5" t="s">
        <v>141</v>
      </c>
      <c r="D124" s="5" t="n">
        <f aca="false">18/973</f>
        <v>0.0184994861253854</v>
      </c>
      <c r="E124" s="6" t="n">
        <f aca="false">E$116*D124</f>
        <v>25.6217882836588</v>
      </c>
      <c r="F124" s="5"/>
      <c r="G124" s="5"/>
      <c r="H124" s="5"/>
      <c r="J124" s="1" t="s">
        <v>131</v>
      </c>
      <c r="P124" s="1" t="n">
        <v>1</v>
      </c>
      <c r="Q124" s="1" t="n">
        <v>7</v>
      </c>
      <c r="R124" s="1" t="s">
        <v>142</v>
      </c>
    </row>
    <row r="125" customFormat="false" ht="13.8" hidden="false" customHeight="false" outlineLevel="0" collapsed="false">
      <c r="B125" s="1" t="s">
        <v>143</v>
      </c>
      <c r="C125" s="5" t="s">
        <v>144</v>
      </c>
      <c r="D125" s="5" t="n">
        <f aca="false">557/3892</f>
        <v>0.14311408016444</v>
      </c>
      <c r="E125" s="6" t="n">
        <f aca="false">E$116*D125</f>
        <v>198.213001027749</v>
      </c>
      <c r="F125" s="5"/>
      <c r="G125" s="5"/>
      <c r="H125" s="5"/>
      <c r="J125" s="1" t="s">
        <v>133</v>
      </c>
      <c r="P125" s="1" t="n">
        <v>2</v>
      </c>
      <c r="Q125" s="1" t="n">
        <v>6</v>
      </c>
      <c r="R125" s="1" t="s">
        <v>145</v>
      </c>
    </row>
    <row r="126" customFormat="false" ht="13.8" hidden="false" customHeight="false" outlineLevel="0" collapsed="false">
      <c r="B126" s="1" t="s">
        <v>146</v>
      </c>
      <c r="C126" s="5" t="s">
        <v>147</v>
      </c>
      <c r="D126" s="5" t="n">
        <f aca="false">281/3892</f>
        <v>0.0721993833504625</v>
      </c>
      <c r="E126" s="6" t="n">
        <f aca="false">E$116*D126</f>
        <v>99.9961459403905</v>
      </c>
      <c r="F126" s="5"/>
      <c r="G126" s="5"/>
      <c r="H126" s="5"/>
      <c r="J126" s="1" t="s">
        <v>136</v>
      </c>
      <c r="P126" s="10" t="n">
        <v>40</v>
      </c>
      <c r="Q126" s="10" t="n">
        <v>5</v>
      </c>
    </row>
    <row r="127" customFormat="false" ht="13.8" hidden="false" customHeight="false" outlineLevel="0" collapsed="false">
      <c r="B127" s="1" t="s">
        <v>148</v>
      </c>
      <c r="C127" s="5" t="s">
        <v>149</v>
      </c>
      <c r="D127" s="5" t="n">
        <f aca="false">877/3892</f>
        <v>0.225334018499486</v>
      </c>
      <c r="E127" s="6" t="n">
        <f aca="false">E$116*D127</f>
        <v>312.087615621788</v>
      </c>
      <c r="F127" s="5"/>
      <c r="G127" s="5"/>
      <c r="H127" s="5"/>
      <c r="J127" s="1" t="s">
        <v>140</v>
      </c>
      <c r="P127" s="10" t="n">
        <v>40</v>
      </c>
    </row>
    <row r="128" customFormat="false" ht="13.8" hidden="false" customHeight="false" outlineLevel="0" collapsed="false">
      <c r="B128" s="1" t="s">
        <v>150</v>
      </c>
      <c r="C128" s="5" t="s">
        <v>151</v>
      </c>
      <c r="D128" s="5" t="n">
        <f aca="false">95/556</f>
        <v>0.170863309352518</v>
      </c>
      <c r="E128" s="6" t="n">
        <f aca="false">E$116*D128</f>
        <v>236.645683453237</v>
      </c>
      <c r="F128" s="5"/>
      <c r="G128" s="5"/>
      <c r="H128" s="5"/>
      <c r="J128" s="1" t="s">
        <v>143</v>
      </c>
      <c r="P128" s="1" t="n">
        <v>12</v>
      </c>
      <c r="Q128" s="1" t="n">
        <v>10</v>
      </c>
    </row>
    <row r="129" customFormat="false" ht="13.8" hidden="false" customHeight="false" outlineLevel="0" collapsed="false">
      <c r="B129" s="1" t="s">
        <v>152</v>
      </c>
      <c r="C129" s="5" t="s">
        <v>153</v>
      </c>
      <c r="D129" s="5" t="n">
        <f aca="false">365/3892</f>
        <v>0.0937821171634121</v>
      </c>
      <c r="E129" s="6" t="n">
        <f aca="false">E$116*D129</f>
        <v>129.888232271326</v>
      </c>
      <c r="F129" s="5"/>
      <c r="G129" s="5"/>
      <c r="H129" s="5"/>
      <c r="J129" s="1" t="s">
        <v>146</v>
      </c>
      <c r="P129" s="1" t="n">
        <v>250</v>
      </c>
    </row>
    <row r="130" customFormat="false" ht="13.8" hidden="false" customHeight="false" outlineLevel="0" collapsed="false">
      <c r="B130" s="1" t="s">
        <v>154</v>
      </c>
      <c r="C130" s="5" t="s">
        <v>154</v>
      </c>
      <c r="D130" s="5" t="s">
        <v>154</v>
      </c>
      <c r="E130" s="6"/>
      <c r="F130" s="5"/>
      <c r="G130" s="5"/>
      <c r="H130" s="5"/>
      <c r="J130" s="1" t="s">
        <v>148</v>
      </c>
      <c r="P130" s="1" t="n">
        <f aca="false">70*3</f>
        <v>210</v>
      </c>
    </row>
    <row r="131" customFormat="false" ht="13.8" hidden="false" customHeight="false" outlineLevel="0" collapsed="false">
      <c r="B131" s="5"/>
      <c r="C131" s="5"/>
      <c r="D131" s="11"/>
      <c r="E131" s="6"/>
      <c r="F131" s="5"/>
      <c r="G131" s="5"/>
      <c r="H131" s="5"/>
      <c r="J131" s="1" t="s">
        <v>150</v>
      </c>
      <c r="P131" s="1" t="n">
        <v>110</v>
      </c>
    </row>
    <row r="132" customFormat="false" ht="13.8" hidden="false" customHeight="false" outlineLevel="0" collapsed="false">
      <c r="B132" s="5"/>
      <c r="C132" s="5"/>
      <c r="D132" s="11"/>
      <c r="E132" s="6"/>
      <c r="F132" s="5"/>
      <c r="G132" s="5"/>
      <c r="H132" s="5"/>
      <c r="J132" s="1" t="s">
        <v>152</v>
      </c>
      <c r="P132" s="10" t="n">
        <f aca="false">320</f>
        <v>320</v>
      </c>
    </row>
    <row r="133" customFormat="false" ht="13.8" hidden="false" customHeight="false" outlineLevel="0" collapsed="false">
      <c r="B133" s="5"/>
      <c r="C133" s="5"/>
      <c r="D133" s="11"/>
      <c r="E133" s="6"/>
      <c r="F133" s="5" t="n">
        <f aca="false">E133/20</f>
        <v>0</v>
      </c>
      <c r="G133" s="5"/>
      <c r="H133" s="5"/>
      <c r="J133" s="1" t="s">
        <v>11</v>
      </c>
    </row>
    <row r="134" customFormat="false" ht="13.8" hidden="false" customHeight="false" outlineLevel="0" collapsed="false">
      <c r="B134" s="5"/>
      <c r="C134" s="5"/>
      <c r="D134" s="7" t="n">
        <f aca="false">SUM(D117:D133)</f>
        <v>1.04445015416238</v>
      </c>
      <c r="E134" s="7" t="n">
        <f aca="false">SUM(E117:E133)</f>
        <v>1446.5634635149</v>
      </c>
      <c r="F134" s="5"/>
      <c r="G134" s="5"/>
      <c r="H134" s="5"/>
      <c r="J134" s="1" t="s">
        <v>155</v>
      </c>
    </row>
    <row r="135" customFormat="false" ht="13.8" hidden="false" customHeight="false" outlineLevel="0" collapsed="false">
      <c r="B135" s="5"/>
      <c r="C135" s="5"/>
      <c r="D135" s="7"/>
      <c r="E135" s="7"/>
      <c r="F135" s="5"/>
      <c r="G135" s="5"/>
      <c r="H135" s="5"/>
    </row>
    <row r="138" customFormat="false" ht="17.35" hidden="false" customHeight="false" outlineLevel="0" collapsed="false">
      <c r="B138" s="2" t="s">
        <v>0</v>
      </c>
      <c r="C138" s="3" t="n">
        <v>359</v>
      </c>
      <c r="D138" s="4"/>
      <c r="E138" s="5"/>
      <c r="F138" s="5"/>
      <c r="G138" s="2" t="s">
        <v>156</v>
      </c>
      <c r="H138" s="5"/>
      <c r="J138" s="1" t="s">
        <v>157</v>
      </c>
    </row>
    <row r="139" customFormat="false" ht="13.8" hidden="false" customHeight="false" outlineLevel="0" collapsed="false">
      <c r="B139" s="5" t="n">
        <v>334</v>
      </c>
      <c r="C139" s="5"/>
      <c r="D139" s="5"/>
      <c r="E139" s="2" t="n">
        <v>140</v>
      </c>
      <c r="F139" s="2" t="s">
        <v>3</v>
      </c>
      <c r="G139" s="5"/>
      <c r="H139" s="5"/>
      <c r="J139" s="1" t="s">
        <v>105</v>
      </c>
    </row>
    <row r="140" customFormat="false" ht="13.8" hidden="false" customHeight="false" outlineLevel="0" collapsed="false">
      <c r="B140" s="1" t="s">
        <v>9</v>
      </c>
      <c r="C140" s="8" t="s">
        <v>158</v>
      </c>
      <c r="D140" s="5" t="n">
        <f aca="false">5/14</f>
        <v>0.357142857142857</v>
      </c>
      <c r="E140" s="6" t="n">
        <f aca="false">E$139*D140</f>
        <v>50</v>
      </c>
      <c r="F140" s="5"/>
      <c r="G140" s="5"/>
      <c r="H140" s="5"/>
    </row>
    <row r="141" customFormat="false" ht="13.8" hidden="false" customHeight="false" outlineLevel="0" collapsed="false">
      <c r="B141" s="1" t="s">
        <v>159</v>
      </c>
      <c r="C141" s="5" t="s">
        <v>160</v>
      </c>
      <c r="D141" s="5" t="n">
        <f aca="false">1/7</f>
        <v>0.142857142857143</v>
      </c>
      <c r="E141" s="6" t="n">
        <f aca="false">E$139*D141</f>
        <v>20</v>
      </c>
      <c r="F141" s="5"/>
      <c r="G141" s="5"/>
      <c r="H141" s="5"/>
      <c r="J141" s="1" t="s">
        <v>8</v>
      </c>
    </row>
    <row r="142" customFormat="false" ht="13.8" hidden="false" customHeight="false" outlineLevel="0" collapsed="false">
      <c r="B142" s="1" t="s">
        <v>161</v>
      </c>
      <c r="C142" s="5" t="s">
        <v>162</v>
      </c>
      <c r="D142" s="5" t="n">
        <f aca="false">1/2</f>
        <v>0.5</v>
      </c>
      <c r="E142" s="6" t="n">
        <f aca="false">E$139*D142</f>
        <v>70</v>
      </c>
      <c r="F142" s="5"/>
      <c r="G142" s="5"/>
      <c r="H142" s="5"/>
      <c r="J142" s="1" t="s">
        <v>11</v>
      </c>
    </row>
    <row r="143" customFormat="false" ht="13.8" hidden="false" customHeight="false" outlineLevel="0" collapsed="false">
      <c r="C143" s="5"/>
      <c r="D143" s="5"/>
      <c r="E143" s="6"/>
      <c r="F143" s="5"/>
      <c r="G143" s="5"/>
      <c r="H143" s="5"/>
      <c r="J143" s="1" t="s">
        <v>163</v>
      </c>
    </row>
    <row r="144" customFormat="false" ht="13.8" hidden="false" customHeight="false" outlineLevel="0" collapsed="false">
      <c r="C144" s="5"/>
      <c r="D144" s="5"/>
      <c r="E144" s="6"/>
      <c r="F144" s="5"/>
      <c r="G144" s="5"/>
      <c r="H144" s="5"/>
      <c r="J144" s="1" t="s">
        <v>164</v>
      </c>
    </row>
    <row r="145" customFormat="false" ht="13.8" hidden="false" customHeight="false" outlineLevel="0" collapsed="false">
      <c r="C145" s="5"/>
      <c r="D145" s="5"/>
      <c r="E145" s="6"/>
      <c r="F145" s="5"/>
      <c r="G145" s="5"/>
      <c r="H145" s="5"/>
      <c r="J145" s="1" t="s">
        <v>165</v>
      </c>
    </row>
    <row r="146" customFormat="false" ht="13.8" hidden="false" customHeight="false" outlineLevel="0" collapsed="false">
      <c r="C146" s="5"/>
      <c r="D146" s="5"/>
      <c r="E146" s="6"/>
      <c r="F146" s="5"/>
      <c r="G146" s="5"/>
      <c r="H146" s="5"/>
      <c r="J146" s="1" t="s">
        <v>11</v>
      </c>
    </row>
    <row r="147" customFormat="false" ht="13.8" hidden="false" customHeight="false" outlineLevel="0" collapsed="false">
      <c r="C147" s="5"/>
      <c r="D147" s="5"/>
      <c r="E147" s="6"/>
      <c r="F147" s="5"/>
      <c r="G147" s="5"/>
      <c r="H147" s="5"/>
      <c r="J147" s="1" t="s">
        <v>166</v>
      </c>
    </row>
    <row r="148" customFormat="false" ht="13.8" hidden="false" customHeight="false" outlineLevel="0" collapsed="false">
      <c r="C148" s="5"/>
      <c r="D148" s="5"/>
      <c r="E148" s="6"/>
      <c r="F148" s="5"/>
      <c r="G148" s="5"/>
      <c r="H148" s="5"/>
    </row>
    <row r="149" customFormat="false" ht="13.8" hidden="false" customHeight="false" outlineLevel="0" collapsed="false">
      <c r="C149" s="5"/>
      <c r="D149" s="5"/>
      <c r="E149" s="6"/>
      <c r="F149" s="5"/>
      <c r="G149" s="5"/>
      <c r="H149" s="5"/>
    </row>
    <row r="150" customFormat="false" ht="13.8" hidden="false" customHeight="false" outlineLevel="0" collapsed="false">
      <c r="C150" s="5"/>
      <c r="D150" s="5"/>
      <c r="E150" s="6"/>
      <c r="F150" s="5"/>
      <c r="G150" s="5"/>
      <c r="H150" s="5"/>
    </row>
    <row r="151" customFormat="false" ht="13.8" hidden="false" customHeight="false" outlineLevel="0" collapsed="false">
      <c r="B151" s="5"/>
      <c r="C151" s="5"/>
      <c r="D151" s="11"/>
      <c r="E151" s="6"/>
      <c r="F151" s="5"/>
      <c r="G151" s="5"/>
      <c r="H151" s="5"/>
    </row>
    <row r="152" customFormat="false" ht="13.8" hidden="false" customHeight="false" outlineLevel="0" collapsed="false">
      <c r="B152" s="5"/>
      <c r="C152" s="5"/>
      <c r="D152" s="11"/>
      <c r="E152" s="6"/>
      <c r="F152" s="5"/>
      <c r="G152" s="5"/>
      <c r="H152" s="5"/>
    </row>
    <row r="153" customFormat="false" ht="13.8" hidden="false" customHeight="false" outlineLevel="0" collapsed="false">
      <c r="B153" s="5"/>
      <c r="C153" s="5"/>
      <c r="D153" s="11"/>
      <c r="E153" s="6"/>
      <c r="F153" s="5" t="n">
        <f aca="false">E153/20</f>
        <v>0</v>
      </c>
      <c r="G153" s="5"/>
      <c r="H153" s="5"/>
    </row>
    <row r="154" customFormat="false" ht="13.8" hidden="false" customHeight="false" outlineLevel="0" collapsed="false">
      <c r="B154" s="5"/>
      <c r="C154" s="5"/>
      <c r="D154" s="7" t="n">
        <f aca="false">SUM(D140:D153)</f>
        <v>1</v>
      </c>
      <c r="E154" s="7" t="n">
        <f aca="false">SUM(E140:E153)</f>
        <v>140</v>
      </c>
      <c r="F154" s="5"/>
      <c r="G154" s="5"/>
      <c r="H154" s="5"/>
    </row>
    <row r="155" customFormat="false" ht="13.8" hidden="false" customHeight="false" outlineLevel="0" collapsed="false">
      <c r="B155" s="5"/>
      <c r="C155" s="5"/>
      <c r="D155" s="7"/>
      <c r="E155" s="7"/>
      <c r="F155" s="5"/>
      <c r="G155" s="5"/>
      <c r="H155" s="5"/>
    </row>
    <row r="156" customFormat="false" ht="13.8" hidden="false" customHeight="false" outlineLevel="0" collapsed="false">
      <c r="O156" s="1" t="n">
        <f aca="false">B159+B160</f>
        <v>123.853834115806</v>
      </c>
    </row>
    <row r="157" customFormat="false" ht="13.8" hidden="false" customHeight="false" outlineLevel="0" collapsed="false">
      <c r="B157" s="1" t="s">
        <v>84</v>
      </c>
      <c r="C157" s="1" t="s">
        <v>85</v>
      </c>
      <c r="D157" s="1" t="s">
        <v>86</v>
      </c>
      <c r="E157" s="1" t="s">
        <v>3</v>
      </c>
      <c r="F157" s="1" t="s">
        <v>87</v>
      </c>
      <c r="G157" s="1" t="s">
        <v>88</v>
      </c>
      <c r="L157" s="1" t="n">
        <f aca="false">B162+B160</f>
        <v>204.400168476889</v>
      </c>
    </row>
    <row r="158" customFormat="false" ht="13.8" hidden="false" customHeight="false" outlineLevel="0" collapsed="false">
      <c r="A158" s="10" t="s">
        <v>167</v>
      </c>
      <c r="B158" s="12"/>
      <c r="C158" s="1"/>
      <c r="D158" s="1"/>
      <c r="E158" s="1"/>
      <c r="F158" s="1" t="n">
        <f aca="false">ROUND((B158-INT(B158))*9,0)</f>
        <v>0</v>
      </c>
      <c r="G158" s="1" t="str">
        <f aca="false">TEXT(C158,"0")&amp;"K-"&amp;TEXT(D158,"0")&amp;"K-"&amp;TEXT(E158,"0")&amp;"M-"&amp;TEXT(F158,"0")&amp;"S"</f>
        <v>0K-0K-0M-0S</v>
      </c>
      <c r="H158" s="1" t="s">
        <v>168</v>
      </c>
    </row>
    <row r="159" customFormat="false" ht="13.8" hidden="false" customHeight="false" outlineLevel="0" collapsed="false">
      <c r="A159" s="10" t="n">
        <v>409</v>
      </c>
      <c r="B159" s="13" t="n">
        <f aca="false">E7+E8+E9+E10</f>
        <v>117.666666666667</v>
      </c>
      <c r="C159" s="1" t="n">
        <f aca="false">INT(B159/160)</f>
        <v>0</v>
      </c>
      <c r="D159" s="1" t="n">
        <f aca="false">INT((B159-160*INT(B159/160))/20)</f>
        <v>5</v>
      </c>
      <c r="E159" s="1" t="n">
        <f aca="false">INT(B159-160*INT(B159/160)-20*INT((B159-160*INT(B159/160))/20))</f>
        <v>17</v>
      </c>
      <c r="F159" s="1" t="n">
        <f aca="false">ROUND((B159-INT(B159))*9,0)</f>
        <v>6</v>
      </c>
      <c r="G159" s="1" t="str">
        <f aca="false">TEXT(C159,"0")&amp;"K-"&amp;TEXT(D159,"0")&amp;"K-"&amp;TEXT(E159,"0")&amp;"M-"&amp;TEXT(F159,"0")&amp;"S"</f>
        <v>0K-5K-17M-6S</v>
      </c>
      <c r="I159" s="2" t="s">
        <v>1</v>
      </c>
    </row>
    <row r="160" customFormat="false" ht="13.8" hidden="false" customHeight="false" outlineLevel="0" collapsed="false">
      <c r="A160" s="10" t="n">
        <v>410</v>
      </c>
      <c r="B160" s="13" t="n">
        <f aca="false">E34</f>
        <v>6.18716744913928</v>
      </c>
      <c r="C160" s="1" t="n">
        <f aca="false">INT(B160/160)</f>
        <v>0</v>
      </c>
      <c r="D160" s="1" t="n">
        <f aca="false">INT((B160-160*INT(B160/160))/20)</f>
        <v>0</v>
      </c>
      <c r="E160" s="1" t="n">
        <f aca="false">INT(B160-160*INT(B160/160)-20*INT((B160-160*INT(B160/160))/20))</f>
        <v>6</v>
      </c>
      <c r="F160" s="1" t="n">
        <f aca="false">ROUND((B160-INT(B160))*9,0)</f>
        <v>2</v>
      </c>
      <c r="G160" s="1" t="str">
        <f aca="false">TEXT(C160,"0")&amp;"K-"&amp;TEXT(D160,"0")&amp;"K-"&amp;TEXT(E160,"0")&amp;"M-"&amp;TEXT(F160,"0")&amp;"S"</f>
        <v>0K-0K-6M-2S</v>
      </c>
      <c r="I160" s="2"/>
    </row>
    <row r="161" customFormat="false" ht="13.8" hidden="false" customHeight="false" outlineLevel="0" collapsed="false">
      <c r="A161" s="10" t="n">
        <v>414</v>
      </c>
      <c r="B161" s="13" t="n">
        <f aca="false">E58</f>
        <v>210</v>
      </c>
      <c r="C161" s="1" t="n">
        <f aca="false">INT(B161/160)</f>
        <v>1</v>
      </c>
      <c r="D161" s="1" t="n">
        <f aca="false">INT((B161-160*INT(B161/160))/20)</f>
        <v>2</v>
      </c>
      <c r="E161" s="1" t="n">
        <f aca="false">INT(B161-160*INT(B161/160)-20*INT((B161-160*INT(B161/160))/20))</f>
        <v>10</v>
      </c>
      <c r="F161" s="1" t="n">
        <f aca="false">ROUND((B161-INT(B161))*9,0)</f>
        <v>0</v>
      </c>
      <c r="G161" s="1" t="str">
        <f aca="false">TEXT(C161,"0")&amp;"K-"&amp;TEXT(D161,"0")&amp;"K-"&amp;TEXT(E161,"0")&amp;"M-"&amp;TEXT(F161,"0")&amp;"S"</f>
        <v>1K-2K-10M-0S</v>
      </c>
      <c r="I161" s="10" t="s">
        <v>58</v>
      </c>
    </row>
    <row r="162" customFormat="false" ht="13.8" hidden="false" customHeight="false" outlineLevel="0" collapsed="false">
      <c r="A162" s="14" t="n">
        <f aca="false">C115</f>
        <v>402</v>
      </c>
      <c r="B162" s="13" t="n">
        <f aca="false">E117+E118+E119+E120</f>
        <v>198.213001027749</v>
      </c>
      <c r="C162" s="1" t="n">
        <f aca="false">INT(B162/160)</f>
        <v>1</v>
      </c>
      <c r="D162" s="1" t="n">
        <f aca="false">INT((B162-160*INT(B162/160))/20)</f>
        <v>1</v>
      </c>
      <c r="E162" s="1" t="n">
        <f aca="false">INT(B162-160*INT(B162/160)-20*INT((B162-160*INT(B162/160))/20))</f>
        <v>18</v>
      </c>
      <c r="F162" s="1" t="n">
        <f aca="false">ROUND((B162-INT(B162))*9,0)</f>
        <v>2</v>
      </c>
      <c r="G162" s="1" t="str">
        <f aca="false">TEXT(C162,"0")&amp;"K-"&amp;TEXT(D162,"0")&amp;"K-"&amp;TEXT(E162,"0")&amp;"M-"&amp;TEXT(F162,"0")&amp;"S"</f>
        <v>1K-1K-18M-2S</v>
      </c>
      <c r="I162" s="2" t="s">
        <v>125</v>
      </c>
      <c r="K162" s="1" t="s">
        <v>169</v>
      </c>
      <c r="L162" s="12" t="n">
        <f aca="false">'2003-04'!B111</f>
        <v>510.300616649538</v>
      </c>
      <c r="M162" s="12" t="n">
        <f aca="false">B162</f>
        <v>198.213001027749</v>
      </c>
      <c r="N162" s="12" t="n">
        <f aca="false">L162-M162</f>
        <v>312.087615621788</v>
      </c>
    </row>
    <row r="163" customFormat="false" ht="13.8" hidden="false" customHeight="false" outlineLevel="0" collapsed="false">
      <c r="A163" s="10"/>
      <c r="B163" s="15" t="n">
        <f aca="false">SUM(B159:B162)</f>
        <v>532.066835143555</v>
      </c>
      <c r="C163" s="10" t="n">
        <f aca="false">INT(B163/160)</f>
        <v>3</v>
      </c>
      <c r="D163" s="10" t="n">
        <f aca="false">INT((B163-160*INT(B163/160))/20)</f>
        <v>2</v>
      </c>
      <c r="E163" s="10" t="n">
        <f aca="false">INT(B163-160*INT(B163/160)-20*INT((B163-160*INT(B163/160))/20))</f>
        <v>12</v>
      </c>
      <c r="F163" s="10" t="n">
        <f aca="false">ROUND((B163-INT(B163))*9,0)</f>
        <v>1</v>
      </c>
      <c r="G163" s="10" t="str">
        <f aca="false">TEXT(C163,"0")&amp;"K-"&amp;TEXT(D163,"0")&amp;"K-"&amp;TEXT(E163,"0")&amp;"M-"&amp;TEXT(F163,"0")&amp;"S"</f>
        <v>3K-2K-12M-1S</v>
      </c>
      <c r="J163" s="1" t="s">
        <v>84</v>
      </c>
      <c r="K163" s="1" t="s">
        <v>85</v>
      </c>
      <c r="L163" s="1" t="s">
        <v>86</v>
      </c>
      <c r="M163" s="1" t="s">
        <v>3</v>
      </c>
      <c r="N163" s="1" t="s">
        <v>87</v>
      </c>
      <c r="O163" s="1" t="s">
        <v>88</v>
      </c>
    </row>
    <row r="164" customFormat="false" ht="13.8" hidden="false" customHeight="false" outlineLevel="0" collapsed="false">
      <c r="A164" s="10" t="s">
        <v>170</v>
      </c>
      <c r="B164" s="12"/>
      <c r="C164" s="1"/>
      <c r="D164" s="1"/>
      <c r="E164" s="1"/>
      <c r="F164" s="1"/>
      <c r="G164" s="1"/>
      <c r="J164" s="12" t="n">
        <f aca="false">N162</f>
        <v>312.087615621788</v>
      </c>
      <c r="K164" s="1" t="n">
        <f aca="false">INT(J164/160)</f>
        <v>1</v>
      </c>
      <c r="L164" s="1" t="n">
        <f aca="false">INT((J164-160*INT(J164/160))/20)</f>
        <v>7</v>
      </c>
      <c r="M164" s="1" t="n">
        <f aca="false">INT(J164-160*INT(J164/160)-20*INT((J164-160*INT(J164/160))/20))</f>
        <v>12</v>
      </c>
      <c r="N164" s="1" t="n">
        <f aca="false">ROUND((J164-INT(J164))*9,0)</f>
        <v>1</v>
      </c>
      <c r="O164" s="1" t="str">
        <f aca="false">TEXT(K164,"0")&amp;"K-"&amp;TEXT(L164,"0")&amp;"K-"&amp;TEXT(M164,"0")&amp;"M-"&amp;TEXT(N164,"0")&amp;"S"</f>
        <v>1K-7K-12M-1S</v>
      </c>
      <c r="Q164" s="1" t="s">
        <v>171</v>
      </c>
    </row>
    <row r="165" customFormat="false" ht="13.8" hidden="false" customHeight="false" outlineLevel="0" collapsed="false">
      <c r="A165" s="10" t="n">
        <v>409</v>
      </c>
      <c r="B165" s="12" t="n">
        <f aca="false">E15</f>
        <v>164</v>
      </c>
      <c r="C165" s="1" t="n">
        <f aca="false">INT(B165/160)</f>
        <v>1</v>
      </c>
      <c r="D165" s="1" t="n">
        <f aca="false">INT((B165-160*INT(B165/160))/20)</f>
        <v>0</v>
      </c>
      <c r="E165" s="1" t="n">
        <f aca="false">INT(B165-160*INT(B165/160)-20*INT((B165-160*INT(B165/160))/20))</f>
        <v>4</v>
      </c>
      <c r="F165" s="1" t="n">
        <f aca="false">ROUND((B165-INT(B165))*9,0)</f>
        <v>0</v>
      </c>
      <c r="G165" s="1" t="str">
        <f aca="false">TEXT(C165,"0")&amp;"K-"&amp;TEXT(D165,"0")&amp;"K-"&amp;TEXT(E165,"0")&amp;"M-"&amp;TEXT(F165,"0")&amp;"S"</f>
        <v>1K-0K-4M-0S</v>
      </c>
      <c r="I165" s="10" t="s">
        <v>172</v>
      </c>
    </row>
    <row r="166" customFormat="false" ht="13.8" hidden="false" customHeight="false" outlineLevel="0" collapsed="false">
      <c r="A166" s="10" t="n">
        <v>349</v>
      </c>
      <c r="B166" s="12" t="n">
        <f aca="false">E54</f>
        <v>13.3333333333333</v>
      </c>
      <c r="C166" s="1" t="n">
        <f aca="false">INT(B166/160)</f>
        <v>0</v>
      </c>
      <c r="D166" s="1" t="n">
        <f aca="false">INT((B166-160*INT(B166/160))/20)</f>
        <v>0</v>
      </c>
      <c r="E166" s="1" t="n">
        <f aca="false">INT(B166-160*INT(B166/160)-20*INT((B166-160*INT(B166/160))/20))</f>
        <v>13</v>
      </c>
      <c r="F166" s="1" t="n">
        <f aca="false">ROUND((B166-INT(B166))*9,0)</f>
        <v>3</v>
      </c>
      <c r="G166" s="1" t="str">
        <f aca="false">TEXT(C166,"0")&amp;"K-"&amp;TEXT(D166,"0")&amp;"K-"&amp;TEXT(E166,"0")&amp;"M-"&amp;TEXT(F166,"0")&amp;"S"</f>
        <v>0K-0K-13M-3S</v>
      </c>
      <c r="J166" s="12" t="n">
        <f aca="false">532/3</f>
        <v>177.333333333333</v>
      </c>
      <c r="K166" s="1" t="n">
        <f aca="false">INT(J166/160)</f>
        <v>1</v>
      </c>
      <c r="L166" s="1" t="n">
        <f aca="false">INT((J166-160*INT(J166/160))/20)</f>
        <v>0</v>
      </c>
      <c r="M166" s="1" t="n">
        <f aca="false">INT(J166-160*INT(J166/160)-20*INT((J166-160*INT(J166/160))/20))</f>
        <v>17</v>
      </c>
      <c r="N166" s="1" t="n">
        <f aca="false">ROUND((J166-INT(J166))*9,0)</f>
        <v>3</v>
      </c>
      <c r="O166" s="1" t="str">
        <f aca="false">TEXT(K166,"0")&amp;"K-"&amp;TEXT(L166,"0")&amp;"K-"&amp;TEXT(M166,"0")&amp;"M-"&amp;TEXT(N166,"0")&amp;"S"</f>
        <v>1K-0K-17M-3S</v>
      </c>
    </row>
    <row r="167" customFormat="false" ht="13.8" hidden="false" customHeight="false" outlineLevel="0" collapsed="false">
      <c r="A167" s="10" t="n">
        <v>362</v>
      </c>
      <c r="B167" s="12" t="n">
        <f aca="false">E95</f>
        <v>46</v>
      </c>
      <c r="C167" s="1" t="n">
        <f aca="false">INT(B167/160)</f>
        <v>0</v>
      </c>
      <c r="D167" s="1" t="n">
        <f aca="false">INT((B167-160*INT(B167/160))/20)</f>
        <v>2</v>
      </c>
      <c r="E167" s="1" t="n">
        <f aca="false">INT(B167-160*INT(B167/160)-20*INT((B167-160*INT(B167/160))/20))</f>
        <v>6</v>
      </c>
      <c r="F167" s="1" t="n">
        <f aca="false">ROUND((B167-INT(B167))*9,0)</f>
        <v>0</v>
      </c>
      <c r="G167" s="1" t="str">
        <f aca="false">TEXT(C167,"0")&amp;"K-"&amp;TEXT(D167,"0")&amp;"K-"&amp;TEXT(E167,"0")&amp;"M-"&amp;TEXT(F167,"0")&amp;"S"</f>
        <v>0K-2K-6M-0S</v>
      </c>
    </row>
    <row r="168" customFormat="false" ht="13.8" hidden="false" customHeight="false" outlineLevel="0" collapsed="false">
      <c r="A168" s="14" t="n">
        <v>339</v>
      </c>
      <c r="B168" s="12" t="n">
        <f aca="false">E126</f>
        <v>99.9961459403905</v>
      </c>
      <c r="C168" s="1" t="n">
        <f aca="false">INT(B168/160)</f>
        <v>0</v>
      </c>
      <c r="D168" s="1" t="n">
        <f aca="false">INT((B168-160*INT(B168/160))/20)</f>
        <v>4</v>
      </c>
      <c r="E168" s="1" t="n">
        <f aca="false">INT(B168-160*INT(B168/160)-20*INT((B168-160*INT(B168/160))/20))</f>
        <v>19</v>
      </c>
      <c r="F168" s="1" t="n">
        <f aca="false">ROUND((B168-INT(B168))*9,0)</f>
        <v>9</v>
      </c>
      <c r="G168" s="1" t="str">
        <f aca="false">TEXT(C168,"0")&amp;"K-"&amp;TEXT(D168,"0")&amp;"K-"&amp;TEXT(E168,"0")&amp;"M-"&amp;TEXT(F168,"0")&amp;"S"</f>
        <v>0K-4K-19M-9S</v>
      </c>
    </row>
    <row r="169" customFormat="false" ht="13.8" hidden="false" customHeight="false" outlineLevel="0" collapsed="false">
      <c r="A169" s="14" t="n">
        <f aca="false">C138</f>
        <v>359</v>
      </c>
      <c r="B169" s="12" t="n">
        <f aca="false">E140</f>
        <v>50</v>
      </c>
      <c r="C169" s="1" t="n">
        <f aca="false">INT(B169/160)</f>
        <v>0</v>
      </c>
      <c r="D169" s="1" t="n">
        <f aca="false">INT((B169-160*INT(B169/160))/20)</f>
        <v>2</v>
      </c>
      <c r="E169" s="1" t="n">
        <f aca="false">INT(B169-160*INT(B169/160)-20*INT((B169-160*INT(B169/160))/20))</f>
        <v>10</v>
      </c>
      <c r="F169" s="1" t="n">
        <f aca="false">ROUND((B169-INT(B169))*9,0)</f>
        <v>0</v>
      </c>
      <c r="G169" s="1" t="str">
        <f aca="false">TEXT(C169,"0")&amp;"K-"&amp;TEXT(D169,"0")&amp;"K-"&amp;TEXT(E169,"0")&amp;"M-"&amp;TEXT(F169,"0")&amp;"S"</f>
        <v>0K-2K-10M-0S</v>
      </c>
    </row>
    <row r="170" customFormat="false" ht="13.8" hidden="false" customHeight="false" outlineLevel="0" collapsed="false">
      <c r="B170" s="15" t="n">
        <f aca="false">SUM(B165:B169)</f>
        <v>373.329479273724</v>
      </c>
      <c r="C170" s="10" t="n">
        <f aca="false">INT(B170/160)</f>
        <v>2</v>
      </c>
      <c r="D170" s="10" t="n">
        <f aca="false">INT((B170-160*INT(B170/160))/20)</f>
        <v>2</v>
      </c>
      <c r="E170" s="10" t="n">
        <f aca="false">INT(B170-160*INT(B170/160)-20*INT((B170-160*INT(B170/160))/20))</f>
        <v>13</v>
      </c>
      <c r="F170" s="10" t="n">
        <f aca="false">ROUND((B170-INT(B170))*9,0)</f>
        <v>3</v>
      </c>
      <c r="G170" s="10" t="str">
        <f aca="false">TEXT(C170,"0")&amp;"K-"&amp;TEXT(D170,"0")&amp;"K-"&amp;TEXT(E170,"0")&amp;"M-"&amp;TEXT(F170,"0")&amp;"S"</f>
        <v>2K-2K-13M-3S</v>
      </c>
    </row>
    <row r="171" customFormat="false" ht="13.8" hidden="false" customHeight="false" outlineLevel="0" collapsed="false">
      <c r="A171" s="1" t="s">
        <v>173</v>
      </c>
    </row>
    <row r="172" customFormat="false" ht="13.8" hidden="false" customHeight="false" outlineLevel="0" collapsed="false">
      <c r="B172" s="1" t="s">
        <v>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R141"/>
  <sheetViews>
    <sheetView showFormulas="false" showGridLines="true" showRowColHeaders="true" showZeros="true" rightToLeft="false" tabSelected="false" showOutlineSymbols="true" defaultGridColor="true" view="normal" topLeftCell="A107" colorId="64" zoomScale="100" zoomScaleNormal="100" zoomScalePageLayoutView="100" workbookViewId="0">
      <selection pane="topLeft" activeCell="N126" activeCellId="0" sqref="N126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25.85"/>
    <col collapsed="false" customWidth="true" hidden="false" outlineLevel="0" max="9" min="9" style="1" width="7.65"/>
    <col collapsed="false" customWidth="true" hidden="false" outlineLevel="0" max="10" min="10" style="1" width="16.27"/>
  </cols>
  <sheetData>
    <row r="3" customFormat="false" ht="17.35" hidden="false" customHeight="false" outlineLevel="0" collapsed="false">
      <c r="B3" s="2" t="s">
        <v>0</v>
      </c>
      <c r="C3" s="3" t="n">
        <v>345</v>
      </c>
      <c r="D3" s="4"/>
      <c r="E3" s="2" t="s">
        <v>1</v>
      </c>
      <c r="F3" s="5"/>
      <c r="G3" s="5"/>
      <c r="H3" s="5"/>
      <c r="J3" s="1" t="s">
        <v>2</v>
      </c>
    </row>
    <row r="4" customFormat="false" ht="13.8" hidden="false" customHeight="false" outlineLevel="0" collapsed="false">
      <c r="B4" s="5" t="n">
        <v>322</v>
      </c>
      <c r="C4" s="5"/>
      <c r="D4" s="5"/>
      <c r="E4" s="2" t="n">
        <v>2130</v>
      </c>
      <c r="F4" s="2" t="s">
        <v>3</v>
      </c>
      <c r="G4" s="5"/>
      <c r="H4" s="5"/>
      <c r="J4" s="1" t="s">
        <v>4</v>
      </c>
    </row>
    <row r="5" customFormat="false" ht="13.8" hidden="false" customHeight="false" outlineLevel="0" collapsed="false">
      <c r="B5" s="1" t="s">
        <v>5</v>
      </c>
      <c r="C5" s="5" t="s">
        <v>6</v>
      </c>
      <c r="D5" s="5" t="n">
        <f aca="false">353/6390</f>
        <v>0.0552425665101721</v>
      </c>
      <c r="E5" s="6" t="n">
        <f aca="false">E$4*D5</f>
        <v>117.666666666667</v>
      </c>
      <c r="F5" s="5"/>
      <c r="G5" s="5"/>
      <c r="H5" s="5"/>
    </row>
    <row r="6" customFormat="false" ht="13.8" hidden="false" customHeight="false" outlineLevel="0" collapsed="false">
      <c r="B6" s="1" t="s">
        <v>7</v>
      </c>
      <c r="C6" s="5" t="s">
        <v>6</v>
      </c>
      <c r="D6" s="5" t="n">
        <f aca="false">353/6390</f>
        <v>0.0552425665101721</v>
      </c>
      <c r="E6" s="6" t="n">
        <f aca="false">E$4*D6</f>
        <v>117.666666666667</v>
      </c>
      <c r="F6" s="5"/>
      <c r="G6" s="5"/>
      <c r="H6" s="5"/>
      <c r="J6" s="1" t="s">
        <v>8</v>
      </c>
    </row>
    <row r="7" customFormat="false" ht="13.8" hidden="false" customHeight="false" outlineLevel="0" collapsed="false">
      <c r="B7" s="1" t="s">
        <v>21</v>
      </c>
      <c r="C7" s="5" t="s">
        <v>6</v>
      </c>
      <c r="D7" s="5" t="n">
        <f aca="false">353/6390</f>
        <v>0.0552425665101721</v>
      </c>
      <c r="E7" s="6" t="n">
        <f aca="false">E$4*D7</f>
        <v>117.666666666667</v>
      </c>
      <c r="F7" s="5"/>
      <c r="G7" s="5"/>
      <c r="H7" s="5"/>
      <c r="J7" s="1" t="s">
        <v>11</v>
      </c>
    </row>
    <row r="8" customFormat="false" ht="13.8" hidden="false" customHeight="false" outlineLevel="0" collapsed="false">
      <c r="B8" s="1" t="s">
        <v>15</v>
      </c>
      <c r="C8" s="5" t="s">
        <v>16</v>
      </c>
      <c r="D8" s="5" t="n">
        <f aca="false">8/213</f>
        <v>0.0375586854460094</v>
      </c>
      <c r="E8" s="6" t="n">
        <f aca="false">E$4*D8</f>
        <v>80</v>
      </c>
      <c r="F8" s="5"/>
      <c r="G8" s="5"/>
      <c r="H8" s="5"/>
      <c r="J8" s="1" t="s">
        <v>5</v>
      </c>
    </row>
    <row r="9" customFormat="false" ht="13.8" hidden="false" customHeight="false" outlineLevel="0" collapsed="false">
      <c r="B9" s="1" t="s">
        <v>17</v>
      </c>
      <c r="C9" s="5" t="s">
        <v>18</v>
      </c>
      <c r="D9" s="5" t="n">
        <f aca="false">13/710</f>
        <v>0.0183098591549296</v>
      </c>
      <c r="E9" s="6" t="n">
        <f aca="false">E$4*D9</f>
        <v>39</v>
      </c>
      <c r="F9" s="5"/>
      <c r="G9" s="5"/>
      <c r="H9" s="5"/>
      <c r="J9" s="1" t="s">
        <v>7</v>
      </c>
    </row>
    <row r="10" customFormat="false" ht="13.8" hidden="false" customHeight="false" outlineLevel="0" collapsed="false">
      <c r="B10" s="1" t="s">
        <v>19</v>
      </c>
      <c r="C10" s="5" t="s">
        <v>20</v>
      </c>
      <c r="D10" s="5" t="n">
        <f aca="false">29/2130</f>
        <v>0.0136150234741784</v>
      </c>
      <c r="E10" s="6" t="n">
        <f aca="false">E$4*D10</f>
        <v>29</v>
      </c>
      <c r="F10" s="5"/>
      <c r="G10" s="5"/>
      <c r="H10" s="5"/>
      <c r="J10" s="1" t="s">
        <v>21</v>
      </c>
    </row>
    <row r="11" customFormat="false" ht="13.8" hidden="false" customHeight="false" outlineLevel="0" collapsed="false">
      <c r="B11" s="1" t="s">
        <v>22</v>
      </c>
      <c r="C11" s="5" t="s">
        <v>23</v>
      </c>
      <c r="D11" s="5" t="n">
        <f aca="false">328/1065</f>
        <v>0.307981220657277</v>
      </c>
      <c r="E11" s="6" t="n">
        <f aca="false">E$4*D11</f>
        <v>656</v>
      </c>
      <c r="F11" s="5"/>
      <c r="G11" s="5"/>
      <c r="H11" s="5"/>
      <c r="J11" s="1" t="s">
        <v>15</v>
      </c>
    </row>
    <row r="12" customFormat="false" ht="13.8" hidden="false" customHeight="false" outlineLevel="0" collapsed="false">
      <c r="B12" s="1" t="s">
        <v>24</v>
      </c>
      <c r="C12" s="5" t="s">
        <v>25</v>
      </c>
      <c r="D12" s="5" t="n">
        <f aca="false">82/1065</f>
        <v>0.0769953051643193</v>
      </c>
      <c r="E12" s="6" t="n">
        <f aca="false">E$4*D12</f>
        <v>164</v>
      </c>
      <c r="F12" s="5"/>
      <c r="G12" s="5"/>
      <c r="H12" s="5"/>
      <c r="J12" s="1" t="s">
        <v>17</v>
      </c>
    </row>
    <row r="13" customFormat="false" ht="13.8" hidden="false" customHeight="false" outlineLevel="0" collapsed="false">
      <c r="B13" s="1" t="s">
        <v>26</v>
      </c>
      <c r="C13" s="5" t="s">
        <v>27</v>
      </c>
      <c r="D13" s="5" t="n">
        <f aca="false">267/710</f>
        <v>0.376056338028169</v>
      </c>
      <c r="E13" s="6" t="n">
        <f aca="false">E$4*D13</f>
        <v>801</v>
      </c>
      <c r="F13" s="5"/>
      <c r="G13" s="5"/>
      <c r="H13" s="5"/>
      <c r="J13" s="1" t="s">
        <v>19</v>
      </c>
    </row>
    <row r="14" customFormat="false" ht="13.8" hidden="false" customHeight="false" outlineLevel="0" collapsed="false">
      <c r="B14" s="1" t="s">
        <v>28</v>
      </c>
      <c r="C14" s="5" t="s">
        <v>29</v>
      </c>
      <c r="D14" s="5" t="n">
        <f aca="false">4/1065</f>
        <v>0.00375586854460094</v>
      </c>
      <c r="E14" s="6" t="n">
        <f aca="false">E$4*D14</f>
        <v>8</v>
      </c>
      <c r="F14" s="5"/>
      <c r="G14" s="5"/>
      <c r="H14" s="5"/>
      <c r="J14" s="1" t="s">
        <v>22</v>
      </c>
    </row>
    <row r="15" customFormat="false" ht="13.8" hidden="false" customHeight="false" outlineLevel="0" collapsed="false">
      <c r="B15" s="5"/>
      <c r="C15" s="5"/>
      <c r="D15" s="5"/>
      <c r="E15" s="6" t="n">
        <f aca="false">E$59*D15</f>
        <v>0</v>
      </c>
      <c r="F15" s="5"/>
      <c r="G15" s="5"/>
      <c r="H15" s="5"/>
      <c r="J15" s="1" t="s">
        <v>24</v>
      </c>
    </row>
    <row r="16" customFormat="false" ht="13.8" hidden="false" customHeight="false" outlineLevel="0" collapsed="false">
      <c r="B16" s="5"/>
      <c r="C16" s="5"/>
      <c r="D16" s="5"/>
      <c r="E16" s="6" t="n">
        <f aca="false">E$59*D16</f>
        <v>0</v>
      </c>
      <c r="F16" s="5"/>
      <c r="G16" s="5"/>
      <c r="H16" s="5"/>
      <c r="J16" s="1" t="s">
        <v>26</v>
      </c>
    </row>
    <row r="17" customFormat="false" ht="13.8" hidden="false" customHeight="false" outlineLevel="0" collapsed="false">
      <c r="B17" s="5"/>
      <c r="C17" s="5"/>
      <c r="D17" s="5"/>
      <c r="E17" s="6" t="n">
        <f aca="false">E$59*D17</f>
        <v>0</v>
      </c>
      <c r="F17" s="5" t="n">
        <f aca="false">E17/20</f>
        <v>0</v>
      </c>
      <c r="G17" s="5"/>
      <c r="H17" s="5"/>
      <c r="J17" s="1" t="s">
        <v>28</v>
      </c>
    </row>
    <row r="18" customFormat="false" ht="13.8" hidden="false" customHeight="false" outlineLevel="0" collapsed="false">
      <c r="B18" s="5"/>
      <c r="C18" s="5"/>
      <c r="D18" s="7" t="n">
        <f aca="false">SUM(D5:D17)</f>
        <v>1</v>
      </c>
      <c r="E18" s="7" t="n">
        <f aca="false">SUM(E5:E17)</f>
        <v>2130</v>
      </c>
      <c r="F18" s="5"/>
      <c r="G18" s="5"/>
      <c r="H18" s="5"/>
      <c r="J18" s="1" t="s">
        <v>11</v>
      </c>
    </row>
    <row r="19" customFormat="false" ht="13.8" hidden="false" customHeight="false" outlineLevel="0" collapsed="false">
      <c r="B19" s="5"/>
      <c r="C19" s="5"/>
      <c r="D19" s="7"/>
      <c r="E19" s="7"/>
      <c r="F19" s="5"/>
      <c r="G19" s="5"/>
      <c r="H19" s="5"/>
      <c r="J19" s="1" t="s">
        <v>30</v>
      </c>
    </row>
    <row r="22" customFormat="false" ht="17.35" hidden="false" customHeight="false" outlineLevel="0" collapsed="false">
      <c r="B22" s="2" t="s">
        <v>0</v>
      </c>
      <c r="C22" s="3" t="n">
        <v>349</v>
      </c>
      <c r="D22" s="4"/>
      <c r="E22" s="2" t="s">
        <v>58</v>
      </c>
      <c r="F22" s="5"/>
      <c r="G22" s="5"/>
      <c r="H22" s="5"/>
      <c r="J22" s="1" t="s">
        <v>175</v>
      </c>
    </row>
    <row r="23" customFormat="false" ht="13.8" hidden="false" customHeight="false" outlineLevel="0" collapsed="false">
      <c r="B23" s="5" t="n">
        <v>326</v>
      </c>
      <c r="C23" s="5"/>
      <c r="D23" s="5"/>
      <c r="E23" s="2" t="n">
        <v>1980</v>
      </c>
      <c r="F23" s="2" t="s">
        <v>3</v>
      </c>
      <c r="G23" s="5"/>
      <c r="H23" s="5"/>
      <c r="J23" s="1" t="s">
        <v>60</v>
      </c>
    </row>
    <row r="24" customFormat="false" ht="13.8" hidden="false" customHeight="false" outlineLevel="0" collapsed="false">
      <c r="B24" s="1" t="s">
        <v>176</v>
      </c>
      <c r="C24" s="5" t="s">
        <v>62</v>
      </c>
      <c r="D24" s="5" t="n">
        <f aca="false">1/6</f>
        <v>0.166666666666667</v>
      </c>
      <c r="E24" s="6" t="n">
        <f aca="false">E$23*D24</f>
        <v>330</v>
      </c>
      <c r="F24" s="5"/>
      <c r="G24" s="5"/>
      <c r="H24" s="5"/>
    </row>
    <row r="25" customFormat="false" ht="13.8" hidden="false" customHeight="false" outlineLevel="0" collapsed="false">
      <c r="B25" s="1" t="s">
        <v>177</v>
      </c>
      <c r="C25" s="5" t="s">
        <v>62</v>
      </c>
      <c r="D25" s="5" t="n">
        <f aca="false">1/6</f>
        <v>0.166666666666667</v>
      </c>
      <c r="E25" s="6" t="n">
        <f aca="false">E$23*D25</f>
        <v>330</v>
      </c>
      <c r="F25" s="5"/>
      <c r="G25" s="5"/>
      <c r="H25" s="5"/>
      <c r="J25" s="1" t="s">
        <v>8</v>
      </c>
    </row>
    <row r="26" customFormat="false" ht="13.8" hidden="false" customHeight="false" outlineLevel="0" collapsed="false">
      <c r="B26" s="1" t="s">
        <v>178</v>
      </c>
      <c r="C26" s="5" t="s">
        <v>62</v>
      </c>
      <c r="D26" s="5" t="n">
        <f aca="false">1/6</f>
        <v>0.166666666666667</v>
      </c>
      <c r="E26" s="6" t="n">
        <f aca="false">E$23*D26</f>
        <v>330</v>
      </c>
      <c r="F26" s="5"/>
      <c r="G26" s="5"/>
      <c r="H26" s="5"/>
      <c r="J26" s="1" t="s">
        <v>11</v>
      </c>
    </row>
    <row r="27" customFormat="false" ht="13.8" hidden="false" customHeight="false" outlineLevel="0" collapsed="false">
      <c r="B27" s="1" t="s">
        <v>179</v>
      </c>
      <c r="C27" s="5" t="s">
        <v>180</v>
      </c>
      <c r="D27" s="5" t="n">
        <f aca="false">1/9</f>
        <v>0.111111111111111</v>
      </c>
      <c r="E27" s="6" t="n">
        <f aca="false">E$23*D27</f>
        <v>220</v>
      </c>
      <c r="F27" s="5"/>
      <c r="G27" s="5"/>
      <c r="H27" s="5"/>
      <c r="J27" s="1" t="s">
        <v>176</v>
      </c>
    </row>
    <row r="28" customFormat="false" ht="13.8" hidden="false" customHeight="false" outlineLevel="0" collapsed="false">
      <c r="B28" s="1" t="s">
        <v>181</v>
      </c>
      <c r="C28" s="5" t="s">
        <v>75</v>
      </c>
      <c r="D28" s="5" t="n">
        <f aca="false">1/18</f>
        <v>0.0555555555555556</v>
      </c>
      <c r="E28" s="6" t="n">
        <f aca="false">E$23*D28</f>
        <v>110</v>
      </c>
      <c r="F28" s="5"/>
      <c r="G28" s="5"/>
      <c r="H28" s="5"/>
      <c r="J28" s="1" t="s">
        <v>177</v>
      </c>
    </row>
    <row r="29" customFormat="false" ht="13.8" hidden="false" customHeight="false" outlineLevel="0" collapsed="false">
      <c r="B29" s="1" t="s">
        <v>182</v>
      </c>
      <c r="C29" s="5" t="s">
        <v>78</v>
      </c>
      <c r="D29" s="5" t="n">
        <f aca="false">7/66</f>
        <v>0.106060606060606</v>
      </c>
      <c r="E29" s="6" t="n">
        <f aca="false">E$23*D29</f>
        <v>210</v>
      </c>
      <c r="F29" s="5"/>
      <c r="G29" s="5"/>
      <c r="H29" s="5"/>
      <c r="J29" s="1" t="s">
        <v>178</v>
      </c>
    </row>
    <row r="30" customFormat="false" ht="13.8" hidden="false" customHeight="false" outlineLevel="0" collapsed="false">
      <c r="B30" s="1" t="s">
        <v>183</v>
      </c>
      <c r="C30" s="5" t="s">
        <v>65</v>
      </c>
      <c r="D30" s="5" t="n">
        <f aca="false">1/11</f>
        <v>0.0909090909090909</v>
      </c>
      <c r="E30" s="6" t="n">
        <f aca="false">E$23*D30</f>
        <v>180</v>
      </c>
      <c r="F30" s="5"/>
      <c r="G30" s="5"/>
      <c r="H30" s="5"/>
      <c r="J30" s="1" t="s">
        <v>179</v>
      </c>
    </row>
    <row r="31" customFormat="false" ht="13.8" hidden="false" customHeight="false" outlineLevel="0" collapsed="false">
      <c r="B31" s="1" t="s">
        <v>184</v>
      </c>
      <c r="C31" s="5" t="s">
        <v>185</v>
      </c>
      <c r="D31" s="5" t="n">
        <f aca="false">2/33</f>
        <v>0.0606060606060606</v>
      </c>
      <c r="E31" s="6" t="n">
        <f aca="false">E$23*D31</f>
        <v>120</v>
      </c>
      <c r="F31" s="5"/>
      <c r="G31" s="5"/>
      <c r="H31" s="5"/>
      <c r="J31" s="1" t="s">
        <v>181</v>
      </c>
    </row>
    <row r="32" customFormat="false" ht="13.8" hidden="false" customHeight="false" outlineLevel="0" collapsed="false">
      <c r="B32" s="1" t="s">
        <v>186</v>
      </c>
      <c r="C32" s="5" t="s">
        <v>69</v>
      </c>
      <c r="D32" s="5" t="n">
        <f aca="false">5/66</f>
        <v>0.0757575757575758</v>
      </c>
      <c r="E32" s="6" t="n">
        <f aca="false">E$23*D32</f>
        <v>150</v>
      </c>
      <c r="F32" s="5"/>
      <c r="G32" s="5"/>
      <c r="H32" s="5"/>
      <c r="J32" s="1" t="s">
        <v>182</v>
      </c>
    </row>
    <row r="33" customFormat="false" ht="13.8" hidden="false" customHeight="false" outlineLevel="0" collapsed="false">
      <c r="C33" s="5" t="s">
        <v>154</v>
      </c>
      <c r="D33" s="5" t="s">
        <v>154</v>
      </c>
      <c r="E33" s="6"/>
      <c r="F33" s="5"/>
      <c r="G33" s="5"/>
      <c r="H33" s="5"/>
      <c r="J33" s="1" t="s">
        <v>183</v>
      </c>
    </row>
    <row r="34" customFormat="false" ht="13.8" hidden="false" customHeight="false" outlineLevel="0" collapsed="false">
      <c r="B34" s="5"/>
      <c r="C34" s="5"/>
      <c r="D34" s="5"/>
      <c r="E34" s="6"/>
      <c r="F34" s="5"/>
      <c r="G34" s="5"/>
      <c r="H34" s="5"/>
      <c r="J34" s="1" t="s">
        <v>184</v>
      </c>
    </row>
    <row r="35" customFormat="false" ht="13.8" hidden="false" customHeight="false" outlineLevel="0" collapsed="false">
      <c r="B35" s="5"/>
      <c r="C35" s="5"/>
      <c r="D35" s="5"/>
      <c r="E35" s="6"/>
      <c r="F35" s="5"/>
      <c r="G35" s="5"/>
      <c r="H35" s="5"/>
      <c r="J35" s="1" t="s">
        <v>186</v>
      </c>
    </row>
    <row r="36" customFormat="false" ht="13.8" hidden="false" customHeight="false" outlineLevel="0" collapsed="false">
      <c r="B36" s="5"/>
      <c r="C36" s="5"/>
      <c r="D36" s="5"/>
      <c r="E36" s="6"/>
      <c r="F36" s="5" t="n">
        <f aca="false">E36/20</f>
        <v>0</v>
      </c>
      <c r="G36" s="5"/>
      <c r="H36" s="5"/>
      <c r="J36" s="1" t="s">
        <v>11</v>
      </c>
    </row>
    <row r="37" customFormat="false" ht="13.8" hidden="false" customHeight="false" outlineLevel="0" collapsed="false">
      <c r="B37" s="5"/>
      <c r="C37" s="5"/>
      <c r="D37" s="7" t="n">
        <f aca="false">SUM(D24:D36)</f>
        <v>1</v>
      </c>
      <c r="E37" s="7" t="n">
        <f aca="false">SUM(E24:E36)</f>
        <v>1980</v>
      </c>
      <c r="F37" s="5"/>
      <c r="G37" s="5"/>
      <c r="H37" s="5"/>
      <c r="J37" s="1" t="s">
        <v>89</v>
      </c>
    </row>
    <row r="38" customFormat="false" ht="13.8" hidden="false" customHeight="false" outlineLevel="0" collapsed="false">
      <c r="B38" s="5"/>
      <c r="C38" s="5"/>
      <c r="D38" s="7"/>
      <c r="E38" s="7"/>
      <c r="F38" s="5"/>
      <c r="G38" s="5"/>
      <c r="H38" s="5"/>
    </row>
    <row r="40" customFormat="false" ht="13.8" hidden="false" customHeight="false" outlineLevel="0" collapsed="false">
      <c r="C40" s="1"/>
      <c r="G40" s="1"/>
    </row>
    <row r="41" customFormat="false" ht="13.8" hidden="false" customHeight="false" outlineLevel="0" collapsed="false">
      <c r="B41" s="1" t="s">
        <v>84</v>
      </c>
      <c r="C41" s="1" t="s">
        <v>85</v>
      </c>
      <c r="D41" s="1" t="s">
        <v>86</v>
      </c>
      <c r="E41" s="1" t="s">
        <v>3</v>
      </c>
      <c r="F41" s="1" t="s">
        <v>87</v>
      </c>
      <c r="G41" s="1" t="s">
        <v>88</v>
      </c>
    </row>
    <row r="42" customFormat="false" ht="13.8" hidden="false" customHeight="false" outlineLevel="0" collapsed="false">
      <c r="B42" s="1" t="n">
        <v>1980</v>
      </c>
      <c r="C42" s="1" t="n">
        <f aca="false">INT(B42/160)</f>
        <v>12</v>
      </c>
      <c r="D42" s="1" t="n">
        <f aca="false">INT((B42-160*INT(B42/160))/20)</f>
        <v>3</v>
      </c>
      <c r="E42" s="1" t="n">
        <f aca="false">INT(B42-160*INT(B42/160)-20*INT((B42-160*INT(B42/160))/20))</f>
        <v>0</v>
      </c>
      <c r="F42" s="1" t="n">
        <f aca="false">ROUND((B42-INT(B42))*9,0)</f>
        <v>0</v>
      </c>
      <c r="G42" s="1" t="str">
        <f aca="false">TEXT(C42,"0")&amp;"K-"&amp;TEXT(D42,"0")&amp;"K-"&amp;TEXT(E42,"0")&amp;"M-"&amp;TEXT(F42,"0")&amp;"S"</f>
        <v>12K-3K-0M-0S</v>
      </c>
    </row>
    <row r="44" customFormat="false" ht="17.35" hidden="false" customHeight="false" outlineLevel="0" collapsed="false">
      <c r="B44" s="2" t="s">
        <v>0</v>
      </c>
      <c r="C44" s="3" t="n">
        <v>354</v>
      </c>
      <c r="D44" s="4"/>
      <c r="E44" s="5"/>
      <c r="F44" s="5"/>
      <c r="G44" s="2" t="s">
        <v>90</v>
      </c>
      <c r="H44" s="5"/>
      <c r="J44" s="1" t="s">
        <v>91</v>
      </c>
    </row>
    <row r="45" customFormat="false" ht="13.8" hidden="false" customHeight="false" outlineLevel="0" collapsed="false">
      <c r="B45" s="5" t="n">
        <v>331</v>
      </c>
      <c r="C45" s="5"/>
      <c r="D45" s="5"/>
      <c r="E45" s="2" t="n">
        <v>2247</v>
      </c>
      <c r="F45" s="2" t="s">
        <v>3</v>
      </c>
      <c r="G45" s="5"/>
      <c r="H45" s="5"/>
      <c r="J45" s="1" t="s">
        <v>92</v>
      </c>
    </row>
    <row r="46" customFormat="false" ht="13.8" hidden="false" customHeight="false" outlineLevel="0" collapsed="false">
      <c r="B46" s="1" t="s">
        <v>93</v>
      </c>
      <c r="C46" s="8" t="s">
        <v>94</v>
      </c>
      <c r="D46" s="5" t="n">
        <f aca="false">1/3</f>
        <v>0.333333333333333</v>
      </c>
      <c r="E46" s="6" t="n">
        <f aca="false">E$45*D46</f>
        <v>749</v>
      </c>
      <c r="F46" s="5"/>
      <c r="G46" s="5"/>
      <c r="H46" s="5"/>
    </row>
    <row r="47" customFormat="false" ht="13.8" hidden="false" customHeight="false" outlineLevel="0" collapsed="false">
      <c r="B47" s="1" t="s">
        <v>95</v>
      </c>
      <c r="C47" s="8" t="s">
        <v>94</v>
      </c>
      <c r="D47" s="5" t="n">
        <f aca="false">1/3</f>
        <v>0.333333333333333</v>
      </c>
      <c r="E47" s="6" t="n">
        <f aca="false">E$45*D47</f>
        <v>749</v>
      </c>
      <c r="F47" s="5"/>
      <c r="G47" s="5"/>
      <c r="H47" s="5"/>
      <c r="J47" s="1" t="s">
        <v>8</v>
      </c>
    </row>
    <row r="48" customFormat="false" ht="13.8" hidden="false" customHeight="false" outlineLevel="0" collapsed="false">
      <c r="B48" s="1" t="s">
        <v>96</v>
      </c>
      <c r="C48" s="8" t="s">
        <v>94</v>
      </c>
      <c r="D48" s="5" t="n">
        <f aca="false">1/3</f>
        <v>0.333333333333333</v>
      </c>
      <c r="E48" s="6" t="n">
        <f aca="false">E$45*D48</f>
        <v>749</v>
      </c>
      <c r="F48" s="5"/>
      <c r="G48" s="5"/>
      <c r="H48" s="5"/>
      <c r="J48" s="1" t="s">
        <v>11</v>
      </c>
    </row>
    <row r="49" customFormat="false" ht="13.8" hidden="false" customHeight="false" outlineLevel="0" collapsed="false">
      <c r="C49" s="5"/>
      <c r="D49" s="5"/>
      <c r="E49" s="6" t="n">
        <f aca="false">E$45*D49</f>
        <v>0</v>
      </c>
      <c r="F49" s="5"/>
      <c r="G49" s="5"/>
      <c r="H49" s="5"/>
      <c r="J49" s="1" t="s">
        <v>97</v>
      </c>
    </row>
    <row r="50" customFormat="false" ht="13.8" hidden="false" customHeight="false" outlineLevel="0" collapsed="false">
      <c r="C50" s="5"/>
      <c r="D50" s="5"/>
      <c r="E50" s="6" t="n">
        <f aca="false">E$45*D50</f>
        <v>0</v>
      </c>
      <c r="F50" s="5"/>
      <c r="G50" s="5"/>
      <c r="H50" s="5"/>
      <c r="J50" s="1" t="s">
        <v>98</v>
      </c>
    </row>
    <row r="51" customFormat="false" ht="13.8" hidden="false" customHeight="false" outlineLevel="0" collapsed="false">
      <c r="C51" s="5"/>
      <c r="D51" s="5"/>
      <c r="E51" s="6" t="n">
        <f aca="false">E$45*D51</f>
        <v>0</v>
      </c>
      <c r="F51" s="5"/>
      <c r="G51" s="5"/>
      <c r="H51" s="5"/>
      <c r="J51" s="1" t="s">
        <v>99</v>
      </c>
    </row>
    <row r="52" customFormat="false" ht="13.8" hidden="false" customHeight="false" outlineLevel="0" collapsed="false">
      <c r="C52" s="5"/>
      <c r="D52" s="5"/>
      <c r="E52" s="6" t="n">
        <f aca="false">E$45*D52</f>
        <v>0</v>
      </c>
      <c r="F52" s="5"/>
      <c r="G52" s="5"/>
      <c r="H52" s="5"/>
      <c r="J52" s="1" t="s">
        <v>11</v>
      </c>
    </row>
    <row r="53" customFormat="false" ht="13.8" hidden="false" customHeight="false" outlineLevel="0" collapsed="false">
      <c r="C53" s="5"/>
      <c r="D53" s="5"/>
      <c r="E53" s="6" t="n">
        <f aca="false">E$45*D53</f>
        <v>0</v>
      </c>
      <c r="F53" s="5"/>
      <c r="G53" s="5"/>
      <c r="H53" s="5"/>
      <c r="J53" s="1" t="s">
        <v>100</v>
      </c>
    </row>
    <row r="54" customFormat="false" ht="13.8" hidden="false" customHeight="false" outlineLevel="0" collapsed="false">
      <c r="C54" s="5"/>
      <c r="D54" s="5"/>
      <c r="E54" s="6" t="n">
        <f aca="false">E$45*D54</f>
        <v>0</v>
      </c>
      <c r="F54" s="5"/>
      <c r="G54" s="5"/>
      <c r="H54" s="5"/>
    </row>
    <row r="55" customFormat="false" ht="13.8" hidden="false" customHeight="false" outlineLevel="0" collapsed="false">
      <c r="C55" s="5"/>
      <c r="D55" s="5"/>
      <c r="E55" s="6" t="n">
        <f aca="false">E$45*D55</f>
        <v>0</v>
      </c>
      <c r="F55" s="5"/>
      <c r="G55" s="5"/>
      <c r="H55" s="5"/>
    </row>
    <row r="56" customFormat="false" ht="13.8" hidden="false" customHeight="false" outlineLevel="0" collapsed="false">
      <c r="B56" s="5"/>
      <c r="C56" s="5"/>
      <c r="D56" s="5"/>
      <c r="E56" s="6" t="n">
        <f aca="false">E$45*D56</f>
        <v>0</v>
      </c>
      <c r="F56" s="5"/>
      <c r="G56" s="5"/>
      <c r="H56" s="5"/>
    </row>
    <row r="57" customFormat="false" ht="13.8" hidden="false" customHeight="false" outlineLevel="0" collapsed="false">
      <c r="B57" s="5"/>
      <c r="C57" s="5"/>
      <c r="D57" s="5"/>
      <c r="E57" s="6" t="n">
        <f aca="false">E$45*D57</f>
        <v>0</v>
      </c>
      <c r="F57" s="5"/>
      <c r="G57" s="5"/>
      <c r="H57" s="5"/>
      <c r="K57" s="9" t="s">
        <v>101</v>
      </c>
    </row>
    <row r="58" customFormat="false" ht="13.8" hidden="false" customHeight="false" outlineLevel="0" collapsed="false">
      <c r="B58" s="5"/>
      <c r="C58" s="5"/>
      <c r="D58" s="5"/>
      <c r="E58" s="6" t="n">
        <f aca="false">E$45*D58</f>
        <v>0</v>
      </c>
      <c r="F58" s="5" t="n">
        <f aca="false">E58/20</f>
        <v>0</v>
      </c>
      <c r="G58" s="5"/>
      <c r="H58" s="5"/>
    </row>
    <row r="59" customFormat="false" ht="13.8" hidden="false" customHeight="false" outlineLevel="0" collapsed="false">
      <c r="B59" s="5"/>
      <c r="C59" s="5"/>
      <c r="D59" s="7" t="n">
        <f aca="false">SUM(D46:D58)</f>
        <v>1</v>
      </c>
      <c r="E59" s="7" t="n">
        <f aca="false">SUM(E46:E58)</f>
        <v>2247</v>
      </c>
      <c r="F59" s="5"/>
      <c r="G59" s="5"/>
      <c r="H59" s="5"/>
      <c r="K59" s="10" t="s">
        <v>102</v>
      </c>
    </row>
    <row r="60" customFormat="false" ht="13.8" hidden="false" customHeight="false" outlineLevel="0" collapsed="false">
      <c r="B60" s="5"/>
      <c r="C60" s="5"/>
      <c r="D60" s="7"/>
      <c r="E60" s="7"/>
      <c r="F60" s="5"/>
      <c r="G60" s="5"/>
      <c r="H60" s="5"/>
    </row>
    <row r="62" customFormat="false" ht="13.8" hidden="false" customHeight="false" outlineLevel="0" collapsed="false">
      <c r="B62" s="1" t="s">
        <v>84</v>
      </c>
      <c r="C62" s="1" t="s">
        <v>85</v>
      </c>
      <c r="D62" s="1" t="s">
        <v>86</v>
      </c>
      <c r="E62" s="1" t="s">
        <v>3</v>
      </c>
      <c r="F62" s="1" t="s">
        <v>87</v>
      </c>
      <c r="G62" s="1" t="s">
        <v>88</v>
      </c>
    </row>
    <row r="63" customFormat="false" ht="13.8" hidden="false" customHeight="false" outlineLevel="0" collapsed="false">
      <c r="B63" s="1" t="n">
        <v>830</v>
      </c>
      <c r="C63" s="1" t="n">
        <f aca="false">INT(B63/160)</f>
        <v>5</v>
      </c>
      <c r="D63" s="1" t="n">
        <f aca="false">INT((B63-160*INT(B63/160))/20)</f>
        <v>1</v>
      </c>
      <c r="E63" s="1" t="n">
        <f aca="false">INT(B63-160*INT(B63/160)-20*INT((B63-160*INT(B63/160))/20))</f>
        <v>10</v>
      </c>
      <c r="F63" s="1" t="n">
        <f aca="false">ROUND((B63-INT(B63))*9,0)</f>
        <v>0</v>
      </c>
      <c r="G63" s="1" t="str">
        <f aca="false">TEXT(C63,"0")&amp;"K-"&amp;TEXT(D63,"0")&amp;"K-"&amp;TEXT(E63,"0")&amp;"M-"&amp;TEXT(F63,"0")&amp;"S"</f>
        <v>5K-1K-10M-0S</v>
      </c>
    </row>
    <row r="66" customFormat="false" ht="17.35" hidden="false" customHeight="false" outlineLevel="0" collapsed="false">
      <c r="B66" s="2" t="s">
        <v>0</v>
      </c>
      <c r="C66" s="3" t="n">
        <v>362</v>
      </c>
      <c r="D66" s="4"/>
      <c r="E66" s="5"/>
      <c r="F66" s="5"/>
      <c r="G66" s="2" t="s">
        <v>103</v>
      </c>
      <c r="H66" s="5"/>
      <c r="J66" s="1" t="s">
        <v>104</v>
      </c>
    </row>
    <row r="67" customFormat="false" ht="13.8" hidden="false" customHeight="false" outlineLevel="0" collapsed="false">
      <c r="B67" s="5" t="n">
        <v>337</v>
      </c>
      <c r="C67" s="5"/>
      <c r="D67" s="5"/>
      <c r="E67" s="2" t="n">
        <v>981</v>
      </c>
      <c r="F67" s="2" t="s">
        <v>3</v>
      </c>
      <c r="G67" s="5"/>
      <c r="H67" s="5"/>
      <c r="J67" s="1" t="s">
        <v>105</v>
      </c>
    </row>
    <row r="68" customFormat="false" ht="13.8" hidden="false" customHeight="false" outlineLevel="0" collapsed="false">
      <c r="B68" s="1" t="s">
        <v>106</v>
      </c>
      <c r="C68" s="8" t="s">
        <v>107</v>
      </c>
      <c r="D68" s="11" t="n">
        <f aca="false">46/981</f>
        <v>0.0468909276248726</v>
      </c>
      <c r="E68" s="6" t="n">
        <f aca="false">E$67*D68</f>
        <v>46</v>
      </c>
      <c r="F68" s="5"/>
      <c r="G68" s="5"/>
      <c r="H68" s="5"/>
    </row>
    <row r="69" customFormat="false" ht="13.8" hidden="false" customHeight="false" outlineLevel="0" collapsed="false">
      <c r="B69" s="1" t="s">
        <v>108</v>
      </c>
      <c r="C69" s="8" t="s">
        <v>109</v>
      </c>
      <c r="D69" s="11" t="n">
        <f aca="false">47/981</f>
        <v>0.0479102956167176</v>
      </c>
      <c r="E69" s="6" t="n">
        <f aca="false">E$45*D69</f>
        <v>107.654434250765</v>
      </c>
      <c r="F69" s="5"/>
      <c r="G69" s="5"/>
      <c r="H69" s="5"/>
      <c r="J69" s="1" t="s">
        <v>8</v>
      </c>
    </row>
    <row r="70" customFormat="false" ht="13.8" hidden="false" customHeight="false" outlineLevel="0" collapsed="false">
      <c r="B70" s="1" t="s">
        <v>110</v>
      </c>
      <c r="C70" s="8" t="s">
        <v>111</v>
      </c>
      <c r="D70" s="11" t="n">
        <f aca="false">220/981</f>
        <v>0.224260958205912</v>
      </c>
      <c r="E70" s="6" t="n">
        <f aca="false">E$45*D70</f>
        <v>503.914373088685</v>
      </c>
      <c r="F70" s="5"/>
      <c r="G70" s="5"/>
      <c r="H70" s="5"/>
      <c r="J70" s="1" t="s">
        <v>11</v>
      </c>
    </row>
    <row r="71" customFormat="false" ht="13.8" hidden="false" customHeight="false" outlineLevel="0" collapsed="false">
      <c r="B71" s="1" t="s">
        <v>112</v>
      </c>
      <c r="C71" s="5" t="s">
        <v>113</v>
      </c>
      <c r="D71" s="11" t="n">
        <f aca="false">479/981</f>
        <v>0.488277268093782</v>
      </c>
      <c r="E71" s="6" t="n">
        <f aca="false">E$45*D71</f>
        <v>1097.15902140673</v>
      </c>
      <c r="F71" s="5"/>
      <c r="G71" s="5"/>
      <c r="H71" s="5"/>
      <c r="J71" s="1" t="s">
        <v>114</v>
      </c>
    </row>
    <row r="72" customFormat="false" ht="13.8" hidden="false" customHeight="false" outlineLevel="0" collapsed="false">
      <c r="B72" s="1" t="s">
        <v>115</v>
      </c>
      <c r="C72" s="5" t="s">
        <v>116</v>
      </c>
      <c r="D72" s="11" t="n">
        <f aca="false">8/109</f>
        <v>0.073394495412844</v>
      </c>
      <c r="E72" s="6" t="n">
        <f aca="false">E$45*D72</f>
        <v>164.917431192661</v>
      </c>
      <c r="F72" s="5"/>
      <c r="G72" s="5"/>
      <c r="H72" s="5"/>
      <c r="J72" s="1" t="s">
        <v>117</v>
      </c>
    </row>
    <row r="73" customFormat="false" ht="13.8" hidden="false" customHeight="false" outlineLevel="0" collapsed="false">
      <c r="B73" s="1" t="s">
        <v>118</v>
      </c>
      <c r="C73" s="5" t="s">
        <v>119</v>
      </c>
      <c r="D73" s="11" t="n">
        <f aca="false">13/109</f>
        <v>0.119266055045872</v>
      </c>
      <c r="E73" s="6" t="n">
        <f aca="false">E$45*D73</f>
        <v>267.990825688073</v>
      </c>
      <c r="F73" s="5"/>
      <c r="G73" s="5"/>
      <c r="H73" s="5"/>
      <c r="J73" s="1" t="s">
        <v>120</v>
      </c>
    </row>
    <row r="74" customFormat="false" ht="13.8" hidden="false" customHeight="false" outlineLevel="0" collapsed="false">
      <c r="C74" s="5"/>
      <c r="D74" s="11"/>
      <c r="E74" s="6" t="n">
        <f aca="false">E$45*D74</f>
        <v>0</v>
      </c>
      <c r="F74" s="5"/>
      <c r="G74" s="5"/>
      <c r="H74" s="5"/>
      <c r="J74" s="1" t="s">
        <v>121</v>
      </c>
    </row>
    <row r="75" customFormat="false" ht="13.8" hidden="false" customHeight="false" outlineLevel="0" collapsed="false">
      <c r="C75" s="5"/>
      <c r="D75" s="11"/>
      <c r="E75" s="6" t="n">
        <f aca="false">E$45*D75</f>
        <v>0</v>
      </c>
      <c r="F75" s="5"/>
      <c r="G75" s="5"/>
      <c r="H75" s="5"/>
      <c r="J75" s="1" t="s">
        <v>122</v>
      </c>
    </row>
    <row r="76" customFormat="false" ht="13.8" hidden="false" customHeight="false" outlineLevel="0" collapsed="false">
      <c r="C76" s="5"/>
      <c r="D76" s="11"/>
      <c r="E76" s="6" t="n">
        <f aca="false">E$45*D76</f>
        <v>0</v>
      </c>
      <c r="F76" s="5"/>
      <c r="G76" s="5"/>
      <c r="H76" s="5"/>
      <c r="J76" s="1" t="s">
        <v>123</v>
      </c>
    </row>
    <row r="77" customFormat="false" ht="13.8" hidden="false" customHeight="false" outlineLevel="0" collapsed="false">
      <c r="C77" s="5"/>
      <c r="D77" s="11"/>
      <c r="E77" s="6" t="n">
        <f aca="false">E$45*D77</f>
        <v>0</v>
      </c>
      <c r="F77" s="5"/>
      <c r="G77" s="5"/>
      <c r="H77" s="5"/>
      <c r="J77" s="1" t="s">
        <v>11</v>
      </c>
    </row>
    <row r="78" customFormat="false" ht="13.8" hidden="false" customHeight="false" outlineLevel="0" collapsed="false">
      <c r="B78" s="5"/>
      <c r="C78" s="5"/>
      <c r="D78" s="11"/>
      <c r="E78" s="6" t="n">
        <f aca="false">E$45*D78</f>
        <v>0</v>
      </c>
      <c r="F78" s="5"/>
      <c r="G78" s="5"/>
      <c r="H78" s="5"/>
      <c r="J78" s="1" t="s">
        <v>124</v>
      </c>
    </row>
    <row r="79" customFormat="false" ht="13.8" hidden="false" customHeight="false" outlineLevel="0" collapsed="false">
      <c r="B79" s="5"/>
      <c r="C79" s="5"/>
      <c r="D79" s="11"/>
      <c r="E79" s="6" t="n">
        <f aca="false">E$45*D79</f>
        <v>0</v>
      </c>
      <c r="F79" s="5"/>
      <c r="G79" s="5"/>
      <c r="H79" s="5"/>
    </row>
    <row r="80" customFormat="false" ht="13.8" hidden="false" customHeight="false" outlineLevel="0" collapsed="false">
      <c r="B80" s="5"/>
      <c r="C80" s="5"/>
      <c r="D80" s="11"/>
      <c r="E80" s="6" t="n">
        <f aca="false">E$45*D80</f>
        <v>0</v>
      </c>
      <c r="F80" s="5" t="n">
        <f aca="false">E80/20</f>
        <v>0</v>
      </c>
      <c r="G80" s="5"/>
      <c r="H80" s="5"/>
    </row>
    <row r="81" customFormat="false" ht="13.8" hidden="false" customHeight="false" outlineLevel="0" collapsed="false">
      <c r="B81" s="5"/>
      <c r="C81" s="5"/>
      <c r="D81" s="7" t="n">
        <f aca="false">SUM(D68:D80)</f>
        <v>1</v>
      </c>
      <c r="E81" s="7" t="n">
        <f aca="false">SUM(E68:E80)</f>
        <v>2187.63608562691</v>
      </c>
      <c r="F81" s="5"/>
      <c r="G81" s="5"/>
      <c r="H81" s="5"/>
    </row>
    <row r="82" customFormat="false" ht="13.8" hidden="false" customHeight="false" outlineLevel="0" collapsed="false">
      <c r="B82" s="5"/>
      <c r="C82" s="5"/>
      <c r="D82" s="7"/>
      <c r="E82" s="7"/>
      <c r="F82" s="5"/>
      <c r="G82" s="5"/>
      <c r="H82" s="5"/>
    </row>
    <row r="84" customFormat="false" ht="13.8" hidden="false" customHeight="false" outlineLevel="0" collapsed="false">
      <c r="B84" s="1" t="s">
        <v>84</v>
      </c>
      <c r="C84" s="1" t="s">
        <v>85</v>
      </c>
      <c r="D84" s="1" t="s">
        <v>86</v>
      </c>
      <c r="E84" s="1" t="s">
        <v>3</v>
      </c>
      <c r="F84" s="1" t="s">
        <v>87</v>
      </c>
      <c r="G84" s="1" t="s">
        <v>88</v>
      </c>
    </row>
    <row r="85" customFormat="false" ht="13.8" hidden="false" customHeight="false" outlineLevel="0" collapsed="false">
      <c r="B85" s="1" t="n">
        <v>1097</v>
      </c>
      <c r="C85" s="1" t="n">
        <f aca="false">INT(B85/160)</f>
        <v>6</v>
      </c>
      <c r="D85" s="1" t="n">
        <f aca="false">INT((B85-160*INT(B85/160))/20)</f>
        <v>6</v>
      </c>
      <c r="E85" s="1" t="n">
        <f aca="false">INT(B85-160*INT(B85/160)-20*INT((B85-160*INT(B85/160))/20))</f>
        <v>17</v>
      </c>
      <c r="F85" s="1" t="n">
        <f aca="false">ROUND((B85-INT(B85))*9,0)</f>
        <v>0</v>
      </c>
      <c r="G85" s="1" t="str">
        <f aca="false">TEXT(C85,"0")&amp;"K-"&amp;TEXT(D85,"0")&amp;"K-"&amp;TEXT(E85,"0")&amp;"M-"&amp;TEXT(F85,"0")&amp;"S"</f>
        <v>6K-6K-17M-0S</v>
      </c>
    </row>
    <row r="88" customFormat="false" ht="17.35" hidden="false" customHeight="false" outlineLevel="0" collapsed="false">
      <c r="B88" s="2" t="s">
        <v>0</v>
      </c>
      <c r="C88" s="3" t="n">
        <v>339</v>
      </c>
      <c r="D88" s="4"/>
      <c r="E88" s="5"/>
      <c r="F88" s="5"/>
      <c r="G88" s="2" t="s">
        <v>125</v>
      </c>
      <c r="H88" s="5"/>
      <c r="J88" s="1" t="s">
        <v>126</v>
      </c>
    </row>
    <row r="89" customFormat="false" ht="13.8" hidden="false" customHeight="false" outlineLevel="0" collapsed="false">
      <c r="B89" s="5" t="n">
        <v>318</v>
      </c>
      <c r="C89" s="5"/>
      <c r="D89" s="5"/>
      <c r="E89" s="2" t="n">
        <v>1385</v>
      </c>
      <c r="F89" s="2" t="s">
        <v>3</v>
      </c>
      <c r="G89" s="5"/>
      <c r="H89" s="5"/>
      <c r="J89" s="1" t="s">
        <v>127</v>
      </c>
    </row>
    <row r="90" customFormat="false" ht="13.8" hidden="false" customHeight="false" outlineLevel="0" collapsed="false">
      <c r="B90" s="1" t="s">
        <v>138</v>
      </c>
      <c r="C90" s="5" t="s">
        <v>187</v>
      </c>
      <c r="D90" s="5" t="n">
        <f aca="false">96/973</f>
        <v>0.0986639260020555</v>
      </c>
      <c r="E90" s="6" t="n">
        <f aca="false">E$89*D90</f>
        <v>136.649537512847</v>
      </c>
      <c r="F90" s="5"/>
      <c r="G90" s="5"/>
      <c r="H90" s="5"/>
      <c r="P90" s="1" t="s">
        <v>129</v>
      </c>
      <c r="Q90" s="1" t="s">
        <v>130</v>
      </c>
    </row>
    <row r="91" customFormat="false" ht="13.8" hidden="false" customHeight="false" outlineLevel="0" collapsed="false">
      <c r="B91" s="1" t="s">
        <v>131</v>
      </c>
      <c r="C91" s="5" t="s">
        <v>132</v>
      </c>
      <c r="D91" s="5" t="n">
        <f aca="false">405/7784</f>
        <v>0.0520298047276465</v>
      </c>
      <c r="E91" s="6" t="n">
        <f aca="false">E$89*D91</f>
        <v>72.0612795477903</v>
      </c>
      <c r="F91" s="5"/>
      <c r="G91" s="5"/>
      <c r="H91" s="5"/>
      <c r="J91" s="1" t="s">
        <v>8</v>
      </c>
      <c r="P91" s="1" t="n">
        <v>27</v>
      </c>
      <c r="Q91" s="1" t="n">
        <v>16</v>
      </c>
    </row>
    <row r="92" customFormat="false" ht="13.8" hidden="false" customHeight="false" outlineLevel="0" collapsed="false">
      <c r="B92" s="1" t="s">
        <v>133</v>
      </c>
      <c r="C92" s="5" t="s">
        <v>134</v>
      </c>
      <c r="D92" s="5" t="n">
        <f aca="false">689/7784</f>
        <v>0.0885149023638232</v>
      </c>
      <c r="E92" s="6" t="n">
        <f aca="false">E$89*D92</f>
        <v>122.593139773895</v>
      </c>
      <c r="F92" s="5"/>
      <c r="G92" s="5"/>
      <c r="H92" s="5"/>
      <c r="J92" s="1" t="s">
        <v>11</v>
      </c>
      <c r="P92" s="1" t="n">
        <v>32</v>
      </c>
      <c r="Q92" s="1" t="n">
        <v>0</v>
      </c>
      <c r="R92" s="1" t="s">
        <v>135</v>
      </c>
    </row>
    <row r="93" customFormat="false" ht="13.8" hidden="false" customHeight="false" outlineLevel="0" collapsed="false">
      <c r="B93" s="1" t="s">
        <v>136</v>
      </c>
      <c r="C93" s="5" t="s">
        <v>137</v>
      </c>
      <c r="D93" s="5" t="n">
        <f aca="false">36/973</f>
        <v>0.0369989722507708</v>
      </c>
      <c r="E93" s="6" t="n">
        <f aca="false">E$89*D93</f>
        <v>51.2435765673176</v>
      </c>
      <c r="F93" s="5"/>
      <c r="G93" s="5"/>
      <c r="H93" s="5"/>
      <c r="J93" s="1" t="s">
        <v>138</v>
      </c>
      <c r="P93" s="1" t="n">
        <v>4</v>
      </c>
      <c r="Q93" s="1" t="n">
        <v>12</v>
      </c>
      <c r="R93" s="1" t="s">
        <v>139</v>
      </c>
    </row>
    <row r="94" customFormat="false" ht="13.8" hidden="false" customHeight="false" outlineLevel="0" collapsed="false">
      <c r="B94" s="1" t="s">
        <v>140</v>
      </c>
      <c r="C94" s="5" t="s">
        <v>141</v>
      </c>
      <c r="D94" s="5" t="n">
        <f aca="false">18/973</f>
        <v>0.0184994861253854</v>
      </c>
      <c r="E94" s="6" t="n">
        <f aca="false">E$89*D94</f>
        <v>25.6217882836588</v>
      </c>
      <c r="F94" s="5"/>
      <c r="G94" s="5"/>
      <c r="H94" s="5"/>
      <c r="J94" s="1" t="s">
        <v>131</v>
      </c>
      <c r="P94" s="1" t="n">
        <v>1</v>
      </c>
      <c r="Q94" s="1" t="n">
        <v>7</v>
      </c>
      <c r="R94" s="1" t="s">
        <v>142</v>
      </c>
    </row>
    <row r="95" customFormat="false" ht="13.8" hidden="false" customHeight="false" outlineLevel="0" collapsed="false">
      <c r="B95" s="1" t="s">
        <v>143</v>
      </c>
      <c r="C95" s="5" t="s">
        <v>144</v>
      </c>
      <c r="D95" s="5" t="n">
        <f aca="false">557/3892</f>
        <v>0.14311408016444</v>
      </c>
      <c r="E95" s="6" t="n">
        <f aca="false">E$89*D95</f>
        <v>198.213001027749</v>
      </c>
      <c r="F95" s="5"/>
      <c r="G95" s="5"/>
      <c r="H95" s="5"/>
      <c r="J95" s="1" t="s">
        <v>133</v>
      </c>
      <c r="P95" s="1" t="n">
        <v>2</v>
      </c>
      <c r="Q95" s="1" t="n">
        <v>6</v>
      </c>
      <c r="R95" s="1" t="s">
        <v>145</v>
      </c>
    </row>
    <row r="96" customFormat="false" ht="13.8" hidden="false" customHeight="false" outlineLevel="0" collapsed="false">
      <c r="B96" s="1" t="s">
        <v>146</v>
      </c>
      <c r="C96" s="5" t="s">
        <v>147</v>
      </c>
      <c r="D96" s="5" t="n">
        <f aca="false">281/3892</f>
        <v>0.0721993833504625</v>
      </c>
      <c r="E96" s="6" t="n">
        <f aca="false">E$89*D96</f>
        <v>99.9961459403905</v>
      </c>
      <c r="F96" s="5"/>
      <c r="G96" s="5"/>
      <c r="H96" s="5"/>
      <c r="J96" s="1" t="s">
        <v>136</v>
      </c>
      <c r="P96" s="10" t="n">
        <v>40</v>
      </c>
      <c r="Q96" s="10" t="n">
        <v>5</v>
      </c>
    </row>
    <row r="97" customFormat="false" ht="13.8" hidden="false" customHeight="false" outlineLevel="0" collapsed="false">
      <c r="B97" s="1" t="s">
        <v>148</v>
      </c>
      <c r="C97" s="5" t="s">
        <v>149</v>
      </c>
      <c r="D97" s="5" t="n">
        <f aca="false">877/3892</f>
        <v>0.225334018499486</v>
      </c>
      <c r="E97" s="6" t="n">
        <f aca="false">E$89*D97</f>
        <v>312.087615621788</v>
      </c>
      <c r="F97" s="5"/>
      <c r="G97" s="5"/>
      <c r="H97" s="5"/>
      <c r="J97" s="1" t="s">
        <v>140</v>
      </c>
      <c r="P97" s="10" t="n">
        <v>40</v>
      </c>
    </row>
    <row r="98" customFormat="false" ht="13.8" hidden="false" customHeight="false" outlineLevel="0" collapsed="false">
      <c r="B98" s="1" t="s">
        <v>150</v>
      </c>
      <c r="C98" s="5" t="s">
        <v>151</v>
      </c>
      <c r="D98" s="5" t="n">
        <f aca="false">95/556</f>
        <v>0.170863309352518</v>
      </c>
      <c r="E98" s="6" t="n">
        <f aca="false">E$89*D98</f>
        <v>236.645683453237</v>
      </c>
      <c r="F98" s="5"/>
      <c r="G98" s="5"/>
      <c r="H98" s="5"/>
      <c r="J98" s="1" t="s">
        <v>143</v>
      </c>
      <c r="P98" s="1" t="n">
        <v>12</v>
      </c>
      <c r="Q98" s="1" t="n">
        <v>10</v>
      </c>
    </row>
    <row r="99" customFormat="false" ht="13.8" hidden="false" customHeight="false" outlineLevel="0" collapsed="false">
      <c r="B99" s="1" t="s">
        <v>152</v>
      </c>
      <c r="C99" s="5" t="s">
        <v>153</v>
      </c>
      <c r="D99" s="5" t="n">
        <f aca="false">365/3892</f>
        <v>0.0937821171634121</v>
      </c>
      <c r="E99" s="6" t="n">
        <f aca="false">E$89*D99</f>
        <v>129.888232271326</v>
      </c>
      <c r="F99" s="5"/>
      <c r="G99" s="5"/>
      <c r="H99" s="5"/>
      <c r="J99" s="1" t="s">
        <v>146</v>
      </c>
      <c r="P99" s="1" t="n">
        <v>250</v>
      </c>
    </row>
    <row r="100" customFormat="false" ht="13.8" hidden="false" customHeight="false" outlineLevel="0" collapsed="false">
      <c r="B100" s="1" t="s">
        <v>154</v>
      </c>
      <c r="C100" s="5" t="s">
        <v>154</v>
      </c>
      <c r="D100" s="5" t="s">
        <v>154</v>
      </c>
      <c r="E100" s="6"/>
      <c r="F100" s="5"/>
      <c r="G100" s="5"/>
      <c r="H100" s="5"/>
      <c r="J100" s="1" t="s">
        <v>148</v>
      </c>
      <c r="P100" s="1" t="n">
        <f aca="false">70*3</f>
        <v>210</v>
      </c>
    </row>
    <row r="101" customFormat="false" ht="13.8" hidden="false" customHeight="false" outlineLevel="0" collapsed="false">
      <c r="B101" s="5"/>
      <c r="C101" s="5"/>
      <c r="D101" s="11"/>
      <c r="E101" s="6"/>
      <c r="F101" s="5"/>
      <c r="G101" s="5"/>
      <c r="H101" s="5"/>
      <c r="J101" s="1" t="s">
        <v>150</v>
      </c>
      <c r="P101" s="1" t="n">
        <v>110</v>
      </c>
    </row>
    <row r="102" customFormat="false" ht="13.8" hidden="false" customHeight="false" outlineLevel="0" collapsed="false">
      <c r="B102" s="5"/>
      <c r="C102" s="5"/>
      <c r="D102" s="11"/>
      <c r="E102" s="6"/>
      <c r="F102" s="5"/>
      <c r="G102" s="5"/>
      <c r="H102" s="5"/>
      <c r="J102" s="1" t="s">
        <v>152</v>
      </c>
      <c r="P102" s="10" t="n">
        <f aca="false">320</f>
        <v>320</v>
      </c>
    </row>
    <row r="103" customFormat="false" ht="13.8" hidden="false" customHeight="false" outlineLevel="0" collapsed="false">
      <c r="B103" s="5"/>
      <c r="C103" s="5"/>
      <c r="D103" s="11"/>
      <c r="E103" s="6"/>
      <c r="F103" s="5" t="n">
        <f aca="false">E103/20</f>
        <v>0</v>
      </c>
      <c r="G103" s="5"/>
      <c r="H103" s="5"/>
      <c r="J103" s="1" t="s">
        <v>11</v>
      </c>
    </row>
    <row r="104" customFormat="false" ht="13.8" hidden="false" customHeight="false" outlineLevel="0" collapsed="false">
      <c r="B104" s="5"/>
      <c r="C104" s="5"/>
      <c r="D104" s="7" t="n">
        <f aca="false">SUM(D90:D103)</f>
        <v>1</v>
      </c>
      <c r="E104" s="7" t="n">
        <f aca="false">SUM(E90:E103)</f>
        <v>1385</v>
      </c>
      <c r="F104" s="5"/>
      <c r="G104" s="5"/>
      <c r="H104" s="5"/>
      <c r="J104" s="1" t="s">
        <v>155</v>
      </c>
    </row>
    <row r="105" customFormat="false" ht="13.8" hidden="false" customHeight="false" outlineLevel="0" collapsed="false">
      <c r="B105" s="5"/>
      <c r="C105" s="5"/>
      <c r="D105" s="7"/>
      <c r="E105" s="7"/>
      <c r="F105" s="5"/>
      <c r="G105" s="5"/>
      <c r="H105" s="5"/>
    </row>
    <row r="108" customFormat="false" ht="17.35" hidden="false" customHeight="false" outlineLevel="0" collapsed="false">
      <c r="B108" s="2" t="s">
        <v>0</v>
      </c>
      <c r="C108" s="3" t="n">
        <v>359</v>
      </c>
      <c r="D108" s="4"/>
      <c r="E108" s="5"/>
      <c r="F108" s="5"/>
      <c r="G108" s="2" t="s">
        <v>156</v>
      </c>
      <c r="H108" s="5"/>
      <c r="J108" s="1" t="s">
        <v>157</v>
      </c>
    </row>
    <row r="109" customFormat="false" ht="13.8" hidden="false" customHeight="false" outlineLevel="0" collapsed="false">
      <c r="B109" s="5" t="n">
        <v>334</v>
      </c>
      <c r="C109" s="5"/>
      <c r="D109" s="5"/>
      <c r="E109" s="2" t="n">
        <v>140</v>
      </c>
      <c r="F109" s="2" t="s">
        <v>3</v>
      </c>
      <c r="G109" s="5"/>
      <c r="H109" s="5"/>
      <c r="J109" s="1" t="s">
        <v>105</v>
      </c>
    </row>
    <row r="110" customFormat="false" ht="13.8" hidden="false" customHeight="false" outlineLevel="0" collapsed="false">
      <c r="B110" s="1" t="s">
        <v>9</v>
      </c>
      <c r="C110" s="8" t="s">
        <v>158</v>
      </c>
      <c r="D110" s="5" t="n">
        <f aca="false">5/14</f>
        <v>0.357142857142857</v>
      </c>
      <c r="E110" s="6" t="n">
        <f aca="false">E$109*D110</f>
        <v>50</v>
      </c>
      <c r="F110" s="5"/>
      <c r="G110" s="5"/>
      <c r="H110" s="5"/>
    </row>
    <row r="111" customFormat="false" ht="13.8" hidden="false" customHeight="false" outlineLevel="0" collapsed="false">
      <c r="B111" s="1" t="s">
        <v>159</v>
      </c>
      <c r="C111" s="5" t="s">
        <v>160</v>
      </c>
      <c r="D111" s="5" t="n">
        <f aca="false">1/7</f>
        <v>0.142857142857143</v>
      </c>
      <c r="E111" s="6" t="n">
        <f aca="false">E$109*D111</f>
        <v>20</v>
      </c>
      <c r="F111" s="5"/>
      <c r="G111" s="5"/>
      <c r="H111" s="5"/>
      <c r="J111" s="1" t="s">
        <v>8</v>
      </c>
    </row>
    <row r="112" customFormat="false" ht="13.8" hidden="false" customHeight="false" outlineLevel="0" collapsed="false">
      <c r="B112" s="1" t="s">
        <v>161</v>
      </c>
      <c r="C112" s="5" t="s">
        <v>162</v>
      </c>
      <c r="D112" s="5" t="n">
        <f aca="false">1/2</f>
        <v>0.5</v>
      </c>
      <c r="E112" s="6" t="n">
        <f aca="false">E$109*D112</f>
        <v>70</v>
      </c>
      <c r="F112" s="5"/>
      <c r="G112" s="5"/>
      <c r="H112" s="5"/>
      <c r="J112" s="1" t="s">
        <v>11</v>
      </c>
    </row>
    <row r="113" customFormat="false" ht="13.8" hidden="false" customHeight="false" outlineLevel="0" collapsed="false">
      <c r="C113" s="5"/>
      <c r="D113" s="5"/>
      <c r="E113" s="6"/>
      <c r="F113" s="5"/>
      <c r="G113" s="5"/>
      <c r="H113" s="5"/>
      <c r="J113" s="1" t="s">
        <v>163</v>
      </c>
    </row>
    <row r="114" customFormat="false" ht="13.8" hidden="false" customHeight="false" outlineLevel="0" collapsed="false">
      <c r="C114" s="5"/>
      <c r="D114" s="5"/>
      <c r="E114" s="6"/>
      <c r="F114" s="5"/>
      <c r="G114" s="5"/>
      <c r="H114" s="5"/>
      <c r="J114" s="1" t="s">
        <v>164</v>
      </c>
    </row>
    <row r="115" customFormat="false" ht="13.8" hidden="false" customHeight="false" outlineLevel="0" collapsed="false">
      <c r="C115" s="5"/>
      <c r="D115" s="5"/>
      <c r="E115" s="6"/>
      <c r="F115" s="5"/>
      <c r="G115" s="5"/>
      <c r="H115" s="5"/>
      <c r="J115" s="1" t="s">
        <v>165</v>
      </c>
    </row>
    <row r="116" customFormat="false" ht="13.8" hidden="false" customHeight="false" outlineLevel="0" collapsed="false">
      <c r="C116" s="5"/>
      <c r="D116" s="5"/>
      <c r="E116" s="6"/>
      <c r="F116" s="5"/>
      <c r="G116" s="5"/>
      <c r="H116" s="5"/>
      <c r="J116" s="1" t="s">
        <v>11</v>
      </c>
    </row>
    <row r="117" customFormat="false" ht="13.8" hidden="false" customHeight="false" outlineLevel="0" collapsed="false">
      <c r="C117" s="5"/>
      <c r="D117" s="5"/>
      <c r="E117" s="6"/>
      <c r="F117" s="5"/>
      <c r="G117" s="5"/>
      <c r="H117" s="5"/>
      <c r="J117" s="1" t="s">
        <v>166</v>
      </c>
    </row>
    <row r="118" customFormat="false" ht="13.8" hidden="false" customHeight="false" outlineLevel="0" collapsed="false">
      <c r="C118" s="5"/>
      <c r="D118" s="5"/>
      <c r="E118" s="6"/>
      <c r="F118" s="5"/>
      <c r="G118" s="5"/>
      <c r="H118" s="5"/>
    </row>
    <row r="119" customFormat="false" ht="13.8" hidden="false" customHeight="false" outlineLevel="0" collapsed="false">
      <c r="C119" s="5"/>
      <c r="D119" s="5"/>
      <c r="E119" s="6"/>
      <c r="F119" s="5"/>
      <c r="G119" s="5"/>
      <c r="H119" s="5"/>
    </row>
    <row r="120" customFormat="false" ht="13.8" hidden="false" customHeight="false" outlineLevel="0" collapsed="false">
      <c r="C120" s="5"/>
      <c r="D120" s="5"/>
      <c r="E120" s="6"/>
      <c r="F120" s="5"/>
      <c r="G120" s="5"/>
      <c r="H120" s="5"/>
    </row>
    <row r="121" customFormat="false" ht="13.8" hidden="false" customHeight="false" outlineLevel="0" collapsed="false">
      <c r="B121" s="5"/>
      <c r="C121" s="5"/>
      <c r="D121" s="11"/>
      <c r="E121" s="6"/>
      <c r="F121" s="5"/>
      <c r="G121" s="5"/>
      <c r="H121" s="5"/>
    </row>
    <row r="122" customFormat="false" ht="13.8" hidden="false" customHeight="false" outlineLevel="0" collapsed="false">
      <c r="B122" s="5"/>
      <c r="C122" s="5"/>
      <c r="D122" s="11"/>
      <c r="E122" s="6"/>
      <c r="F122" s="5"/>
      <c r="G122" s="5"/>
      <c r="H122" s="5"/>
    </row>
    <row r="123" customFormat="false" ht="13.8" hidden="false" customHeight="false" outlineLevel="0" collapsed="false">
      <c r="B123" s="5"/>
      <c r="C123" s="5"/>
      <c r="D123" s="11"/>
      <c r="E123" s="6"/>
      <c r="F123" s="5" t="n">
        <f aca="false">E123/20</f>
        <v>0</v>
      </c>
      <c r="G123" s="5"/>
      <c r="H123" s="5"/>
    </row>
    <row r="124" customFormat="false" ht="13.8" hidden="false" customHeight="false" outlineLevel="0" collapsed="false">
      <c r="B124" s="5"/>
      <c r="C124" s="5"/>
      <c r="D124" s="7" t="n">
        <f aca="false">SUM(D110:D123)</f>
        <v>1</v>
      </c>
      <c r="E124" s="7" t="n">
        <f aca="false">SUM(E110:E123)</f>
        <v>140</v>
      </c>
      <c r="F124" s="5"/>
      <c r="G124" s="5"/>
      <c r="H124" s="5"/>
    </row>
    <row r="125" customFormat="false" ht="13.8" hidden="false" customHeight="false" outlineLevel="0" collapsed="false">
      <c r="B125" s="5"/>
      <c r="C125" s="5"/>
      <c r="D125" s="7"/>
      <c r="E125" s="7"/>
      <c r="F125" s="5"/>
      <c r="G125" s="5"/>
      <c r="H125" s="5"/>
    </row>
    <row r="127" customFormat="false" ht="13.8" hidden="false" customHeight="false" outlineLevel="0" collapsed="false">
      <c r="B127" s="1" t="s">
        <v>84</v>
      </c>
      <c r="C127" s="1" t="s">
        <v>85</v>
      </c>
      <c r="D127" s="1" t="s">
        <v>86</v>
      </c>
      <c r="E127" s="1" t="s">
        <v>3</v>
      </c>
      <c r="F127" s="1" t="s">
        <v>87</v>
      </c>
      <c r="G127" s="1" t="s">
        <v>88</v>
      </c>
    </row>
    <row r="128" customFormat="false" ht="13.8" hidden="false" customHeight="false" outlineLevel="0" collapsed="false">
      <c r="A128" s="10" t="s">
        <v>167</v>
      </c>
      <c r="B128" s="12"/>
      <c r="C128" s="1"/>
      <c r="D128" s="1"/>
      <c r="E128" s="1"/>
      <c r="F128" s="1" t="n">
        <f aca="false">ROUND((B128-INT(B128))*9,0)</f>
        <v>0</v>
      </c>
      <c r="G128" s="1" t="str">
        <f aca="false">TEXT(C128,"0")&amp;"K-"&amp;TEXT(D128,"0")&amp;"K-"&amp;TEXT(E128,"0")&amp;"M-"&amp;TEXT(F128,"0")&amp;"S"</f>
        <v>0K-0K-0M-0S</v>
      </c>
      <c r="H128" s="1" t="s">
        <v>168</v>
      </c>
    </row>
    <row r="129" customFormat="false" ht="13.8" hidden="false" customHeight="false" outlineLevel="0" collapsed="false">
      <c r="A129" s="10" t="n">
        <v>345</v>
      </c>
      <c r="B129" s="12" t="n">
        <f aca="false">E7</f>
        <v>117.666666666667</v>
      </c>
      <c r="C129" s="1" t="n">
        <f aca="false">INT(B129/160)</f>
        <v>0</v>
      </c>
      <c r="D129" s="1" t="n">
        <f aca="false">INT((B129-160*INT(B129/160))/20)</f>
        <v>5</v>
      </c>
      <c r="E129" s="1" t="n">
        <f aca="false">INT(B129-160*INT(B129/160)-20*INT((B129-160*INT(B129/160))/20))</f>
        <v>17</v>
      </c>
      <c r="F129" s="1" t="n">
        <f aca="false">ROUND((B129-INT(B129))*9,0)</f>
        <v>6</v>
      </c>
      <c r="G129" s="1" t="str">
        <f aca="false">TEXT(C129,"0")&amp;"K-"&amp;TEXT(D129,"0")&amp;"K-"&amp;TEXT(E129,"0")&amp;"M-"&amp;TEXT(F129,"0")&amp;"S"</f>
        <v>0K-5K-17M-6S</v>
      </c>
      <c r="I129" s="2" t="s">
        <v>1</v>
      </c>
    </row>
    <row r="130" customFormat="false" ht="13.8" hidden="false" customHeight="false" outlineLevel="0" collapsed="false">
      <c r="A130" s="10" t="n">
        <v>349</v>
      </c>
      <c r="B130" s="12" t="n">
        <f aca="false">E29</f>
        <v>210</v>
      </c>
      <c r="C130" s="1" t="n">
        <f aca="false">INT(B130/160)</f>
        <v>1</v>
      </c>
      <c r="D130" s="1" t="n">
        <f aca="false">INT((B130-160*INT(B130/160))/20)</f>
        <v>2</v>
      </c>
      <c r="E130" s="1" t="n">
        <f aca="false">INT(B130-160*INT(B130/160)-20*INT((B130-160*INT(B130/160))/20))</f>
        <v>10</v>
      </c>
      <c r="F130" s="1" t="n">
        <f aca="false">ROUND((B130-INT(B130))*9,0)</f>
        <v>0</v>
      </c>
      <c r="G130" s="1" t="str">
        <f aca="false">TEXT(C130,"0")&amp;"K-"&amp;TEXT(D130,"0")&amp;"K-"&amp;TEXT(E130,"0")&amp;"M-"&amp;TEXT(F130,"0")&amp;"S"</f>
        <v>1K-2K-10M-0S</v>
      </c>
      <c r="I130" s="10" t="s">
        <v>58</v>
      </c>
    </row>
    <row r="131" customFormat="false" ht="13.8" hidden="false" customHeight="false" outlineLevel="0" collapsed="false">
      <c r="A131" s="14" t="n">
        <f aca="false">C88</f>
        <v>339</v>
      </c>
      <c r="B131" s="12" t="n">
        <f aca="false">E95</f>
        <v>198.213001027749</v>
      </c>
      <c r="C131" s="1" t="n">
        <f aca="false">INT(B131/160)</f>
        <v>1</v>
      </c>
      <c r="D131" s="1" t="n">
        <f aca="false">INT((B131-160*INT(B131/160))/20)</f>
        <v>1</v>
      </c>
      <c r="E131" s="1" t="n">
        <f aca="false">INT(B131-160*INT(B131/160)-20*INT((B131-160*INT(B131/160))/20))</f>
        <v>18</v>
      </c>
      <c r="F131" s="1" t="n">
        <f aca="false">ROUND((B131-INT(B131))*9,0)</f>
        <v>2</v>
      </c>
      <c r="G131" s="1" t="str">
        <f aca="false">TEXT(C131,"0")&amp;"K-"&amp;TEXT(D131,"0")&amp;"K-"&amp;TEXT(E131,"0")&amp;"M-"&amp;TEXT(F131,"0")&amp;"S"</f>
        <v>1K-1K-18M-2S</v>
      </c>
      <c r="I131" s="2" t="s">
        <v>125</v>
      </c>
      <c r="K131" s="1" t="s">
        <v>169</v>
      </c>
      <c r="L131" s="12" t="n">
        <f aca="false">'2003-04'!B111</f>
        <v>510.300616649538</v>
      </c>
      <c r="M131" s="12" t="n">
        <f aca="false">B131</f>
        <v>198.213001027749</v>
      </c>
      <c r="N131" s="12" t="n">
        <f aca="false">L131-M131</f>
        <v>312.087615621788</v>
      </c>
    </row>
    <row r="132" customFormat="false" ht="13.8" hidden="false" customHeight="false" outlineLevel="0" collapsed="false">
      <c r="A132" s="10"/>
      <c r="B132" s="15" t="n">
        <f aca="false">SUM(B129:B131)</f>
        <v>525.879667694416</v>
      </c>
      <c r="C132" s="10" t="n">
        <f aca="false">INT(B132/160)</f>
        <v>3</v>
      </c>
      <c r="D132" s="10" t="n">
        <f aca="false">INT((B132-160*INT(B132/160))/20)</f>
        <v>2</v>
      </c>
      <c r="E132" s="10" t="n">
        <f aca="false">INT(B132-160*INT(B132/160)-20*INT((B132-160*INT(B132/160))/20))</f>
        <v>5</v>
      </c>
      <c r="F132" s="10" t="n">
        <f aca="false">ROUND((B132-INT(B132))*9,0)</f>
        <v>8</v>
      </c>
      <c r="G132" s="10" t="str">
        <f aca="false">TEXT(C132,"0")&amp;"K-"&amp;TEXT(D132,"0")&amp;"K-"&amp;TEXT(E132,"0")&amp;"M-"&amp;TEXT(F132,"0")&amp;"S"</f>
        <v>3K-2K-5M-8S</v>
      </c>
      <c r="J132" s="1" t="s">
        <v>84</v>
      </c>
      <c r="K132" s="1" t="s">
        <v>85</v>
      </c>
      <c r="L132" s="1" t="s">
        <v>86</v>
      </c>
      <c r="M132" s="1" t="s">
        <v>3</v>
      </c>
      <c r="N132" s="1" t="s">
        <v>87</v>
      </c>
      <c r="O132" s="1" t="s">
        <v>88</v>
      </c>
    </row>
    <row r="133" customFormat="false" ht="13.8" hidden="false" customHeight="false" outlineLevel="0" collapsed="false">
      <c r="A133" s="10" t="s">
        <v>170</v>
      </c>
      <c r="B133" s="12"/>
      <c r="C133" s="1"/>
      <c r="D133" s="1"/>
      <c r="E133" s="1"/>
      <c r="F133" s="1"/>
      <c r="G133" s="1"/>
      <c r="J133" s="12" t="n">
        <f aca="false">N131</f>
        <v>312.087615621788</v>
      </c>
      <c r="K133" s="1" t="n">
        <f aca="false">INT(J133/160)</f>
        <v>1</v>
      </c>
      <c r="L133" s="1" t="n">
        <f aca="false">INT((J133-160*INT(J133/160))/20)</f>
        <v>7</v>
      </c>
      <c r="M133" s="1" t="n">
        <f aca="false">INT(J133-160*INT(J133/160)-20*INT((J133-160*INT(J133/160))/20))</f>
        <v>12</v>
      </c>
      <c r="N133" s="1" t="n">
        <f aca="false">ROUND((J133-INT(J133))*9,0)</f>
        <v>1</v>
      </c>
      <c r="O133" s="1" t="str">
        <f aca="false">TEXT(K133,"0")&amp;"K-"&amp;TEXT(L133,"0")&amp;"K-"&amp;TEXT(M133,"0")&amp;"M-"&amp;TEXT(N133,"0")&amp;"S"</f>
        <v>1K-7K-12M-1S</v>
      </c>
    </row>
    <row r="134" customFormat="false" ht="13.8" hidden="false" customHeight="false" outlineLevel="0" collapsed="false">
      <c r="A134" s="10" t="n">
        <v>345</v>
      </c>
      <c r="B134" s="12" t="n">
        <f aca="false">E12</f>
        <v>164</v>
      </c>
      <c r="C134" s="1" t="n">
        <f aca="false">INT(B134/160)</f>
        <v>1</v>
      </c>
      <c r="D134" s="1" t="n">
        <f aca="false">INT((B134-160*INT(B134/160))/20)</f>
        <v>0</v>
      </c>
      <c r="E134" s="1" t="n">
        <f aca="false">INT(B134-160*INT(B134/160)-20*INT((B134-160*INT(B134/160))/20))</f>
        <v>4</v>
      </c>
      <c r="F134" s="1" t="n">
        <f aca="false">ROUND((B134-INT(B134))*9,0)</f>
        <v>0</v>
      </c>
      <c r="G134" s="1" t="str">
        <f aca="false">TEXT(C134,"0")&amp;"K-"&amp;TEXT(D134,"0")&amp;"K-"&amp;TEXT(E134,"0")&amp;"M-"&amp;TEXT(F134,"0")&amp;"S"</f>
        <v>1K-0K-4M-0S</v>
      </c>
    </row>
    <row r="135" customFormat="false" ht="13.8" hidden="false" customHeight="false" outlineLevel="0" collapsed="false">
      <c r="A135" s="10" t="n">
        <v>349</v>
      </c>
      <c r="B135" s="12" t="n">
        <f aca="false">E30</f>
        <v>180</v>
      </c>
      <c r="C135" s="1" t="n">
        <f aca="false">INT(B135/160)</f>
        <v>1</v>
      </c>
      <c r="D135" s="1" t="n">
        <f aca="false">INT((B135-160*INT(B135/160))/20)</f>
        <v>1</v>
      </c>
      <c r="E135" s="1" t="n">
        <f aca="false">INT(B135-160*INT(B135/160)-20*INT((B135-160*INT(B135/160))/20))</f>
        <v>0</v>
      </c>
      <c r="F135" s="1" t="n">
        <f aca="false">ROUND((B135-INT(B135))*9,0)</f>
        <v>0</v>
      </c>
      <c r="G135" s="1" t="str">
        <f aca="false">TEXT(C135,"0")&amp;"K-"&amp;TEXT(D135,"0")&amp;"K-"&amp;TEXT(E135,"0")&amp;"M-"&amp;TEXT(F135,"0")&amp;"S"</f>
        <v>1K-1K-0M-0S</v>
      </c>
    </row>
    <row r="136" customFormat="false" ht="13.8" hidden="false" customHeight="false" outlineLevel="0" collapsed="false">
      <c r="A136" s="10" t="n">
        <v>362</v>
      </c>
      <c r="B136" s="12" t="n">
        <f aca="false">E68</f>
        <v>46</v>
      </c>
      <c r="C136" s="1" t="n">
        <f aca="false">INT(B136/160)</f>
        <v>0</v>
      </c>
      <c r="D136" s="1" t="n">
        <f aca="false">INT((B136-160*INT(B136/160))/20)</f>
        <v>2</v>
      </c>
      <c r="E136" s="1" t="n">
        <f aca="false">INT(B136-160*INT(B136/160)-20*INT((B136-160*INT(B136/160))/20))</f>
        <v>6</v>
      </c>
      <c r="F136" s="1" t="n">
        <f aca="false">ROUND((B136-INT(B136))*9,0)</f>
        <v>0</v>
      </c>
      <c r="G136" s="1" t="str">
        <f aca="false">TEXT(C136,"0")&amp;"K-"&amp;TEXT(D136,"0")&amp;"K-"&amp;TEXT(E136,"0")&amp;"M-"&amp;TEXT(F136,"0")&amp;"S"</f>
        <v>0K-2K-6M-0S</v>
      </c>
    </row>
    <row r="137" customFormat="false" ht="13.8" hidden="false" customHeight="false" outlineLevel="0" collapsed="false">
      <c r="A137" s="14" t="n">
        <v>339</v>
      </c>
      <c r="B137" s="12" t="n">
        <f aca="false">E96</f>
        <v>99.9961459403905</v>
      </c>
      <c r="C137" s="1" t="n">
        <f aca="false">INT(B137/160)</f>
        <v>0</v>
      </c>
      <c r="D137" s="1" t="n">
        <f aca="false">INT((B137-160*INT(B137/160))/20)</f>
        <v>4</v>
      </c>
      <c r="E137" s="1" t="n">
        <f aca="false">INT(B137-160*INT(B137/160)-20*INT((B137-160*INT(B137/160))/20))</f>
        <v>19</v>
      </c>
      <c r="F137" s="1" t="n">
        <f aca="false">ROUND((B137-INT(B137))*9,0)</f>
        <v>9</v>
      </c>
      <c r="G137" s="1" t="str">
        <f aca="false">TEXT(C137,"0")&amp;"K-"&amp;TEXT(D137,"0")&amp;"K-"&amp;TEXT(E137,"0")&amp;"M-"&amp;TEXT(F137,"0")&amp;"S"</f>
        <v>0K-4K-19M-9S</v>
      </c>
    </row>
    <row r="138" customFormat="false" ht="13.8" hidden="false" customHeight="false" outlineLevel="0" collapsed="false">
      <c r="A138" s="14" t="n">
        <f aca="false">C108</f>
        <v>359</v>
      </c>
      <c r="B138" s="12" t="n">
        <f aca="false">E110</f>
        <v>50</v>
      </c>
      <c r="C138" s="1" t="n">
        <f aca="false">INT(B138/160)</f>
        <v>0</v>
      </c>
      <c r="D138" s="1" t="n">
        <f aca="false">INT((B138-160*INT(B138/160))/20)</f>
        <v>2</v>
      </c>
      <c r="E138" s="1" t="n">
        <f aca="false">INT(B138-160*INT(B138/160)-20*INT((B138-160*INT(B138/160))/20))</f>
        <v>10</v>
      </c>
      <c r="F138" s="1" t="n">
        <f aca="false">ROUND((B138-INT(B138))*9,0)</f>
        <v>0</v>
      </c>
      <c r="G138" s="1" t="str">
        <f aca="false">TEXT(C138,"0")&amp;"K-"&amp;TEXT(D138,"0")&amp;"K-"&amp;TEXT(E138,"0")&amp;"M-"&amp;TEXT(F138,"0")&amp;"S"</f>
        <v>0K-2K-10M-0S</v>
      </c>
    </row>
    <row r="139" customFormat="false" ht="13.8" hidden="false" customHeight="false" outlineLevel="0" collapsed="false">
      <c r="B139" s="15" t="n">
        <f aca="false">SUM(B134:B138)</f>
        <v>539.996145940391</v>
      </c>
      <c r="C139" s="10" t="n">
        <f aca="false">INT(B139/160)</f>
        <v>3</v>
      </c>
      <c r="D139" s="10" t="n">
        <f aca="false">INT((B139-160*INT(B139/160))/20)</f>
        <v>2</v>
      </c>
      <c r="E139" s="10" t="n">
        <f aca="false">INT(B139-160*INT(B139/160)-20*INT((B139-160*INT(B139/160))/20))</f>
        <v>19</v>
      </c>
      <c r="F139" s="10" t="n">
        <f aca="false">ROUND((B139-INT(B139))*9,0)</f>
        <v>9</v>
      </c>
      <c r="G139" s="10" t="str">
        <f aca="false">TEXT(C139,"0")&amp;"K-"&amp;TEXT(D139,"0")&amp;"K-"&amp;TEXT(E139,"0")&amp;"M-"&amp;TEXT(F139,"0")&amp;"S"</f>
        <v>3K-2K-19M-9S</v>
      </c>
    </row>
    <row r="140" customFormat="false" ht="13.8" hidden="false" customHeight="false" outlineLevel="0" collapsed="false">
      <c r="A140" s="1" t="s">
        <v>173</v>
      </c>
    </row>
    <row r="141" customFormat="false" ht="13.8" hidden="false" customHeight="false" outlineLevel="0" collapsed="false">
      <c r="B141" s="1" t="s">
        <v>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3.8" zeroHeight="false" outlineLevelRow="0" outlineLevelCol="0"/>
  <cols>
    <col collapsed="false" customWidth="true" hidden="false" outlineLevel="0" max="8" min="8" style="1" width="18.35"/>
  </cols>
  <sheetData>
    <row r="1" customFormat="false" ht="17.35" hidden="false" customHeight="false" outlineLevel="0" collapsed="false">
      <c r="A1" s="2" t="s">
        <v>0</v>
      </c>
      <c r="B1" s="3" t="n">
        <v>602</v>
      </c>
      <c r="C1" s="4"/>
      <c r="D1" s="5"/>
      <c r="E1" s="5"/>
      <c r="F1" s="5"/>
    </row>
    <row r="2" customFormat="false" ht="13.8" hidden="false" customHeight="false" outlineLevel="0" collapsed="false">
      <c r="A2" s="5"/>
      <c r="B2" s="5"/>
      <c r="C2" s="5"/>
      <c r="D2" s="2" t="n">
        <f aca="false">49*20+1</f>
        <v>981</v>
      </c>
      <c r="E2" s="2" t="s">
        <v>3</v>
      </c>
      <c r="F2" s="5"/>
      <c r="G2" s="1"/>
    </row>
    <row r="3" customFormat="false" ht="13.8" hidden="false" customHeight="false" outlineLevel="0" collapsed="false">
      <c r="A3" s="5" t="s">
        <v>188</v>
      </c>
      <c r="B3" s="5" t="s">
        <v>189</v>
      </c>
      <c r="C3" s="5" t="n">
        <f aca="false">220/2943</f>
        <v>0.0747536527353041</v>
      </c>
      <c r="D3" s="6" t="n">
        <f aca="false">D$2*C3</f>
        <v>73.3333333333333</v>
      </c>
      <c r="E3" s="7"/>
      <c r="F3" s="5"/>
    </row>
    <row r="4" customFormat="false" ht="13.8" hidden="false" customHeight="false" outlineLevel="0" collapsed="false">
      <c r="A4" s="5" t="s">
        <v>190</v>
      </c>
      <c r="B4" s="5" t="s">
        <v>191</v>
      </c>
      <c r="C4" s="5" t="n">
        <f aca="false">110/2943</f>
        <v>0.0373768263676521</v>
      </c>
      <c r="D4" s="6" t="n">
        <f aca="false">D$2*C4</f>
        <v>36.6666666666667</v>
      </c>
      <c r="E4" s="7"/>
      <c r="F4" s="5"/>
    </row>
    <row r="5" customFormat="false" ht="13.8" hidden="false" customHeight="false" outlineLevel="0" collapsed="false">
      <c r="A5" s="5" t="s">
        <v>192</v>
      </c>
      <c r="B5" s="5" t="s">
        <v>193</v>
      </c>
      <c r="C5" s="5" t="n">
        <f aca="false">673/2943</f>
        <v>0.228678219503908</v>
      </c>
      <c r="D5" s="6" t="n">
        <f aca="false">D$2*C5</f>
        <v>224.333333333333</v>
      </c>
      <c r="E5" s="7"/>
      <c r="F5" s="5"/>
    </row>
    <row r="6" customFormat="false" ht="13.8" hidden="false" customHeight="false" outlineLevel="0" collapsed="false">
      <c r="A6" s="5" t="s">
        <v>194</v>
      </c>
      <c r="B6" s="5" t="s">
        <v>195</v>
      </c>
      <c r="C6" s="5" t="n">
        <f aca="false">110/2943</f>
        <v>0.0373768263676521</v>
      </c>
      <c r="D6" s="6" t="n">
        <f aca="false">D$2*C6</f>
        <v>36.6666666666667</v>
      </c>
      <c r="E6" s="7" t="n">
        <f aca="false">SUM(D3:D6)</f>
        <v>371</v>
      </c>
      <c r="F6" s="5"/>
    </row>
    <row r="7" customFormat="false" ht="13.8" hidden="false" customHeight="false" outlineLevel="0" collapsed="false">
      <c r="A7" s="5"/>
      <c r="B7" s="5"/>
      <c r="C7" s="5"/>
      <c r="D7" s="6"/>
      <c r="E7" s="7"/>
      <c r="F7" s="5"/>
    </row>
    <row r="8" customFormat="false" ht="13.8" hidden="false" customHeight="false" outlineLevel="0" collapsed="false">
      <c r="E8" s="5"/>
      <c r="F8" s="5"/>
    </row>
    <row r="9" customFormat="false" ht="13.8" hidden="false" customHeight="false" outlineLevel="0" collapsed="false">
      <c r="A9" s="5" t="s">
        <v>196</v>
      </c>
      <c r="B9" s="5" t="s">
        <v>197</v>
      </c>
      <c r="C9" s="5" t="n">
        <f aca="false">47/2943</f>
        <v>0.0159700985389059</v>
      </c>
      <c r="D9" s="6" t="n">
        <f aca="false">D$2*C9</f>
        <v>15.6666666666667</v>
      </c>
      <c r="E9" s="2"/>
      <c r="F9" s="5"/>
    </row>
    <row r="10" customFormat="false" ht="13.8" hidden="false" customHeight="false" outlineLevel="0" collapsed="false">
      <c r="A10" s="5" t="s">
        <v>196</v>
      </c>
      <c r="B10" s="5" t="s">
        <v>198</v>
      </c>
      <c r="C10" s="5" t="n">
        <f aca="false">94/2943</f>
        <v>0.0319401970778118</v>
      </c>
      <c r="D10" s="6" t="n">
        <f aca="false">D$2*C10</f>
        <v>31.3333333333333</v>
      </c>
      <c r="E10" s="2" t="n">
        <f aca="false">D10+D9</f>
        <v>47</v>
      </c>
      <c r="F10" s="5"/>
    </row>
    <row r="11" customFormat="false" ht="13.8" hidden="false" customHeight="false" outlineLevel="0" collapsed="false">
      <c r="E11" s="2"/>
      <c r="F11" s="2"/>
      <c r="I11" s="10"/>
    </row>
    <row r="12" customFormat="false" ht="13.8" hidden="false" customHeight="false" outlineLevel="0" collapsed="false">
      <c r="A12" s="5" t="s">
        <v>199</v>
      </c>
      <c r="B12" s="8" t="s">
        <v>200</v>
      </c>
      <c r="C12" s="5" t="n">
        <f aca="false">20/981</f>
        <v>0.0203873598369011</v>
      </c>
      <c r="D12" s="6" t="n">
        <f aca="false">D$2*C12</f>
        <v>20</v>
      </c>
      <c r="E12" s="5"/>
      <c r="F12" s="5"/>
    </row>
    <row r="13" customFormat="false" ht="13.8" hidden="false" customHeight="false" outlineLevel="0" collapsed="false">
      <c r="A13" s="5" t="s">
        <v>201</v>
      </c>
      <c r="B13" s="5" t="s">
        <v>200</v>
      </c>
      <c r="C13" s="5" t="n">
        <f aca="false">20/981</f>
        <v>0.0203873598369011</v>
      </c>
      <c r="D13" s="6" t="n">
        <f aca="false">D$2*C13</f>
        <v>20</v>
      </c>
      <c r="E13" s="2" t="n">
        <f aca="false">D13+D12</f>
        <v>40</v>
      </c>
      <c r="F13" s="5"/>
    </row>
    <row r="14" customFormat="false" ht="13.8" hidden="false" customHeight="false" outlineLevel="0" collapsed="false">
      <c r="E14" s="5"/>
      <c r="F14" s="5"/>
    </row>
    <row r="15" customFormat="false" ht="13.8" hidden="false" customHeight="false" outlineLevel="0" collapsed="false">
      <c r="A15" s="5"/>
      <c r="B15" s="5"/>
      <c r="C15" s="5"/>
      <c r="D15" s="6"/>
      <c r="E15" s="5"/>
      <c r="F15" s="5"/>
    </row>
    <row r="16" customFormat="false" ht="13.8" hidden="false" customHeight="false" outlineLevel="0" collapsed="false">
      <c r="A16" s="5" t="s">
        <v>202</v>
      </c>
      <c r="B16" s="5" t="s">
        <v>203</v>
      </c>
      <c r="C16" s="5" t="n">
        <f aca="false">200/981</f>
        <v>0.203873598369011</v>
      </c>
      <c r="D16" s="6" t="n">
        <f aca="false">D$2*C16</f>
        <v>200</v>
      </c>
      <c r="E16" s="5"/>
      <c r="F16" s="5"/>
    </row>
    <row r="17" customFormat="false" ht="13.8" hidden="false" customHeight="false" outlineLevel="0" collapsed="false">
      <c r="A17" s="5" t="s">
        <v>204</v>
      </c>
      <c r="B17" s="5" t="s">
        <v>205</v>
      </c>
      <c r="C17" s="5" t="n">
        <f aca="false">79/1962</f>
        <v>0.0402650356778797</v>
      </c>
      <c r="D17" s="6" t="n">
        <f aca="false">D$2*C17</f>
        <v>39.5</v>
      </c>
      <c r="E17" s="5"/>
      <c r="F17" s="5"/>
    </row>
    <row r="18" customFormat="false" ht="13.8" hidden="false" customHeight="false" outlineLevel="0" collapsed="false">
      <c r="A18" s="5" t="s">
        <v>206</v>
      </c>
      <c r="B18" s="5" t="s">
        <v>207</v>
      </c>
      <c r="C18" s="5" t="n">
        <f aca="false">97/1962</f>
        <v>0.0494393476044852</v>
      </c>
      <c r="D18" s="6" t="n">
        <f aca="false">D$2*C18</f>
        <v>48.5</v>
      </c>
      <c r="E18" s="2" t="n">
        <f aca="false">D18+D17+D16</f>
        <v>288</v>
      </c>
      <c r="F18" s="5"/>
    </row>
    <row r="19" customFormat="false" ht="13.8" hidden="false" customHeight="false" outlineLevel="0" collapsed="false">
      <c r="E19" s="5"/>
      <c r="F19" s="5"/>
    </row>
    <row r="20" customFormat="false" ht="13.8" hidden="false" customHeight="false" outlineLevel="0" collapsed="false">
      <c r="A20" s="5" t="s">
        <v>208</v>
      </c>
      <c r="B20" s="8" t="s">
        <v>209</v>
      </c>
      <c r="C20" s="5" t="n">
        <f aca="false">46/981</f>
        <v>0.0468909276248726</v>
      </c>
      <c r="D20" s="6" t="n">
        <f aca="false">D$2*C20</f>
        <v>46</v>
      </c>
      <c r="E20" s="7" t="n">
        <f aca="false">D20</f>
        <v>46</v>
      </c>
      <c r="F20" s="5"/>
    </row>
    <row r="21" customFormat="false" ht="13.8" hidden="false" customHeight="false" outlineLevel="0" collapsed="false">
      <c r="E21" s="5"/>
      <c r="F21" s="5"/>
    </row>
    <row r="22" customFormat="false" ht="13.8" hidden="false" customHeight="false" outlineLevel="0" collapsed="false">
      <c r="A22" s="5"/>
      <c r="B22" s="5"/>
      <c r="C22" s="5"/>
      <c r="D22" s="6"/>
      <c r="E22" s="5"/>
      <c r="F22" s="5"/>
    </row>
    <row r="23" customFormat="false" ht="13.8" hidden="false" customHeight="false" outlineLevel="0" collapsed="false">
      <c r="A23" s="5" t="s">
        <v>210</v>
      </c>
      <c r="B23" s="5" t="s">
        <v>211</v>
      </c>
      <c r="C23" s="5" t="n">
        <f aca="false">21/109</f>
        <v>0.192660550458716</v>
      </c>
      <c r="D23" s="6" t="n">
        <f aca="false">D$2*C23</f>
        <v>189</v>
      </c>
      <c r="E23" s="7" t="n">
        <f aca="false">D23</f>
        <v>189</v>
      </c>
      <c r="F23" s="5"/>
    </row>
    <row r="24" customFormat="false" ht="13.8" hidden="false" customHeight="false" outlineLevel="0" collapsed="false">
      <c r="A24" s="5"/>
      <c r="B24" s="5"/>
      <c r="C24" s="5"/>
      <c r="D24" s="6"/>
      <c r="E24" s="5"/>
      <c r="F24" s="5"/>
    </row>
    <row r="25" customFormat="false" ht="13.8" hidden="false" customHeight="false" outlineLevel="0" collapsed="false">
      <c r="A25" s="5"/>
      <c r="B25" s="5"/>
      <c r="C25" s="5"/>
      <c r="D25" s="6"/>
      <c r="E25" s="5"/>
      <c r="F25" s="5"/>
    </row>
    <row r="26" customFormat="false" ht="13.8" hidden="false" customHeight="false" outlineLevel="0" collapsed="false">
      <c r="A26" s="5"/>
      <c r="B26" s="5"/>
      <c r="C26" s="5"/>
      <c r="D26" s="6"/>
      <c r="E26" s="5"/>
      <c r="F26" s="5"/>
    </row>
    <row r="27" customFormat="false" ht="13.8" hidden="false" customHeight="false" outlineLevel="0" collapsed="false">
      <c r="A27" s="5"/>
      <c r="B27" s="5"/>
      <c r="C27" s="5"/>
      <c r="D27" s="6"/>
      <c r="E27" s="5"/>
      <c r="F27" s="5"/>
    </row>
    <row r="28" customFormat="false" ht="13.8" hidden="false" customHeight="false" outlineLevel="0" collapsed="false">
      <c r="A28" s="5"/>
      <c r="B28" s="5"/>
      <c r="C28" s="5"/>
      <c r="D28" s="6"/>
      <c r="E28" s="5"/>
      <c r="F28" s="5"/>
    </row>
    <row r="29" customFormat="false" ht="13.8" hidden="false" customHeight="false" outlineLevel="0" collapsed="false">
      <c r="A29" s="5"/>
      <c r="B29" s="5"/>
      <c r="C29" s="5"/>
      <c r="D29" s="6"/>
      <c r="E29" s="5"/>
      <c r="F29" s="5"/>
    </row>
    <row r="30" customFormat="false" ht="13.8" hidden="false" customHeight="false" outlineLevel="0" collapsed="false">
      <c r="A30" s="5"/>
      <c r="B30" s="5"/>
      <c r="C30" s="5"/>
      <c r="D30" s="6"/>
      <c r="E30" s="5"/>
      <c r="F30" s="5"/>
    </row>
    <row r="31" customFormat="false" ht="13.8" hidden="false" customHeight="false" outlineLevel="0" collapsed="false">
      <c r="A31" s="5"/>
      <c r="B31" s="5"/>
      <c r="C31" s="5"/>
      <c r="D31" s="6"/>
      <c r="E31" s="5"/>
      <c r="F31" s="5"/>
    </row>
    <row r="32" customFormat="false" ht="13.8" hidden="false" customHeight="false" outlineLevel="0" collapsed="false">
      <c r="A32" s="5"/>
      <c r="B32" s="5"/>
      <c r="C32" s="5"/>
      <c r="D32" s="6"/>
      <c r="E32" s="5"/>
      <c r="F32" s="5"/>
    </row>
    <row r="33" customFormat="false" ht="13.8" hidden="false" customHeight="false" outlineLevel="0" collapsed="false">
      <c r="A33" s="5"/>
      <c r="B33" s="5"/>
      <c r="C33" s="5"/>
      <c r="D33" s="6"/>
      <c r="E33" s="5"/>
      <c r="F33" s="5"/>
    </row>
    <row r="34" customFormat="false" ht="13.8" hidden="false" customHeight="false" outlineLevel="0" collapsed="false">
      <c r="A34" s="5"/>
      <c r="B34" s="5"/>
      <c r="C34" s="5"/>
      <c r="D34" s="6"/>
      <c r="E34" s="5"/>
      <c r="F34" s="5"/>
    </row>
    <row r="35" customFormat="false" ht="13.8" hidden="false" customHeight="false" outlineLevel="0" collapsed="false">
      <c r="A35" s="5"/>
      <c r="B35" s="5"/>
      <c r="C35" s="5"/>
      <c r="D35" s="6"/>
      <c r="E35" s="5"/>
      <c r="F35" s="5"/>
    </row>
    <row r="36" customFormat="false" ht="13.8" hidden="false" customHeight="false" outlineLevel="0" collapsed="false">
      <c r="A36" s="5"/>
      <c r="B36" s="5"/>
      <c r="C36" s="5"/>
      <c r="D36" s="6"/>
      <c r="E36" s="5"/>
      <c r="F36" s="5"/>
    </row>
    <row r="37" customFormat="false" ht="13.8" hidden="false" customHeight="false" outlineLevel="0" collapsed="false">
      <c r="A37" s="5"/>
      <c r="B37" s="5"/>
      <c r="C37" s="5"/>
      <c r="D37" s="6"/>
      <c r="E37" s="5"/>
      <c r="F37" s="5"/>
    </row>
    <row r="38" customFormat="false" ht="13.8" hidden="false" customHeight="false" outlineLevel="0" collapsed="false">
      <c r="A38" s="5"/>
      <c r="B38" s="5"/>
      <c r="C38" s="5"/>
      <c r="D38" s="6"/>
      <c r="E38" s="5"/>
      <c r="F38" s="5"/>
    </row>
    <row r="39" customFormat="false" ht="13.8" hidden="false" customHeight="false" outlineLevel="0" collapsed="false">
      <c r="A39" s="5"/>
      <c r="B39" s="5"/>
      <c r="C39" s="5"/>
      <c r="D39" s="6"/>
      <c r="E39" s="5"/>
      <c r="F39" s="5"/>
    </row>
    <row r="40" customFormat="false" ht="13.8" hidden="false" customHeight="false" outlineLevel="0" collapsed="false">
      <c r="A40" s="5"/>
      <c r="B40" s="5"/>
      <c r="C40" s="5"/>
      <c r="D40" s="6"/>
      <c r="E40" s="5"/>
      <c r="F40" s="5"/>
    </row>
    <row r="41" customFormat="false" ht="13.8" hidden="false" customHeight="false" outlineLevel="0" collapsed="false">
      <c r="A41" s="5"/>
      <c r="B41" s="5"/>
      <c r="C41" s="5"/>
      <c r="D41" s="6"/>
      <c r="E41" s="5"/>
      <c r="F41" s="5"/>
    </row>
    <row r="42" customFormat="false" ht="13.8" hidden="false" customHeight="false" outlineLevel="0" collapsed="false">
      <c r="A42" s="5"/>
      <c r="B42" s="5"/>
      <c r="C42" s="5"/>
      <c r="D42" s="6"/>
      <c r="E42" s="5"/>
      <c r="F42" s="5"/>
    </row>
    <row r="43" customFormat="false" ht="13.8" hidden="false" customHeight="false" outlineLevel="0" collapsed="false">
      <c r="A43" s="5"/>
      <c r="B43" s="5"/>
      <c r="C43" s="7" t="n">
        <f aca="false">SUM(C3:C42)</f>
        <v>1</v>
      </c>
      <c r="D43" s="7" t="n">
        <f aca="false">SUM(D3:D42)</f>
        <v>981</v>
      </c>
      <c r="E43" s="7" t="n">
        <f aca="false">SUM(E3:E42)</f>
        <v>981</v>
      </c>
      <c r="F43" s="5"/>
    </row>
    <row r="44" customFormat="false" ht="13.8" hidden="false" customHeight="false" outlineLevel="0" collapsed="false">
      <c r="A44" s="5"/>
      <c r="B44" s="5"/>
      <c r="C44" s="7"/>
      <c r="D44" s="7"/>
      <c r="E44" s="5"/>
      <c r="F44" s="5"/>
    </row>
    <row r="45" customFormat="false" ht="13.8" hidden="false" customHeight="false" outlineLevel="0" collapsed="false">
      <c r="F45" s="5"/>
    </row>
    <row r="46" customFormat="false" ht="13.8" hidden="false" customHeight="false" outlineLevel="0" collapsed="false">
      <c r="F46" s="5"/>
    </row>
    <row r="47" customFormat="false" ht="13.8" hidden="false" customHeight="false" outlineLevel="0" collapsed="false">
      <c r="F47" s="5"/>
    </row>
    <row r="48" customFormat="false" ht="13.8" hidden="false" customHeight="false" outlineLevel="0" collapsed="false">
      <c r="F48" s="5"/>
    </row>
    <row r="49" customFormat="false" ht="13.8" hidden="false" customHeight="false" outlineLevel="0" collapsed="false">
      <c r="F49" s="5"/>
    </row>
    <row r="50" customFormat="false" ht="13.8" hidden="false" customHeight="false" outlineLevel="0" collapsed="false">
      <c r="F50" s="5"/>
    </row>
    <row r="51" customFormat="false" ht="13.8" hidden="false" customHeight="false" outlineLevel="0" collapsed="false">
      <c r="F51" s="5"/>
    </row>
    <row r="52" customFormat="false" ht="13.8" hidden="false" customHeight="false" outlineLevel="0" collapsed="false">
      <c r="F52" s="5"/>
    </row>
    <row r="53" customFormat="false" ht="13.8" hidden="false" customHeight="false" outlineLevel="0" collapsed="false">
      <c r="F53" s="5"/>
    </row>
    <row r="54" customFormat="false" ht="13.8" hidden="false" customHeight="false" outlineLevel="0" collapsed="false">
      <c r="F5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0"/>
  <sheetViews>
    <sheetView showFormulas="false" showGridLines="true" showRowColHeaders="true" showZeros="true" rightToLeft="false" tabSelected="false" showOutlineSymbols="true" defaultGridColor="true" view="normal" topLeftCell="G18" colorId="64" zoomScale="100" zoomScaleNormal="100" zoomScalePageLayoutView="100" workbookViewId="0">
      <selection pane="topLeft" activeCell="O1" activeCellId="0" sqref="O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5.44"/>
    <col collapsed="false" customWidth="true" hidden="false" outlineLevel="0" max="6" min="6" style="1" width="8"/>
    <col collapsed="false" customWidth="true" hidden="false" outlineLevel="0" max="7" min="7" style="1" width="5.44"/>
    <col collapsed="false" customWidth="true" hidden="false" outlineLevel="0" max="8" min="8" style="1" width="26.11"/>
    <col collapsed="false" customWidth="true" hidden="false" outlineLevel="0" max="9" min="9" style="1" width="13.35"/>
    <col collapsed="false" customWidth="true" hidden="false" outlineLevel="0" max="16" min="15" style="1" width="11.33"/>
    <col collapsed="false" customWidth="true" hidden="false" outlineLevel="0" max="20" min="20" style="1" width="10"/>
    <col collapsed="false" customWidth="true" hidden="false" outlineLevel="0" max="21" min="21" style="1" width="7.11"/>
    <col collapsed="false" customWidth="true" hidden="false" outlineLevel="0" max="22" min="22" style="1" width="4.79"/>
    <col collapsed="false" customWidth="true" hidden="false" outlineLevel="0" max="23" min="23" style="1" width="15.56"/>
    <col collapsed="false" customWidth="true" hidden="false" outlineLevel="0" max="24" min="24" style="1" width="17.11"/>
    <col collapsed="false" customWidth="true" hidden="false" outlineLevel="0" max="28" min="28" style="1" width="7.11"/>
    <col collapsed="false" customWidth="true" hidden="false" outlineLevel="0" max="29" min="29" style="1" width="17.67"/>
    <col collapsed="false" customWidth="true" hidden="false" outlineLevel="0" max="31" min="31" style="1" width="6.67"/>
    <col collapsed="false" customWidth="true" hidden="false" outlineLevel="0" max="32" min="32" style="1" width="13.44"/>
    <col collapsed="false" customWidth="true" hidden="false" outlineLevel="0" max="34" min="34" style="12" width="8.88"/>
  </cols>
  <sheetData>
    <row r="1" s="23" customFormat="true" ht="19.7" hidden="false" customHeight="false" outlineLevel="0" collapsed="false">
      <c r="A1" s="16"/>
      <c r="B1" s="16"/>
      <c r="C1" s="17"/>
      <c r="D1" s="16"/>
      <c r="E1" s="16"/>
      <c r="F1" s="16"/>
      <c r="G1" s="16"/>
      <c r="H1" s="18"/>
      <c r="I1" s="19"/>
      <c r="J1" s="18"/>
      <c r="K1" s="18"/>
      <c r="L1" s="18"/>
      <c r="M1" s="18"/>
      <c r="N1" s="18"/>
      <c r="O1" s="20"/>
      <c r="P1" s="20"/>
      <c r="Q1" s="20"/>
      <c r="R1" s="20"/>
      <c r="S1" s="21"/>
      <c r="T1" s="20"/>
      <c r="U1" s="20"/>
      <c r="V1" s="20"/>
      <c r="W1" s="22"/>
      <c r="X1" s="22"/>
      <c r="Y1" s="22"/>
      <c r="Z1" s="22"/>
      <c r="AA1" s="22"/>
      <c r="AB1" s="22"/>
      <c r="AF1" s="24"/>
      <c r="AG1" s="24"/>
      <c r="AH1" s="25"/>
      <c r="AI1" s="24"/>
      <c r="AJ1" s="24"/>
      <c r="AK1" s="24"/>
    </row>
    <row r="2" s="23" customFormat="true" ht="21" hidden="false" customHeight="false" outlineLevel="0" collapsed="false">
      <c r="A2" s="16"/>
      <c r="B2" s="16"/>
      <c r="C2" s="17" t="s">
        <v>212</v>
      </c>
      <c r="D2" s="16"/>
      <c r="E2" s="16"/>
      <c r="F2" s="16"/>
      <c r="G2" s="16"/>
      <c r="H2" s="18"/>
      <c r="I2" s="19" t="s">
        <v>213</v>
      </c>
      <c r="J2" s="18"/>
      <c r="K2" s="18"/>
      <c r="L2" s="18"/>
      <c r="M2" s="18"/>
      <c r="N2" s="18"/>
      <c r="O2" s="20"/>
      <c r="P2" s="20"/>
      <c r="Q2" s="20"/>
      <c r="R2" s="20"/>
      <c r="S2" s="21" t="s">
        <v>214</v>
      </c>
      <c r="T2" s="20"/>
      <c r="U2" s="20"/>
      <c r="V2" s="20"/>
      <c r="W2" s="22"/>
      <c r="X2" s="22"/>
      <c r="Y2" s="22"/>
      <c r="Z2" s="22"/>
      <c r="AA2" s="22"/>
      <c r="AB2" s="22"/>
      <c r="AF2" s="24"/>
      <c r="AG2" s="24"/>
      <c r="AH2" s="25"/>
      <c r="AI2" s="24"/>
      <c r="AJ2" s="24"/>
      <c r="AK2" s="24"/>
    </row>
    <row r="3" customFormat="false" ht="23.25" hidden="false" customHeight="false" outlineLevel="0" collapsed="false">
      <c r="A3" s="26"/>
      <c r="B3" s="26"/>
      <c r="C3" s="26"/>
      <c r="D3" s="26"/>
      <c r="E3" s="27" t="n">
        <v>77</v>
      </c>
      <c r="F3" s="26"/>
      <c r="G3" s="26"/>
      <c r="H3" s="28"/>
      <c r="I3" s="28"/>
      <c r="J3" s="28"/>
      <c r="K3" s="28"/>
      <c r="L3" s="29" t="n">
        <v>77</v>
      </c>
      <c r="M3" s="28"/>
      <c r="N3" s="28"/>
      <c r="O3" s="30" t="s">
        <v>0</v>
      </c>
      <c r="P3" s="30"/>
      <c r="Q3" s="31" t="n">
        <v>483</v>
      </c>
      <c r="R3" s="32"/>
      <c r="S3" s="32"/>
      <c r="T3" s="32"/>
      <c r="U3" s="32"/>
      <c r="V3" s="32"/>
      <c r="W3" s="33" t="s">
        <v>0</v>
      </c>
      <c r="X3" s="33"/>
      <c r="Y3" s="34" t="n">
        <v>482</v>
      </c>
      <c r="Z3" s="35"/>
      <c r="AA3" s="35"/>
      <c r="AB3" s="35"/>
      <c r="AC3" s="10" t="s">
        <v>173</v>
      </c>
      <c r="AF3" s="36" t="s">
        <v>0</v>
      </c>
      <c r="AG3" s="36"/>
      <c r="AH3" s="31" t="n">
        <v>484</v>
      </c>
      <c r="AI3" s="37"/>
      <c r="AJ3" s="37"/>
      <c r="AK3" s="37"/>
    </row>
    <row r="4" customFormat="false" ht="21" hidden="false" customHeight="false" outlineLevel="0" collapsed="false">
      <c r="A4" s="38" t="s">
        <v>0</v>
      </c>
      <c r="B4" s="38"/>
      <c r="C4" s="31" t="n">
        <v>339</v>
      </c>
      <c r="D4" s="38" t="n">
        <v>1385</v>
      </c>
      <c r="E4" s="26" t="s">
        <v>215</v>
      </c>
      <c r="F4" s="26" t="n">
        <v>5</v>
      </c>
      <c r="G4" s="26" t="n">
        <v>0</v>
      </c>
      <c r="H4" s="39" t="s">
        <v>0</v>
      </c>
      <c r="I4" s="39"/>
      <c r="J4" s="31" t="n">
        <v>402</v>
      </c>
      <c r="K4" s="39" t="n">
        <v>1385</v>
      </c>
      <c r="L4" s="28" t="s">
        <v>215</v>
      </c>
      <c r="M4" s="28" t="n">
        <v>5</v>
      </c>
      <c r="N4" s="28" t="n">
        <v>0</v>
      </c>
      <c r="O4" s="32"/>
      <c r="P4" s="32"/>
      <c r="Q4" s="32"/>
      <c r="R4" s="30" t="n">
        <v>640</v>
      </c>
      <c r="S4" s="21" t="n">
        <f aca="false">129</f>
        <v>129</v>
      </c>
      <c r="T4" s="32"/>
      <c r="U4" s="32"/>
      <c r="V4" s="32"/>
      <c r="W4" s="35"/>
      <c r="X4" s="35"/>
      <c r="Y4" s="35"/>
      <c r="Z4" s="33" t="n">
        <v>278</v>
      </c>
      <c r="AA4" s="40" t="n">
        <v>77</v>
      </c>
      <c r="AB4" s="35"/>
      <c r="AF4" s="37"/>
      <c r="AG4" s="37"/>
      <c r="AH4" s="41"/>
      <c r="AI4" s="36" t="n">
        <v>23</v>
      </c>
      <c r="AJ4" s="42" t="n">
        <v>78</v>
      </c>
      <c r="AK4" s="37"/>
    </row>
    <row r="5" customFormat="false" ht="14.25" hidden="false" customHeight="false" outlineLevel="0" collapsed="false">
      <c r="A5" s="26"/>
      <c r="B5" s="26"/>
      <c r="C5" s="26"/>
      <c r="D5" s="38"/>
      <c r="E5" s="26" t="s">
        <v>216</v>
      </c>
      <c r="F5" s="26" t="n">
        <v>4</v>
      </c>
      <c r="G5" s="26" t="n">
        <v>12</v>
      </c>
      <c r="H5" s="28"/>
      <c r="I5" s="28"/>
      <c r="J5" s="28"/>
      <c r="K5" s="39"/>
      <c r="L5" s="28" t="s">
        <v>216</v>
      </c>
      <c r="M5" s="28" t="n">
        <v>4</v>
      </c>
      <c r="N5" s="28" t="n">
        <v>12</v>
      </c>
      <c r="O5" s="32" t="s">
        <v>93</v>
      </c>
      <c r="P5" s="32" t="s">
        <v>217</v>
      </c>
      <c r="Q5" s="32" t="n">
        <f aca="false">97/1440</f>
        <v>0.0673611111111111</v>
      </c>
      <c r="R5" s="43" t="n">
        <f aca="false">R$4*Q5</f>
        <v>43.1111111111111</v>
      </c>
      <c r="S5" s="32" t="n">
        <v>17</v>
      </c>
      <c r="T5" s="32" t="n">
        <v>8</v>
      </c>
      <c r="U5" s="32" t="n">
        <v>0</v>
      </c>
      <c r="V5" s="32"/>
      <c r="W5" s="35" t="s">
        <v>93</v>
      </c>
      <c r="X5" s="35" t="s">
        <v>218</v>
      </c>
      <c r="Y5" s="35" t="n">
        <f aca="false">100/1251</f>
        <v>0.0799360511590727</v>
      </c>
      <c r="Z5" s="44" t="n">
        <f aca="false">Z$4*Y5</f>
        <v>22.2222222222222</v>
      </c>
      <c r="AA5" s="35" t="n">
        <v>1</v>
      </c>
      <c r="AB5" s="35" t="n">
        <v>6.19</v>
      </c>
      <c r="AC5" s="12" t="n">
        <f aca="false">R5+Z5</f>
        <v>65.3333333333333</v>
      </c>
      <c r="AF5" s="37" t="s">
        <v>93</v>
      </c>
      <c r="AG5" s="41" t="s">
        <v>219</v>
      </c>
      <c r="AH5" s="41" t="n">
        <f aca="false">2/69</f>
        <v>0.0289855072463768</v>
      </c>
      <c r="AI5" s="41" t="n">
        <f aca="false">AI$4*AH5</f>
        <v>0.666666666666667</v>
      </c>
      <c r="AJ5" s="37" t="s">
        <v>220</v>
      </c>
      <c r="AK5" s="37" t="n">
        <v>0.7</v>
      </c>
    </row>
    <row r="6" customFormat="false" ht="14.25" hidden="false" customHeight="false" outlineLevel="0" collapsed="false">
      <c r="A6" s="26" t="s">
        <v>221</v>
      </c>
      <c r="B6" s="26" t="s">
        <v>132</v>
      </c>
      <c r="C6" s="26" t="n">
        <f aca="false">405/7784</f>
        <v>0.0520298047276465</v>
      </c>
      <c r="D6" s="45" t="n">
        <f aca="false">D$4*C6</f>
        <v>72.0612795477903</v>
      </c>
      <c r="E6" s="26" t="s">
        <v>216</v>
      </c>
      <c r="F6" s="26" t="n">
        <v>2</v>
      </c>
      <c r="G6" s="26" t="n">
        <v>7</v>
      </c>
      <c r="H6" s="28" t="s">
        <v>221</v>
      </c>
      <c r="I6" s="28" t="s">
        <v>132</v>
      </c>
      <c r="J6" s="28" t="n">
        <f aca="false">405/7784</f>
        <v>0.0520298047276465</v>
      </c>
      <c r="K6" s="46" t="n">
        <f aca="false">K$4*J6</f>
        <v>72.0612795477903</v>
      </c>
      <c r="L6" s="28" t="s">
        <v>216</v>
      </c>
      <c r="M6" s="28" t="n">
        <v>2</v>
      </c>
      <c r="N6" s="28" t="n">
        <v>7</v>
      </c>
      <c r="O6" s="32" t="s">
        <v>222</v>
      </c>
      <c r="P6" s="32" t="s">
        <v>217</v>
      </c>
      <c r="Q6" s="32" t="n">
        <f aca="false">97/1440</f>
        <v>0.0673611111111111</v>
      </c>
      <c r="R6" s="43" t="n">
        <f aca="false">R$4*Q6</f>
        <v>43.1111111111111</v>
      </c>
      <c r="S6" s="32" t="n">
        <v>18</v>
      </c>
      <c r="T6" s="32" t="n">
        <v>8</v>
      </c>
      <c r="U6" s="32" t="n">
        <v>0</v>
      </c>
      <c r="V6" s="32"/>
      <c r="W6" s="35" t="s">
        <v>222</v>
      </c>
      <c r="X6" s="35" t="s">
        <v>218</v>
      </c>
      <c r="Y6" s="35" t="n">
        <f aca="false">100/1251</f>
        <v>0.0799360511590727</v>
      </c>
      <c r="Z6" s="44" t="n">
        <f aca="false">Z$4*Y6</f>
        <v>22.2222222222222</v>
      </c>
      <c r="AA6" s="35" t="n">
        <v>2</v>
      </c>
      <c r="AB6" s="35" t="n">
        <v>6.19</v>
      </c>
      <c r="AC6" s="12" t="n">
        <f aca="false">R6+Z6</f>
        <v>65.3333333333333</v>
      </c>
      <c r="AF6" s="37" t="s">
        <v>222</v>
      </c>
      <c r="AG6" s="41" t="s">
        <v>219</v>
      </c>
      <c r="AH6" s="41" t="n">
        <f aca="false">2/69</f>
        <v>0.0289855072463768</v>
      </c>
      <c r="AI6" s="41" t="n">
        <f aca="false">AI$4*AH6</f>
        <v>0.666666666666667</v>
      </c>
      <c r="AJ6" s="37" t="s">
        <v>223</v>
      </c>
      <c r="AK6" s="37" t="n">
        <v>0.8</v>
      </c>
    </row>
    <row r="7" customFormat="false" ht="14.25" hidden="false" customHeight="false" outlineLevel="0" collapsed="false">
      <c r="A7" s="26" t="s">
        <v>224</v>
      </c>
      <c r="B7" s="26" t="s">
        <v>134</v>
      </c>
      <c r="C7" s="26" t="n">
        <f aca="false">689/7784</f>
        <v>0.0885149023638232</v>
      </c>
      <c r="D7" s="45" t="n">
        <f aca="false">D$4*C7</f>
        <v>122.593139773895</v>
      </c>
      <c r="E7" s="26" t="s">
        <v>215</v>
      </c>
      <c r="F7" s="26" t="n">
        <v>1</v>
      </c>
      <c r="G7" s="26" t="n">
        <v>19</v>
      </c>
      <c r="H7" s="28" t="s">
        <v>96</v>
      </c>
      <c r="I7" s="28" t="s">
        <v>134</v>
      </c>
      <c r="J7" s="28" t="n">
        <f aca="false">689/7784</f>
        <v>0.0885149023638232</v>
      </c>
      <c r="K7" s="46" t="n">
        <f aca="false">K$4*J7</f>
        <v>122.593139773895</v>
      </c>
      <c r="L7" s="28" t="s">
        <v>215</v>
      </c>
      <c r="M7" s="28" t="n">
        <v>1</v>
      </c>
      <c r="N7" s="28" t="n">
        <v>19</v>
      </c>
      <c r="O7" s="32" t="s">
        <v>208</v>
      </c>
      <c r="P7" s="32" t="s">
        <v>225</v>
      </c>
      <c r="Q7" s="32" t="n">
        <f aca="false">979/5760</f>
        <v>0.169965277777778</v>
      </c>
      <c r="R7" s="43" t="n">
        <f aca="false">R$4*Q7</f>
        <v>108.777777777778</v>
      </c>
      <c r="S7" s="32" t="n">
        <v>23</v>
      </c>
      <c r="T7" s="32" t="n">
        <v>8</v>
      </c>
      <c r="U7" s="32" t="n">
        <v>0</v>
      </c>
      <c r="V7" s="32"/>
      <c r="W7" s="35" t="s">
        <v>208</v>
      </c>
      <c r="X7" s="35" t="s">
        <v>226</v>
      </c>
      <c r="Y7" s="35" t="n">
        <f aca="false">250/1251</f>
        <v>0.199840127897682</v>
      </c>
      <c r="Z7" s="44" t="n">
        <f aca="false">Z$4*Y7</f>
        <v>55.5555555555556</v>
      </c>
      <c r="AA7" s="35" t="n">
        <f aca="false">Z5+Z6+Z7</f>
        <v>100</v>
      </c>
      <c r="AB7" s="35" t="n">
        <f aca="false">SUM(AB5:AB6)</f>
        <v>12.38</v>
      </c>
      <c r="AC7" s="12" t="n">
        <f aca="false">R7+Z7</f>
        <v>164.333333333333</v>
      </c>
      <c r="AF7" s="37" t="s">
        <v>227</v>
      </c>
      <c r="AG7" s="41" t="s">
        <v>228</v>
      </c>
      <c r="AH7" s="41" t="n">
        <f aca="false">5/69</f>
        <v>0.072463768115942</v>
      </c>
      <c r="AI7" s="41" t="n">
        <f aca="false">AI$4*AH7</f>
        <v>1.66666666666667</v>
      </c>
      <c r="AJ7" s="37" t="s">
        <v>229</v>
      </c>
      <c r="AK7" s="37" t="n">
        <v>0.8</v>
      </c>
    </row>
    <row r="8" customFormat="false" ht="21" hidden="false" customHeight="false" outlineLevel="0" collapsed="false">
      <c r="A8" s="26" t="s">
        <v>230</v>
      </c>
      <c r="B8" s="26" t="s">
        <v>147</v>
      </c>
      <c r="C8" s="26" t="n">
        <f aca="false">281/3892</f>
        <v>0.0721993833504625</v>
      </c>
      <c r="D8" s="45" t="n">
        <f aca="false">D$4*C8</f>
        <v>99.9961459403905</v>
      </c>
      <c r="E8" s="17" t="n">
        <f aca="false">129</f>
        <v>129</v>
      </c>
      <c r="F8" s="26"/>
      <c r="G8" s="26"/>
      <c r="H8" s="28" t="s">
        <v>230</v>
      </c>
      <c r="I8" s="28" t="s">
        <v>147</v>
      </c>
      <c r="J8" s="28" t="n">
        <f aca="false">281/3892</f>
        <v>0.0721993833504625</v>
      </c>
      <c r="K8" s="46" t="n">
        <f aca="false">K$4*J8</f>
        <v>99.9961459403905</v>
      </c>
      <c r="L8" s="19" t="n">
        <f aca="false">129</f>
        <v>129</v>
      </c>
      <c r="M8" s="28"/>
      <c r="N8" s="28"/>
      <c r="O8" s="32" t="s">
        <v>231</v>
      </c>
      <c r="P8" s="32" t="s">
        <v>232</v>
      </c>
      <c r="Q8" s="32" t="n">
        <f aca="false">81/640</f>
        <v>0.1265625</v>
      </c>
      <c r="R8" s="43" t="n">
        <f aca="false">R$4*Q8</f>
        <v>81</v>
      </c>
      <c r="S8" s="32" t="n">
        <v>24</v>
      </c>
      <c r="T8" s="32" t="n">
        <v>8</v>
      </c>
      <c r="U8" s="32" t="n">
        <v>0</v>
      </c>
      <c r="V8" s="32"/>
      <c r="W8" s="35" t="s">
        <v>231</v>
      </c>
      <c r="X8" s="35" t="s">
        <v>233</v>
      </c>
      <c r="Y8" s="35" t="n">
        <f aca="false">41/278</f>
        <v>0.147482014388489</v>
      </c>
      <c r="Z8" s="44" t="n">
        <f aca="false">Z$4*Y8</f>
        <v>41</v>
      </c>
      <c r="AA8" s="35" t="s">
        <v>154</v>
      </c>
      <c r="AB8" s="35" t="n">
        <v>13.18</v>
      </c>
      <c r="AC8" s="15" t="n">
        <f aca="false">SUM(AC5:AC7)</f>
        <v>295</v>
      </c>
      <c r="AF8" s="37" t="s">
        <v>231</v>
      </c>
      <c r="AG8" s="41" t="s">
        <v>234</v>
      </c>
      <c r="AH8" s="41" t="n">
        <f aca="false">1/46</f>
        <v>0.0217391304347826</v>
      </c>
      <c r="AI8" s="41" t="n">
        <f aca="false">AI$4*AH8</f>
        <v>0.5</v>
      </c>
      <c r="AJ8" s="37" t="s">
        <v>154</v>
      </c>
      <c r="AK8" s="37" t="n">
        <f aca="false">SUM(AK5:AK7)</f>
        <v>2.3</v>
      </c>
    </row>
    <row r="9" customFormat="false" ht="14.25" hidden="false" customHeight="false" outlineLevel="0" collapsed="false">
      <c r="A9" s="26" t="s">
        <v>235</v>
      </c>
      <c r="B9" s="26" t="s">
        <v>153</v>
      </c>
      <c r="C9" s="26" t="n">
        <f aca="false">365/3892</f>
        <v>0.0937821171634121</v>
      </c>
      <c r="D9" s="45" t="n">
        <f aca="false">D$4*C9</f>
        <v>129.888232271326</v>
      </c>
      <c r="E9" s="26" t="n">
        <v>17</v>
      </c>
      <c r="F9" s="26" t="n">
        <v>8</v>
      </c>
      <c r="G9" s="26" t="n">
        <v>0</v>
      </c>
      <c r="H9" s="28" t="s">
        <v>235</v>
      </c>
      <c r="I9" s="28" t="s">
        <v>153</v>
      </c>
      <c r="J9" s="28" t="n">
        <f aca="false">365/3892</f>
        <v>0.0937821171634121</v>
      </c>
      <c r="K9" s="46" t="n">
        <f aca="false">K$4*J9</f>
        <v>129.888232271326</v>
      </c>
      <c r="L9" s="28" t="n">
        <v>17</v>
      </c>
      <c r="M9" s="28" t="n">
        <v>8</v>
      </c>
      <c r="N9" s="28" t="n">
        <v>0</v>
      </c>
      <c r="O9" s="32" t="s">
        <v>236</v>
      </c>
      <c r="P9" s="32" t="s">
        <v>237</v>
      </c>
      <c r="Q9" s="32" t="n">
        <f aca="false">43/480</f>
        <v>0.0895833333333333</v>
      </c>
      <c r="R9" s="43" t="n">
        <f aca="false">R$4*Q9</f>
        <v>57.3333333333333</v>
      </c>
      <c r="S9" s="32"/>
      <c r="T9" s="32"/>
      <c r="U9" s="32"/>
      <c r="V9" s="32"/>
      <c r="W9" s="35" t="s">
        <v>236</v>
      </c>
      <c r="X9" s="35" t="s">
        <v>238</v>
      </c>
      <c r="Y9" s="35" t="n">
        <f aca="false">43/417</f>
        <v>0.103117505995204</v>
      </c>
      <c r="Z9" s="44" t="n">
        <f aca="false">Z$4*Y9</f>
        <v>28.6666666666667</v>
      </c>
      <c r="AA9" s="35"/>
      <c r="AB9" s="35" t="n">
        <f aca="false">260+18</f>
        <v>278</v>
      </c>
      <c r="AF9" s="37" t="s">
        <v>236</v>
      </c>
      <c r="AG9" s="41" t="s">
        <v>219</v>
      </c>
      <c r="AH9" s="41" t="n">
        <f aca="false">2/69</f>
        <v>0.0289855072463768</v>
      </c>
      <c r="AI9" s="41" t="n">
        <f aca="false">AI$4*AH9</f>
        <v>0.666666666666667</v>
      </c>
      <c r="AJ9" s="37"/>
      <c r="AK9" s="37" t="n">
        <v>23</v>
      </c>
    </row>
    <row r="10" customFormat="false" ht="14.25" hidden="false" customHeight="false" outlineLevel="0" collapsed="false">
      <c r="A10" s="26" t="s">
        <v>239</v>
      </c>
      <c r="B10" s="26" t="s">
        <v>151</v>
      </c>
      <c r="C10" s="26" t="n">
        <f aca="false">95/556</f>
        <v>0.170863309352518</v>
      </c>
      <c r="D10" s="45" t="n">
        <f aca="false">D$4*C10</f>
        <v>236.645683453237</v>
      </c>
      <c r="E10" s="26" t="n">
        <v>18</v>
      </c>
      <c r="F10" s="26" t="n">
        <v>8</v>
      </c>
      <c r="G10" s="26" t="n">
        <v>0</v>
      </c>
      <c r="H10" s="28" t="s">
        <v>239</v>
      </c>
      <c r="I10" s="28" t="s">
        <v>151</v>
      </c>
      <c r="J10" s="28" t="n">
        <f aca="false">95/556</f>
        <v>0.170863309352518</v>
      </c>
      <c r="K10" s="46" t="n">
        <f aca="false">K$4*J10</f>
        <v>236.645683453237</v>
      </c>
      <c r="L10" s="28" t="n">
        <v>18</v>
      </c>
      <c r="M10" s="28" t="n">
        <v>8</v>
      </c>
      <c r="N10" s="28" t="n">
        <v>0</v>
      </c>
      <c r="O10" s="32" t="s">
        <v>240</v>
      </c>
      <c r="P10" s="32" t="s">
        <v>241</v>
      </c>
      <c r="Q10" s="32" t="n">
        <f aca="false">1/40</f>
        <v>0.025</v>
      </c>
      <c r="R10" s="43" t="n">
        <f aca="false">R$4*Q10</f>
        <v>16</v>
      </c>
      <c r="S10" s="32"/>
      <c r="T10" s="32"/>
      <c r="U10" s="32"/>
      <c r="V10" s="32"/>
      <c r="W10" s="35" t="s">
        <v>240</v>
      </c>
      <c r="X10" s="35" t="s">
        <v>242</v>
      </c>
      <c r="Y10" s="35" t="n">
        <f aca="false">9/278</f>
        <v>0.0323741007194245</v>
      </c>
      <c r="Z10" s="44" t="n">
        <f aca="false">Z$4*Y10</f>
        <v>9</v>
      </c>
      <c r="AA10" s="35"/>
      <c r="AB10" s="35"/>
      <c r="AC10" s="15" t="n">
        <f aca="false">K8+K14</f>
        <v>298.20914696814</v>
      </c>
      <c r="AF10" s="37" t="s">
        <v>240</v>
      </c>
      <c r="AG10" s="41" t="s">
        <v>234</v>
      </c>
      <c r="AH10" s="41" t="n">
        <f aca="false">1/46</f>
        <v>0.0217391304347826</v>
      </c>
      <c r="AI10" s="41" t="n">
        <f aca="false">AI$4*AH10</f>
        <v>0.5</v>
      </c>
      <c r="AJ10" s="37"/>
      <c r="AK10" s="37"/>
    </row>
    <row r="11" customFormat="false" ht="14.25" hidden="false" customHeight="false" outlineLevel="0" collapsed="false">
      <c r="A11" s="26" t="s">
        <v>243</v>
      </c>
      <c r="B11" s="26" t="s">
        <v>137</v>
      </c>
      <c r="C11" s="26" t="n">
        <f aca="false">36/973</f>
        <v>0.0369989722507708</v>
      </c>
      <c r="D11" s="45" t="n">
        <f aca="false">D$4*C11</f>
        <v>51.2435765673176</v>
      </c>
      <c r="E11" s="26" t="n">
        <v>23</v>
      </c>
      <c r="F11" s="26" t="n">
        <v>8</v>
      </c>
      <c r="G11" s="26" t="n">
        <v>0</v>
      </c>
      <c r="H11" s="28" t="s">
        <v>243</v>
      </c>
      <c r="I11" s="28" t="s">
        <v>137</v>
      </c>
      <c r="J11" s="28" t="n">
        <f aca="false">36/973</f>
        <v>0.0369989722507708</v>
      </c>
      <c r="K11" s="46" t="n">
        <f aca="false">K$4*J11</f>
        <v>51.2435765673176</v>
      </c>
      <c r="L11" s="28" t="n">
        <v>23</v>
      </c>
      <c r="M11" s="28" t="n">
        <v>8</v>
      </c>
      <c r="N11" s="28" t="n">
        <v>0</v>
      </c>
      <c r="O11" s="32" t="s">
        <v>244</v>
      </c>
      <c r="P11" s="32" t="s">
        <v>245</v>
      </c>
      <c r="Q11" s="32" t="n">
        <f aca="false">37/640</f>
        <v>0.0578125</v>
      </c>
      <c r="R11" s="43" t="n">
        <f aca="false">R$4*Q11</f>
        <v>37</v>
      </c>
      <c r="S11" s="32"/>
      <c r="T11" s="32"/>
      <c r="U11" s="32"/>
      <c r="V11" s="32"/>
      <c r="W11" s="35" t="s">
        <v>244</v>
      </c>
      <c r="X11" s="35" t="s">
        <v>246</v>
      </c>
      <c r="Y11" s="35" t="n">
        <f aca="false">7/139</f>
        <v>0.0503597122302158</v>
      </c>
      <c r="Z11" s="44" t="n">
        <f aca="false">Z$4*Y11</f>
        <v>14</v>
      </c>
      <c r="AA11" s="35"/>
      <c r="AB11" s="35"/>
      <c r="AC11" s="12" t="n">
        <f aca="false">AC10-AC8</f>
        <v>3.20914696813975</v>
      </c>
      <c r="AF11" s="37" t="s">
        <v>244</v>
      </c>
      <c r="AG11" s="41" t="s">
        <v>234</v>
      </c>
      <c r="AH11" s="41" t="n">
        <f aca="false">1/46</f>
        <v>0.0217391304347826</v>
      </c>
      <c r="AI11" s="41" t="n">
        <f aca="false">AI$4*AH11</f>
        <v>0.5</v>
      </c>
      <c r="AJ11" s="37"/>
      <c r="AK11" s="37"/>
    </row>
    <row r="12" customFormat="false" ht="14.25" hidden="false" customHeight="false" outlineLevel="0" collapsed="false">
      <c r="A12" s="26" t="s">
        <v>247</v>
      </c>
      <c r="B12" s="26" t="s">
        <v>141</v>
      </c>
      <c r="C12" s="26" t="n">
        <f aca="false">18/973</f>
        <v>0.0184994861253854</v>
      </c>
      <c r="D12" s="45" t="n">
        <f aca="false">D$4*C12</f>
        <v>25.6217882836588</v>
      </c>
      <c r="E12" s="26" t="n">
        <v>24</v>
      </c>
      <c r="F12" s="26" t="n">
        <v>8</v>
      </c>
      <c r="G12" s="26" t="n">
        <v>0</v>
      </c>
      <c r="H12" s="28" t="s">
        <v>247</v>
      </c>
      <c r="I12" s="28" t="s">
        <v>141</v>
      </c>
      <c r="J12" s="28" t="n">
        <f aca="false">18/973</f>
        <v>0.0184994861253854</v>
      </c>
      <c r="K12" s="46" t="n">
        <f aca="false">K$4*J12</f>
        <v>25.6217882836588</v>
      </c>
      <c r="L12" s="28" t="n">
        <v>24</v>
      </c>
      <c r="M12" s="28" t="n">
        <v>8</v>
      </c>
      <c r="N12" s="28" t="n">
        <v>0</v>
      </c>
      <c r="O12" s="32" t="s">
        <v>248</v>
      </c>
      <c r="P12" s="32" t="s">
        <v>249</v>
      </c>
      <c r="Q12" s="32" t="n">
        <f aca="false">89/640</f>
        <v>0.1390625</v>
      </c>
      <c r="R12" s="43" t="n">
        <f aca="false">R$4*Q12</f>
        <v>89</v>
      </c>
      <c r="S12" s="32"/>
      <c r="T12" s="32"/>
      <c r="U12" s="32"/>
      <c r="V12" s="32"/>
      <c r="W12" s="35" t="s">
        <v>248</v>
      </c>
      <c r="X12" s="35" t="s">
        <v>250</v>
      </c>
      <c r="Y12" s="35" t="n">
        <f aca="false">23/139</f>
        <v>0.165467625899281</v>
      </c>
      <c r="Z12" s="44" t="n">
        <f aca="false">Z$4*Y12</f>
        <v>46</v>
      </c>
      <c r="AA12" s="35"/>
      <c r="AB12" s="35"/>
      <c r="AF12" s="37" t="s">
        <v>248</v>
      </c>
      <c r="AG12" s="41" t="s">
        <v>251</v>
      </c>
      <c r="AH12" s="41" t="n">
        <f aca="false">3/46</f>
        <v>0.0652173913043478</v>
      </c>
      <c r="AI12" s="41" t="n">
        <f aca="false">AI$4*AH12</f>
        <v>1.5</v>
      </c>
      <c r="AJ12" s="37"/>
      <c r="AK12" s="37"/>
    </row>
    <row r="13" customFormat="false" ht="23.25" hidden="false" customHeight="false" outlineLevel="0" collapsed="false">
      <c r="A13" s="26" t="s">
        <v>252</v>
      </c>
      <c r="B13" s="26" t="s">
        <v>187</v>
      </c>
      <c r="C13" s="26" t="n">
        <f aca="false">96/973</f>
        <v>0.0986639260020555</v>
      </c>
      <c r="D13" s="45" t="n">
        <f aca="false">D$4*C13</f>
        <v>136.649537512847</v>
      </c>
      <c r="E13" s="27" t="n">
        <v>78</v>
      </c>
      <c r="F13" s="26"/>
      <c r="G13" s="26"/>
      <c r="H13" s="28" t="s">
        <v>248</v>
      </c>
      <c r="I13" s="28" t="s">
        <v>187</v>
      </c>
      <c r="J13" s="28" t="n">
        <f aca="false">96/973</f>
        <v>0.0986639260020555</v>
      </c>
      <c r="K13" s="46" t="n">
        <f aca="false">K$4*J13</f>
        <v>136.649537512847</v>
      </c>
      <c r="L13" s="29" t="n">
        <v>78</v>
      </c>
      <c r="M13" s="28"/>
      <c r="N13" s="28"/>
      <c r="O13" s="32" t="s">
        <v>253</v>
      </c>
      <c r="P13" s="32" t="s">
        <v>254</v>
      </c>
      <c r="Q13" s="32" t="n">
        <f aca="false">9/64</f>
        <v>0.140625</v>
      </c>
      <c r="R13" s="43" t="n">
        <f aca="false">R$4*Q13</f>
        <v>90</v>
      </c>
      <c r="S13" s="32"/>
      <c r="T13" s="32"/>
      <c r="U13" s="32"/>
      <c r="V13" s="32"/>
      <c r="W13" s="35" t="s">
        <v>253</v>
      </c>
      <c r="X13" s="35" t="n">
        <v>0</v>
      </c>
      <c r="Y13" s="35" t="n">
        <v>0</v>
      </c>
      <c r="Z13" s="44" t="n">
        <f aca="false">Z$4*Y13</f>
        <v>0</v>
      </c>
      <c r="AA13" s="35"/>
      <c r="AB13" s="35"/>
      <c r="AC13" s="12" t="n">
        <f aca="false">R12+Z12</f>
        <v>135</v>
      </c>
      <c r="AF13" s="37" t="s">
        <v>253</v>
      </c>
      <c r="AG13" s="41" t="s">
        <v>255</v>
      </c>
      <c r="AH13" s="41" t="n">
        <f aca="false">11/23</f>
        <v>0.478260869565217</v>
      </c>
      <c r="AI13" s="41" t="n">
        <f aca="false">AI$4*AH13</f>
        <v>11</v>
      </c>
      <c r="AJ13" s="37"/>
      <c r="AK13" s="37"/>
    </row>
    <row r="14" customFormat="false" ht="14.25" hidden="false" customHeight="false" outlineLevel="0" collapsed="false">
      <c r="A14" s="26" t="s">
        <v>256</v>
      </c>
      <c r="B14" s="26" t="s">
        <v>144</v>
      </c>
      <c r="C14" s="26" t="n">
        <f aca="false">557/3892</f>
        <v>0.14311408016444</v>
      </c>
      <c r="D14" s="45" t="n">
        <f aca="false">D$4*C14</f>
        <v>198.213001027749</v>
      </c>
      <c r="E14" s="26" t="n">
        <v>5</v>
      </c>
      <c r="F14" s="26" t="n">
        <v>7</v>
      </c>
      <c r="G14" s="26" t="n">
        <v>7</v>
      </c>
      <c r="H14" s="28" t="s">
        <v>257</v>
      </c>
      <c r="I14" s="28" t="s">
        <v>144</v>
      </c>
      <c r="J14" s="28" t="n">
        <f aca="false">557/3892</f>
        <v>0.14311408016444</v>
      </c>
      <c r="K14" s="46" t="n">
        <f aca="false">K$4*J14</f>
        <v>198.213001027749</v>
      </c>
      <c r="L14" s="28" t="n">
        <v>5</v>
      </c>
      <c r="M14" s="28" t="n">
        <v>7</v>
      </c>
      <c r="N14" s="28" t="n">
        <v>7</v>
      </c>
      <c r="O14" s="32" t="s">
        <v>202</v>
      </c>
      <c r="P14" s="32" t="s">
        <v>258</v>
      </c>
      <c r="Q14" s="32" t="n">
        <f aca="false">31/384</f>
        <v>0.0807291666666667</v>
      </c>
      <c r="R14" s="43" t="n">
        <f aca="false">R$4*Q14</f>
        <v>51.6666666666667</v>
      </c>
      <c r="S14" s="32"/>
      <c r="T14" s="32"/>
      <c r="U14" s="32"/>
      <c r="V14" s="32"/>
      <c r="W14" s="35" t="s">
        <v>202</v>
      </c>
      <c r="X14" s="35" t="s">
        <v>259</v>
      </c>
      <c r="Y14" s="35" t="n">
        <f aca="false">161/1668</f>
        <v>0.0965227817745803</v>
      </c>
      <c r="Z14" s="44" t="n">
        <f aca="false">Z$4*Y14</f>
        <v>26.8333333333333</v>
      </c>
      <c r="AA14" s="35"/>
      <c r="AB14" s="35"/>
      <c r="AC14" s="1" t="n">
        <v>136.65</v>
      </c>
      <c r="AF14" s="37" t="s">
        <v>202</v>
      </c>
      <c r="AG14" s="41" t="s">
        <v>260</v>
      </c>
      <c r="AH14" s="41" t="n">
        <f aca="false">5/138</f>
        <v>0.036231884057971</v>
      </c>
      <c r="AI14" s="41" t="n">
        <f aca="false">AI$4*AH14</f>
        <v>0.833333333333333</v>
      </c>
      <c r="AJ14" s="37"/>
      <c r="AK14" s="37"/>
    </row>
    <row r="15" customFormat="false" ht="14.25" hidden="false" customHeight="false" outlineLevel="0" collapsed="false">
      <c r="A15" s="26" t="s">
        <v>261</v>
      </c>
      <c r="B15" s="26" t="s">
        <v>262</v>
      </c>
      <c r="C15" s="26" t="n">
        <f aca="false">877/3892</f>
        <v>0.225334018499486</v>
      </c>
      <c r="D15" s="45" t="n">
        <f aca="false">D$4*C15</f>
        <v>312.087615621788</v>
      </c>
      <c r="E15" s="26" t="n">
        <v>6</v>
      </c>
      <c r="F15" s="26" t="n">
        <v>8</v>
      </c>
      <c r="G15" s="26" t="n">
        <v>0</v>
      </c>
      <c r="H15" s="28" t="s">
        <v>263</v>
      </c>
      <c r="I15" s="28" t="s">
        <v>149</v>
      </c>
      <c r="J15" s="28" t="n">
        <f aca="false">877/3892</f>
        <v>0.225334018499486</v>
      </c>
      <c r="K15" s="46" t="n">
        <f aca="false">K$4*J15</f>
        <v>312.087615621788</v>
      </c>
      <c r="L15" s="28" t="n">
        <v>6</v>
      </c>
      <c r="M15" s="28" t="n">
        <v>8</v>
      </c>
      <c r="N15" s="28" t="n">
        <v>0</v>
      </c>
      <c r="O15" s="32" t="s">
        <v>264</v>
      </c>
      <c r="P15" s="32" t="s">
        <v>265</v>
      </c>
      <c r="Q15" s="32" t="n">
        <f aca="false">23/640</f>
        <v>0.0359375</v>
      </c>
      <c r="R15" s="43" t="n">
        <f aca="false">R$4*Q15</f>
        <v>23</v>
      </c>
      <c r="S15" s="32"/>
      <c r="T15" s="32"/>
      <c r="U15" s="32"/>
      <c r="V15" s="32"/>
      <c r="W15" s="35" t="s">
        <v>264</v>
      </c>
      <c r="X15" s="35" t="s">
        <v>266</v>
      </c>
      <c r="Y15" s="35" t="n">
        <f aca="false">25/556</f>
        <v>0.0449640287769784</v>
      </c>
      <c r="Z15" s="44" t="n">
        <f aca="false">Z$4*Y15</f>
        <v>12.5</v>
      </c>
      <c r="AA15" s="35"/>
      <c r="AB15" s="35"/>
      <c r="AC15" s="12" t="n">
        <f aca="false">AC14-AC13</f>
        <v>1.65000000000001</v>
      </c>
      <c r="AF15" s="37" t="s">
        <v>264</v>
      </c>
      <c r="AG15" s="41" t="s">
        <v>234</v>
      </c>
      <c r="AH15" s="41" t="n">
        <f aca="false">1/46</f>
        <v>0.0217391304347826</v>
      </c>
      <c r="AI15" s="41" t="n">
        <f aca="false">AI$4*AH15</f>
        <v>0.5</v>
      </c>
      <c r="AJ15" s="37"/>
      <c r="AK15" s="37"/>
    </row>
    <row r="16" customFormat="false" ht="14.25" hidden="false" customHeight="false" outlineLevel="0" collapsed="false">
      <c r="A16" s="26"/>
      <c r="B16" s="26"/>
      <c r="C16" s="26"/>
      <c r="D16" s="45"/>
      <c r="E16" s="26" t="s">
        <v>267</v>
      </c>
      <c r="F16" s="26" t="n">
        <v>0</v>
      </c>
      <c r="G16" s="26" t="n">
        <v>5</v>
      </c>
      <c r="H16" s="28" t="s">
        <v>154</v>
      </c>
      <c r="I16" s="28" t="s">
        <v>154</v>
      </c>
      <c r="J16" s="28" t="n">
        <v>0</v>
      </c>
      <c r="K16" s="46" t="n">
        <f aca="false">K$4*J16</f>
        <v>0</v>
      </c>
      <c r="L16" s="28" t="s">
        <v>267</v>
      </c>
      <c r="M16" s="28" t="n">
        <v>0</v>
      </c>
      <c r="N16" s="28" t="n">
        <v>5</v>
      </c>
      <c r="O16" s="32"/>
      <c r="P16" s="32"/>
      <c r="Q16" s="47" t="n">
        <f aca="false">SUM(Q5:Q15)</f>
        <v>1</v>
      </c>
      <c r="R16" s="47" t="n">
        <f aca="false">SUM(R5:R15)</f>
        <v>640</v>
      </c>
      <c r="S16" s="32" t="s">
        <v>154</v>
      </c>
      <c r="T16" s="32" t="n">
        <v>32</v>
      </c>
      <c r="U16" s="32" t="n">
        <v>0</v>
      </c>
      <c r="V16" s="32"/>
      <c r="W16" s="35"/>
      <c r="X16" s="35"/>
      <c r="Y16" s="48" t="n">
        <f aca="false">SUM(Y5:Y15)</f>
        <v>1</v>
      </c>
      <c r="Z16" s="48" t="n">
        <f aca="false">SUM(Z5:Z15)</f>
        <v>278</v>
      </c>
      <c r="AA16" s="35" t="n">
        <f aca="false">Z16/20</f>
        <v>13.9</v>
      </c>
      <c r="AB16" s="35"/>
      <c r="AF16" s="37" t="s">
        <v>263</v>
      </c>
      <c r="AG16" s="41" t="s">
        <v>268</v>
      </c>
      <c r="AH16" s="41" t="n">
        <f aca="false">4/23</f>
        <v>0.173913043478261</v>
      </c>
      <c r="AI16" s="41" t="n">
        <f aca="false">AI$4*AH16</f>
        <v>4</v>
      </c>
      <c r="AJ16" s="37" t="n">
        <f aca="false">AI16/20</f>
        <v>0.2</v>
      </c>
      <c r="AK16" s="37"/>
    </row>
    <row r="17" customFormat="false" ht="14.25" hidden="false" customHeight="false" outlineLevel="0" collapsed="false">
      <c r="A17" s="26"/>
      <c r="B17" s="26"/>
      <c r="C17" s="49" t="n">
        <f aca="false">SUM(C6:C16)</f>
        <v>1</v>
      </c>
      <c r="D17" s="49" t="n">
        <f aca="false">SUM(D6:D16)</f>
        <v>1385</v>
      </c>
      <c r="E17" s="26" t="s">
        <v>267</v>
      </c>
      <c r="F17" s="26" t="n">
        <v>7</v>
      </c>
      <c r="G17" s="26" t="n">
        <v>15</v>
      </c>
      <c r="H17" s="28"/>
      <c r="I17" s="28"/>
      <c r="J17" s="50" t="n">
        <f aca="false">SUM(J6:J16)</f>
        <v>1</v>
      </c>
      <c r="K17" s="50" t="n">
        <f aca="false">SUM(K6:K16)</f>
        <v>1385</v>
      </c>
      <c r="L17" s="28" t="s">
        <v>267</v>
      </c>
      <c r="M17" s="28" t="n">
        <v>7</v>
      </c>
      <c r="N17" s="28" t="n">
        <v>15</v>
      </c>
      <c r="O17" s="32"/>
      <c r="P17" s="32"/>
      <c r="Q17" s="32"/>
      <c r="R17" s="32"/>
      <c r="S17" s="43" t="s">
        <v>154</v>
      </c>
      <c r="T17" s="32"/>
      <c r="U17" s="43" t="n">
        <f aca="false">R7+R6+R5+R14+R15+R9</f>
        <v>327</v>
      </c>
      <c r="V17" s="32" t="n">
        <v>0</v>
      </c>
      <c r="W17" s="35"/>
      <c r="X17" s="35"/>
      <c r="Y17" s="35"/>
      <c r="Z17" s="35"/>
      <c r="AA17" s="35"/>
      <c r="AB17" s="35"/>
      <c r="AC17" s="12" t="n">
        <f aca="false">R8+Z8</f>
        <v>122</v>
      </c>
      <c r="AF17" s="37"/>
      <c r="AG17" s="37"/>
      <c r="AH17" s="51" t="n">
        <f aca="false">SUM(AH5:AH16)</f>
        <v>1</v>
      </c>
      <c r="AI17" s="51" t="n">
        <f aca="false">SUM(AI5:AI16)</f>
        <v>23</v>
      </c>
      <c r="AJ17" s="37"/>
      <c r="AK17" s="37"/>
    </row>
    <row r="18" customFormat="false" ht="14.25" hidden="false" customHeight="false" outlineLevel="0" collapsed="false">
      <c r="A18" s="26"/>
      <c r="B18" s="26"/>
      <c r="C18" s="26"/>
      <c r="D18" s="26"/>
      <c r="E18" s="26"/>
      <c r="F18" s="38" t="n">
        <f aca="false">SUM(F4:F17)</f>
        <v>66</v>
      </c>
      <c r="G18" s="38" t="n">
        <f aca="false">SUM(G4:G17)</f>
        <v>65</v>
      </c>
      <c r="H18" s="28"/>
      <c r="I18" s="28"/>
      <c r="J18" s="28"/>
      <c r="K18" s="28"/>
      <c r="L18" s="28"/>
      <c r="M18" s="39" t="n">
        <f aca="false">SUM(M4:M17)</f>
        <v>66</v>
      </c>
      <c r="N18" s="39" t="n">
        <f aca="false">SUM(N4:N17)</f>
        <v>65</v>
      </c>
      <c r="O18" s="32"/>
      <c r="P18" s="32" t="n">
        <f aca="false">97*4+97*4+979</f>
        <v>1755</v>
      </c>
      <c r="Q18" s="32" t="s">
        <v>269</v>
      </c>
      <c r="R18" s="32" t="n">
        <f aca="false">1755/5760</f>
        <v>0.3046875</v>
      </c>
      <c r="S18" s="32"/>
      <c r="T18" s="32"/>
      <c r="U18" s="32" t="n">
        <f aca="false">U17/20</f>
        <v>16.35</v>
      </c>
      <c r="V18" s="32"/>
      <c r="W18" s="35"/>
      <c r="X18" s="35"/>
      <c r="Y18" s="35"/>
      <c r="Z18" s="35"/>
      <c r="AA18" s="35"/>
      <c r="AB18" s="35"/>
      <c r="AF18" s="37"/>
      <c r="AG18" s="37"/>
      <c r="AH18" s="41"/>
      <c r="AI18" s="37"/>
      <c r="AJ18" s="37"/>
      <c r="AK18" s="37"/>
    </row>
    <row r="19" customFormat="false" ht="14.25" hidden="false" customHeight="false" outlineLevel="0" collapsed="false">
      <c r="A19" s="26"/>
      <c r="B19" s="26" t="n">
        <f aca="false">97*4+97*4+979</f>
        <v>1755</v>
      </c>
      <c r="C19" s="26" t="s">
        <v>269</v>
      </c>
      <c r="D19" s="26" t="n">
        <f aca="false">1755/5760</f>
        <v>0.3046875</v>
      </c>
      <c r="E19" s="26"/>
      <c r="F19" s="38" t="n">
        <v>69</v>
      </c>
      <c r="G19" s="38" t="n">
        <v>5</v>
      </c>
      <c r="H19" s="28"/>
      <c r="I19" s="28" t="n">
        <f aca="false">97*4+97*4+979</f>
        <v>1755</v>
      </c>
      <c r="J19" s="28" t="s">
        <v>269</v>
      </c>
      <c r="K19" s="28" t="n">
        <f aca="false">1755/5760</f>
        <v>0.3046875</v>
      </c>
      <c r="L19" s="28"/>
      <c r="M19" s="39" t="n">
        <v>69</v>
      </c>
      <c r="N19" s="39" t="n">
        <v>5</v>
      </c>
      <c r="O19" s="32"/>
      <c r="P19" s="32"/>
      <c r="Q19" s="32" t="s">
        <v>144</v>
      </c>
      <c r="R19" s="32"/>
      <c r="S19" s="32"/>
      <c r="T19" s="32"/>
      <c r="U19" s="32"/>
      <c r="V19" s="32"/>
      <c r="W19" s="35"/>
      <c r="X19" s="35"/>
      <c r="Y19" s="35"/>
      <c r="Z19" s="35"/>
      <c r="AA19" s="35"/>
      <c r="AB19" s="35"/>
      <c r="AF19" s="37"/>
      <c r="AG19" s="37"/>
      <c r="AH19" s="41" t="n">
        <f aca="false">R5+Z5+AI5</f>
        <v>66</v>
      </c>
      <c r="AI19" s="37"/>
      <c r="AJ19" s="37"/>
      <c r="AK19" s="37"/>
    </row>
    <row r="20" customFormat="false" ht="14.25" hidden="false" customHeight="false" outlineLevel="0" collapsed="false">
      <c r="A20" s="26"/>
      <c r="B20" s="26"/>
      <c r="C20" s="26" t="s">
        <v>144</v>
      </c>
      <c r="D20" s="26"/>
      <c r="E20" s="26"/>
      <c r="F20" s="26"/>
      <c r="G20" s="26"/>
      <c r="H20" s="28"/>
      <c r="I20" s="28"/>
      <c r="J20" s="28" t="s">
        <v>144</v>
      </c>
      <c r="K20" s="28"/>
      <c r="L20" s="28"/>
      <c r="M20" s="28"/>
      <c r="N20" s="28"/>
      <c r="O20" s="30" t="s">
        <v>173</v>
      </c>
      <c r="P20" s="30"/>
      <c r="Q20" s="32" t="s">
        <v>147</v>
      </c>
      <c r="R20" s="32"/>
      <c r="S20" s="43" t="n">
        <f aca="false">R11+R10</f>
        <v>53</v>
      </c>
      <c r="T20" s="32"/>
      <c r="U20" s="32"/>
      <c r="V20" s="32"/>
      <c r="W20" s="33"/>
      <c r="X20" s="33"/>
      <c r="Y20" s="33"/>
      <c r="Z20" s="35"/>
      <c r="AA20" s="35"/>
      <c r="AB20" s="35"/>
      <c r="AF20" s="36"/>
      <c r="AG20" s="36"/>
      <c r="AH20" s="51"/>
      <c r="AI20" s="37"/>
      <c r="AJ20" s="37"/>
      <c r="AK20" s="37"/>
    </row>
    <row r="21" customFormat="false" ht="21" hidden="false" customHeight="false" outlineLevel="0" collapsed="false">
      <c r="A21" s="38" t="s">
        <v>173</v>
      </c>
      <c r="B21" s="38"/>
      <c r="C21" s="26" t="s">
        <v>147</v>
      </c>
      <c r="D21" s="26"/>
      <c r="E21" s="26"/>
      <c r="F21" s="26"/>
      <c r="G21" s="26"/>
      <c r="H21" s="39" t="s">
        <v>173</v>
      </c>
      <c r="I21" s="39"/>
      <c r="J21" s="28" t="s">
        <v>147</v>
      </c>
      <c r="K21" s="28"/>
      <c r="L21" s="28"/>
      <c r="M21" s="28"/>
      <c r="N21" s="28"/>
      <c r="O21" s="32"/>
      <c r="P21" s="32" t="n">
        <f aca="false">557+281</f>
        <v>838</v>
      </c>
      <c r="Q21" s="32" t="s">
        <v>270</v>
      </c>
      <c r="R21" s="32" t="n">
        <f aca="false">838/3892</f>
        <v>0.215313463514902</v>
      </c>
      <c r="S21" s="32"/>
      <c r="T21" s="43" t="n">
        <f aca="false">R7+R6+R5</f>
        <v>195</v>
      </c>
      <c r="U21" s="43" t="n">
        <f aca="false">R9+R15</f>
        <v>80.3333333333333</v>
      </c>
      <c r="V21" s="32"/>
      <c r="W21" s="35"/>
      <c r="X21" s="35"/>
      <c r="Y21" s="35"/>
      <c r="Z21" s="33"/>
      <c r="AA21" s="33"/>
      <c r="AB21" s="35"/>
      <c r="AC21" s="52" t="n">
        <v>78</v>
      </c>
      <c r="AF21" s="37"/>
      <c r="AG21" s="37"/>
      <c r="AH21" s="41"/>
      <c r="AI21" s="36"/>
      <c r="AJ21" s="36"/>
      <c r="AK21" s="42"/>
    </row>
    <row r="22" customFormat="false" ht="44" hidden="false" customHeight="true" outlineLevel="0" collapsed="false">
      <c r="R22" s="12"/>
      <c r="S22" s="12"/>
      <c r="Z22" s="12"/>
      <c r="AC22" s="1" t="s">
        <v>271</v>
      </c>
      <c r="AD22" s="12" t="n">
        <v>2.9</v>
      </c>
      <c r="AG22" s="12"/>
      <c r="AI22" s="12"/>
      <c r="AL22" s="12"/>
      <c r="AN22" s="12" t="n">
        <f aca="false">R22+AH22</f>
        <v>0</v>
      </c>
    </row>
    <row r="23" customFormat="false" ht="21" hidden="false" customHeight="false" outlineLevel="0" collapsed="false">
      <c r="A23" s="36" t="s">
        <v>0</v>
      </c>
      <c r="B23" s="36"/>
      <c r="C23" s="53" t="n">
        <v>490</v>
      </c>
      <c r="D23" s="37"/>
      <c r="E23" s="37"/>
      <c r="F23" s="37"/>
      <c r="G23" s="41"/>
      <c r="H23" s="2" t="s">
        <v>0</v>
      </c>
      <c r="I23" s="2"/>
      <c r="J23" s="3" t="n">
        <v>491</v>
      </c>
      <c r="K23" s="5"/>
      <c r="L23" s="5"/>
      <c r="M23" s="5"/>
      <c r="N23" s="5"/>
      <c r="O23" s="54"/>
      <c r="P23" s="54"/>
      <c r="Q23" s="54"/>
      <c r="R23" s="55"/>
      <c r="S23" s="3" t="n">
        <v>492</v>
      </c>
      <c r="T23" s="54"/>
      <c r="U23" s="54"/>
      <c r="V23" s="54"/>
      <c r="W23" s="2" t="s">
        <v>0</v>
      </c>
      <c r="X23" s="3" t="n">
        <v>496</v>
      </c>
      <c r="Y23" s="4"/>
      <c r="Z23" s="5"/>
      <c r="AA23" s="5"/>
      <c r="AB23" s="5"/>
      <c r="AI23" s="12"/>
      <c r="AK23" s="52"/>
      <c r="AL23" s="12"/>
    </row>
    <row r="24" customFormat="false" ht="21" hidden="false" customHeight="false" outlineLevel="0" collapsed="false">
      <c r="A24" s="37"/>
      <c r="B24" s="37"/>
      <c r="C24" s="37"/>
      <c r="D24" s="36" t="n">
        <v>614</v>
      </c>
      <c r="E24" s="36" t="s">
        <v>3</v>
      </c>
      <c r="F24" s="37"/>
      <c r="G24" s="41"/>
      <c r="H24" s="5"/>
      <c r="I24" s="5"/>
      <c r="J24" s="6"/>
      <c r="K24" s="2" t="n">
        <f aca="false">100*20+18</f>
        <v>2018</v>
      </c>
      <c r="L24" s="2" t="s">
        <v>3</v>
      </c>
      <c r="M24" s="56" t="s">
        <v>154</v>
      </c>
      <c r="N24" s="5"/>
      <c r="O24" s="54"/>
      <c r="P24" s="54"/>
      <c r="Q24" s="55"/>
      <c r="R24" s="57" t="n">
        <v>112</v>
      </c>
      <c r="S24" s="57" t="s">
        <v>3</v>
      </c>
      <c r="T24" s="58" t="s">
        <v>154</v>
      </c>
      <c r="U24" s="54"/>
      <c r="V24" s="54"/>
      <c r="W24" s="5"/>
      <c r="X24" s="5"/>
      <c r="Y24" s="5"/>
      <c r="Z24" s="2" t="n">
        <f aca="false">99*20</f>
        <v>1980</v>
      </c>
      <c r="AA24" s="2" t="s">
        <v>3</v>
      </c>
      <c r="AB24" s="5"/>
      <c r="AC24" s="52" t="s">
        <v>272</v>
      </c>
      <c r="AD24" s="59" t="n">
        <v>496</v>
      </c>
      <c r="AE24" s="60" t="n">
        <v>761</v>
      </c>
      <c r="AF24" s="60" t="s">
        <v>273</v>
      </c>
      <c r="AG24" s="60"/>
      <c r="AH24" s="61" t="s">
        <v>274</v>
      </c>
      <c r="AI24" s="62" t="s">
        <v>275</v>
      </c>
      <c r="AJ24" s="1" t="n">
        <v>1</v>
      </c>
      <c r="AL24" s="12"/>
    </row>
    <row r="25" customFormat="false" ht="19.7" hidden="false" customHeight="false" outlineLevel="0" collapsed="false">
      <c r="A25" s="37" t="s">
        <v>93</v>
      </c>
      <c r="B25" s="37" t="s">
        <v>276</v>
      </c>
      <c r="C25" s="37" t="n">
        <f aca="false">1/12</f>
        <v>0.0833333333333333</v>
      </c>
      <c r="D25" s="41" t="n">
        <f aca="false">D$24*C25</f>
        <v>51.1666666666667</v>
      </c>
      <c r="E25" s="37"/>
      <c r="F25" s="37"/>
      <c r="G25" s="37"/>
      <c r="H25" s="5" t="s">
        <v>93</v>
      </c>
      <c r="I25" s="6" t="s">
        <v>277</v>
      </c>
      <c r="J25" s="6" t="n">
        <f aca="false">353/19170</f>
        <v>0.0184141888367241</v>
      </c>
      <c r="K25" s="6" t="n">
        <f aca="false">K$24*J25</f>
        <v>37.1598330725091</v>
      </c>
      <c r="L25" s="5"/>
      <c r="M25" s="5" t="n">
        <v>232</v>
      </c>
      <c r="N25" s="6" t="n">
        <v>0.3</v>
      </c>
      <c r="O25" s="54" t="s">
        <v>93</v>
      </c>
      <c r="P25" s="54" t="s">
        <v>277</v>
      </c>
      <c r="Q25" s="54" t="n">
        <f aca="false">353/19170</f>
        <v>0.0184141888367241</v>
      </c>
      <c r="R25" s="55" t="n">
        <f aca="false">R$24*Q25</f>
        <v>2.06238914971309</v>
      </c>
      <c r="S25" s="54"/>
      <c r="T25" s="58" t="n">
        <v>142</v>
      </c>
      <c r="U25" s="55" t="s">
        <v>154</v>
      </c>
      <c r="V25" s="54"/>
      <c r="W25" s="5" t="s">
        <v>93</v>
      </c>
      <c r="X25" s="5" t="s">
        <v>278</v>
      </c>
      <c r="Y25" s="5" t="n">
        <f aca="false">7/198</f>
        <v>0.0353535353535354</v>
      </c>
      <c r="Z25" s="6" t="n">
        <f aca="false">Z$24*Y25</f>
        <v>70</v>
      </c>
      <c r="AA25" s="5"/>
      <c r="AB25" s="5"/>
      <c r="AC25" s="1" t="s">
        <v>279</v>
      </c>
      <c r="AD25" s="63" t="n">
        <v>496</v>
      </c>
      <c r="AE25" s="64" t="n">
        <v>761</v>
      </c>
      <c r="AF25" s="64" t="s">
        <v>280</v>
      </c>
      <c r="AG25" s="64"/>
      <c r="AH25" s="65" t="s">
        <v>274</v>
      </c>
      <c r="AI25" s="66" t="s">
        <v>281</v>
      </c>
      <c r="AK25" s="1" t="n">
        <v>3</v>
      </c>
      <c r="AL25" s="12"/>
    </row>
    <row r="26" customFormat="false" ht="26.1" hidden="false" customHeight="false" outlineLevel="0" collapsed="false">
      <c r="A26" s="37" t="s">
        <v>222</v>
      </c>
      <c r="B26" s="37" t="s">
        <v>276</v>
      </c>
      <c r="C26" s="37" t="n">
        <f aca="false">1/12</f>
        <v>0.0833333333333333</v>
      </c>
      <c r="D26" s="41" t="n">
        <f aca="false">D$24*C26</f>
        <v>51.1666666666667</v>
      </c>
      <c r="E26" s="37"/>
      <c r="F26" s="37"/>
      <c r="G26" s="51"/>
      <c r="H26" s="5" t="s">
        <v>222</v>
      </c>
      <c r="I26" s="6" t="s">
        <v>277</v>
      </c>
      <c r="J26" s="6" t="n">
        <f aca="false">353/19170</f>
        <v>0.0184141888367241</v>
      </c>
      <c r="K26" s="6" t="n">
        <f aca="false">K$24*J26</f>
        <v>37.1598330725091</v>
      </c>
      <c r="L26" s="5"/>
      <c r="M26" s="56" t="n">
        <v>299</v>
      </c>
      <c r="N26" s="6" t="n">
        <v>0.6</v>
      </c>
      <c r="O26" s="54" t="s">
        <v>222</v>
      </c>
      <c r="P26" s="54" t="s">
        <v>277</v>
      </c>
      <c r="Q26" s="54" t="n">
        <f aca="false">353/19170</f>
        <v>0.0184141888367241</v>
      </c>
      <c r="R26" s="55" t="n">
        <f aca="false">R$24*Q26</f>
        <v>2.06238914971309</v>
      </c>
      <c r="S26" s="54"/>
      <c r="T26" s="54" t="s">
        <v>282</v>
      </c>
      <c r="U26" s="55" t="n">
        <v>5.12</v>
      </c>
      <c r="V26" s="54"/>
      <c r="W26" s="5" t="s">
        <v>283</v>
      </c>
      <c r="X26" s="5" t="s">
        <v>278</v>
      </c>
      <c r="Y26" s="5" t="n">
        <f aca="false">7/198</f>
        <v>0.0353535353535354</v>
      </c>
      <c r="Z26" s="6" t="n">
        <f aca="false">Z$24*Y26</f>
        <v>70</v>
      </c>
      <c r="AA26" s="5"/>
      <c r="AB26" s="5"/>
      <c r="AC26" s="1" t="s">
        <v>272</v>
      </c>
      <c r="AD26" s="59" t="n">
        <v>496</v>
      </c>
      <c r="AE26" s="60" t="n">
        <v>762</v>
      </c>
      <c r="AF26" s="60" t="s">
        <v>284</v>
      </c>
      <c r="AG26" s="61" t="s">
        <v>285</v>
      </c>
      <c r="AH26" s="61" t="s">
        <v>286</v>
      </c>
      <c r="AI26" s="67" t="s">
        <v>287</v>
      </c>
      <c r="AK26" s="52" t="n">
        <v>5</v>
      </c>
      <c r="AL26" s="12"/>
    </row>
    <row r="27" customFormat="false" ht="26.1" hidden="false" customHeight="false" outlineLevel="0" collapsed="false">
      <c r="A27" s="37" t="s">
        <v>227</v>
      </c>
      <c r="B27" s="37" t="s">
        <v>288</v>
      </c>
      <c r="C27" s="37" t="n">
        <f aca="false">1/48</f>
        <v>0.0208333333333333</v>
      </c>
      <c r="D27" s="41" t="n">
        <f aca="false">D$24*C27</f>
        <v>12.7916666666667</v>
      </c>
      <c r="E27" s="37"/>
      <c r="F27" s="37"/>
      <c r="G27" s="37"/>
      <c r="H27" s="5" t="s">
        <v>227</v>
      </c>
      <c r="I27" s="5" t="s">
        <v>289</v>
      </c>
      <c r="J27" s="5" t="n">
        <f aca="false">1829/19170</f>
        <v>0.0954094940010433</v>
      </c>
      <c r="K27" s="6" t="n">
        <f aca="false">K$24*J27</f>
        <v>192.536358894105</v>
      </c>
      <c r="L27" s="5"/>
      <c r="M27" s="5" t="n">
        <v>490</v>
      </c>
      <c r="N27" s="6" t="n">
        <v>0.3</v>
      </c>
      <c r="O27" s="54" t="s">
        <v>208</v>
      </c>
      <c r="P27" s="5" t="s">
        <v>289</v>
      </c>
      <c r="Q27" s="5" t="n">
        <f aca="false">1829/19170</f>
        <v>0.0954094940010433</v>
      </c>
      <c r="R27" s="55" t="n">
        <f aca="false">R$24*Q27</f>
        <v>10.6858633281169</v>
      </c>
      <c r="S27" s="54"/>
      <c r="T27" s="54" t="s">
        <v>154</v>
      </c>
      <c r="U27" s="55" t="s">
        <v>154</v>
      </c>
      <c r="V27" s="54"/>
      <c r="W27" s="5" t="s">
        <v>227</v>
      </c>
      <c r="X27" s="5" t="s">
        <v>290</v>
      </c>
      <c r="Y27" s="5" t="n">
        <f aca="false">79/1980</f>
        <v>0.0398989898989899</v>
      </c>
      <c r="Z27" s="6" t="n">
        <f aca="false">Z$24*Y27</f>
        <v>79</v>
      </c>
      <c r="AA27" s="5"/>
      <c r="AB27" s="5"/>
      <c r="AC27" s="1" t="s">
        <v>291</v>
      </c>
      <c r="AD27" s="68" t="n">
        <v>496</v>
      </c>
      <c r="AE27" s="69" t="n">
        <v>762</v>
      </c>
      <c r="AF27" s="69" t="s">
        <v>292</v>
      </c>
      <c r="AG27" s="70" t="s">
        <v>285</v>
      </c>
      <c r="AH27" s="70" t="s">
        <v>286</v>
      </c>
      <c r="AI27" s="71" t="s">
        <v>293</v>
      </c>
      <c r="AJ27" s="1" t="n">
        <v>6</v>
      </c>
      <c r="AL27" s="12"/>
    </row>
    <row r="28" customFormat="false" ht="26.1" hidden="false" customHeight="false" outlineLevel="0" collapsed="false">
      <c r="A28" s="37" t="s">
        <v>294</v>
      </c>
      <c r="B28" s="37" t="s">
        <v>295</v>
      </c>
      <c r="C28" s="37" t="n">
        <f aca="false">1/16</f>
        <v>0.0625</v>
      </c>
      <c r="D28" s="41" t="n">
        <f aca="false">D$24*C28</f>
        <v>38.375</v>
      </c>
      <c r="E28" s="41" t="n">
        <f aca="false">D28+D26+D25</f>
        <v>140.708333333333</v>
      </c>
      <c r="F28" s="37"/>
      <c r="G28" s="37"/>
      <c r="H28" s="5" t="s">
        <v>294</v>
      </c>
      <c r="I28" s="5"/>
      <c r="J28" s="6"/>
      <c r="K28" s="6" t="n">
        <f aca="false">K$24*J28</f>
        <v>0</v>
      </c>
      <c r="L28" s="5"/>
      <c r="M28" s="5"/>
      <c r="N28" s="6"/>
      <c r="O28" s="54" t="s">
        <v>294</v>
      </c>
      <c r="P28" s="54"/>
      <c r="Q28" s="55"/>
      <c r="R28" s="55" t="n">
        <f aca="false">R$24*Q28</f>
        <v>0</v>
      </c>
      <c r="S28" s="54"/>
      <c r="T28" s="54"/>
      <c r="U28" s="55"/>
      <c r="V28" s="54"/>
      <c r="W28" s="5" t="s">
        <v>294</v>
      </c>
      <c r="X28" s="5" t="s">
        <v>296</v>
      </c>
      <c r="Y28" s="5" t="n">
        <f aca="false">19/220</f>
        <v>0.0863636363636364</v>
      </c>
      <c r="Z28" s="6" t="n">
        <f aca="false">Z$24*Y28</f>
        <v>171</v>
      </c>
      <c r="AA28" s="5"/>
      <c r="AB28" s="5"/>
      <c r="AC28" s="72" t="s">
        <v>297</v>
      </c>
      <c r="AD28" s="68" t="n">
        <v>496</v>
      </c>
      <c r="AE28" s="69" t="n">
        <v>762</v>
      </c>
      <c r="AF28" s="69" t="s">
        <v>298</v>
      </c>
      <c r="AG28" s="70" t="s">
        <v>285</v>
      </c>
      <c r="AH28" s="70" t="s">
        <v>286</v>
      </c>
      <c r="AI28" s="73" t="s">
        <v>299</v>
      </c>
      <c r="AJ28" s="1" t="n">
        <v>1</v>
      </c>
      <c r="AK28" s="1" t="n">
        <v>15</v>
      </c>
      <c r="AL28" s="12"/>
    </row>
    <row r="29" customFormat="false" ht="26.1" hidden="false" customHeight="false" outlineLevel="0" collapsed="false">
      <c r="A29" s="37" t="s">
        <v>300</v>
      </c>
      <c r="B29" s="37" t="s">
        <v>301</v>
      </c>
      <c r="C29" s="37" t="n">
        <f aca="false">1/4</f>
        <v>0.25</v>
      </c>
      <c r="D29" s="41" t="n">
        <f aca="false">D$24*C29</f>
        <v>153.5</v>
      </c>
      <c r="E29" s="37"/>
      <c r="F29" s="37"/>
      <c r="G29" s="37"/>
      <c r="H29" s="5" t="s">
        <v>300</v>
      </c>
      <c r="I29" s="5"/>
      <c r="J29" s="6"/>
      <c r="K29" s="6" t="n">
        <f aca="false">K$24*J29</f>
        <v>0</v>
      </c>
      <c r="L29" s="5"/>
      <c r="M29" s="56"/>
      <c r="N29" s="6"/>
      <c r="O29" s="54" t="s">
        <v>300</v>
      </c>
      <c r="P29" s="54"/>
      <c r="Q29" s="55"/>
      <c r="R29" s="55" t="n">
        <f aca="false">R$24*Q29</f>
        <v>0</v>
      </c>
      <c r="S29" s="54"/>
      <c r="T29" s="58"/>
      <c r="U29" s="55"/>
      <c r="V29" s="54"/>
      <c r="W29" s="5" t="s">
        <v>300</v>
      </c>
      <c r="X29" s="5" t="s">
        <v>302</v>
      </c>
      <c r="Y29" s="5" t="n">
        <f aca="false">3/99</f>
        <v>0.0303030303030303</v>
      </c>
      <c r="Z29" s="6" t="n">
        <f aca="false">Z$24*Y29</f>
        <v>60</v>
      </c>
      <c r="AA29" s="5"/>
      <c r="AB29" s="5"/>
      <c r="AC29" s="52" t="n">
        <f aca="false">99*20</f>
        <v>1980</v>
      </c>
      <c r="AD29" s="68" t="n">
        <v>496</v>
      </c>
      <c r="AE29" s="69" t="n">
        <v>762</v>
      </c>
      <c r="AF29" s="69" t="s">
        <v>303</v>
      </c>
      <c r="AG29" s="70" t="s">
        <v>285</v>
      </c>
      <c r="AH29" s="70" t="s">
        <v>286</v>
      </c>
      <c r="AI29" s="71" t="s">
        <v>304</v>
      </c>
      <c r="AK29" s="1" t="n">
        <v>8</v>
      </c>
      <c r="AL29" s="15"/>
    </row>
    <row r="30" customFormat="false" ht="15" hidden="false" customHeight="false" outlineLevel="0" collapsed="false">
      <c r="A30" s="37" t="s">
        <v>202</v>
      </c>
      <c r="B30" s="37" t="s">
        <v>305</v>
      </c>
      <c r="C30" s="37" t="n">
        <f aca="false">3/8</f>
        <v>0.375</v>
      </c>
      <c r="D30" s="41" t="n">
        <f aca="false">D$24*C30</f>
        <v>230.25</v>
      </c>
      <c r="E30" s="37"/>
      <c r="F30" s="37"/>
      <c r="G30" s="37"/>
      <c r="H30" s="5" t="s">
        <v>93</v>
      </c>
      <c r="I30" s="5"/>
      <c r="J30" s="6"/>
      <c r="K30" s="6" t="n">
        <f aca="false">K$24*J30</f>
        <v>0</v>
      </c>
      <c r="L30" s="5"/>
      <c r="M30" s="5"/>
      <c r="N30" s="6"/>
      <c r="O30" s="54" t="s">
        <v>93</v>
      </c>
      <c r="P30" s="54"/>
      <c r="Q30" s="55"/>
      <c r="R30" s="55" t="n">
        <f aca="false">R$24*Q30</f>
        <v>0</v>
      </c>
      <c r="S30" s="54"/>
      <c r="T30" s="54"/>
      <c r="U30" s="55"/>
      <c r="V30" s="54"/>
      <c r="W30" s="5" t="s">
        <v>306</v>
      </c>
      <c r="X30" s="5" t="s">
        <v>307</v>
      </c>
      <c r="Y30" s="5" t="n">
        <f aca="false">1/297</f>
        <v>0.00336700336700337</v>
      </c>
      <c r="Z30" s="6" t="n">
        <f aca="false">Z$24*Y30</f>
        <v>6.66666666666667</v>
      </c>
      <c r="AA30" s="5"/>
      <c r="AB30" s="5"/>
      <c r="AD30" s="68" t="n">
        <v>496</v>
      </c>
      <c r="AE30" s="69" t="n">
        <v>762</v>
      </c>
      <c r="AF30" s="69" t="s">
        <v>308</v>
      </c>
      <c r="AG30" s="70" t="s">
        <v>309</v>
      </c>
      <c r="AH30" s="70" t="s">
        <v>286</v>
      </c>
      <c r="AI30" s="73" t="s">
        <v>310</v>
      </c>
      <c r="AJ30" s="1" t="n">
        <v>3</v>
      </c>
      <c r="AK30" s="1" t="n">
        <v>18</v>
      </c>
      <c r="AL30" s="12"/>
    </row>
    <row r="31" customFormat="false" ht="26.1" hidden="false" customHeight="false" outlineLevel="0" collapsed="false">
      <c r="A31" s="37" t="s">
        <v>264</v>
      </c>
      <c r="B31" s="37" t="s">
        <v>311</v>
      </c>
      <c r="C31" s="37" t="n">
        <f aca="false">1/8</f>
        <v>0.125</v>
      </c>
      <c r="D31" s="41" t="n">
        <f aca="false">D$24*C31</f>
        <v>76.75</v>
      </c>
      <c r="E31" s="37"/>
      <c r="F31" s="37"/>
      <c r="G31" s="37"/>
      <c r="H31" s="5" t="s">
        <v>222</v>
      </c>
      <c r="I31" s="5"/>
      <c r="J31" s="6"/>
      <c r="K31" s="6" t="n">
        <f aca="false">K$24*J31</f>
        <v>0</v>
      </c>
      <c r="L31" s="5"/>
      <c r="M31" s="5"/>
      <c r="N31" s="6"/>
      <c r="O31" s="54" t="s">
        <v>222</v>
      </c>
      <c r="P31" s="54"/>
      <c r="Q31" s="55"/>
      <c r="R31" s="55" t="n">
        <f aca="false">R$24*Q31</f>
        <v>0</v>
      </c>
      <c r="S31" s="54"/>
      <c r="T31" s="54"/>
      <c r="U31" s="55"/>
      <c r="V31" s="54"/>
      <c r="W31" s="5" t="s">
        <v>222</v>
      </c>
      <c r="X31" s="5" t="s">
        <v>278</v>
      </c>
      <c r="Y31" s="5" t="n">
        <f aca="false">7/198</f>
        <v>0.0353535353535354</v>
      </c>
      <c r="Z31" s="6" t="n">
        <f aca="false">Z$24*Y31</f>
        <v>70</v>
      </c>
      <c r="AA31" s="5"/>
      <c r="AB31" s="5"/>
      <c r="AD31" s="68" t="n">
        <v>496</v>
      </c>
      <c r="AE31" s="69" t="n">
        <v>762</v>
      </c>
      <c r="AF31" s="69" t="s">
        <v>312</v>
      </c>
      <c r="AG31" s="70" t="s">
        <v>285</v>
      </c>
      <c r="AH31" s="70" t="s">
        <v>286</v>
      </c>
      <c r="AI31" s="73" t="s">
        <v>313</v>
      </c>
      <c r="AJ31" s="1" t="n">
        <v>2</v>
      </c>
      <c r="AK31" s="1" t="n">
        <v>18</v>
      </c>
    </row>
    <row r="32" customFormat="false" ht="26.1" hidden="false" customHeight="false" outlineLevel="0" collapsed="false">
      <c r="A32" s="37"/>
      <c r="B32" s="37"/>
      <c r="C32" s="37"/>
      <c r="D32" s="41" t="n">
        <f aca="false">D$24*C32</f>
        <v>0</v>
      </c>
      <c r="E32" s="37"/>
      <c r="F32" s="37"/>
      <c r="G32" s="37"/>
      <c r="H32" s="5" t="s">
        <v>248</v>
      </c>
      <c r="I32" s="5"/>
      <c r="J32" s="6"/>
      <c r="K32" s="6" t="n">
        <f aca="false">K$24*J32</f>
        <v>0</v>
      </c>
      <c r="L32" s="5"/>
      <c r="M32" s="5"/>
      <c r="N32" s="7" t="n">
        <f aca="false">SUM(N25:N31)</f>
        <v>1.2</v>
      </c>
      <c r="O32" s="54" t="s">
        <v>248</v>
      </c>
      <c r="P32" s="54"/>
      <c r="Q32" s="55"/>
      <c r="R32" s="55" t="n">
        <f aca="false">R$24*Q32</f>
        <v>0</v>
      </c>
      <c r="S32" s="54"/>
      <c r="T32" s="54"/>
      <c r="U32" s="74" t="s">
        <v>154</v>
      </c>
      <c r="V32" s="54"/>
      <c r="W32" s="5" t="s">
        <v>248</v>
      </c>
      <c r="X32" s="5"/>
      <c r="Y32" s="5"/>
      <c r="Z32" s="6" t="n">
        <f aca="false">Z$24*Y32</f>
        <v>0</v>
      </c>
      <c r="AA32" s="5"/>
      <c r="AB32" s="5"/>
      <c r="AD32" s="63" t="n">
        <v>496</v>
      </c>
      <c r="AE32" s="64" t="n">
        <v>762</v>
      </c>
      <c r="AF32" s="64" t="s">
        <v>314</v>
      </c>
      <c r="AG32" s="65" t="s">
        <v>285</v>
      </c>
      <c r="AH32" s="65" t="s">
        <v>286</v>
      </c>
      <c r="AI32" s="75" t="s">
        <v>315</v>
      </c>
      <c r="AJ32" s="1" t="n">
        <v>1</v>
      </c>
      <c r="AK32" s="1" t="n">
        <v>14</v>
      </c>
    </row>
    <row r="33" customFormat="false" ht="26.1" hidden="false" customHeight="false" outlineLevel="0" collapsed="false">
      <c r="A33" s="37"/>
      <c r="B33" s="37"/>
      <c r="C33" s="37"/>
      <c r="D33" s="41" t="n">
        <f aca="false">D$24*C33</f>
        <v>0</v>
      </c>
      <c r="E33" s="37"/>
      <c r="F33" s="37"/>
      <c r="G33" s="37"/>
      <c r="H33" s="5" t="s">
        <v>253</v>
      </c>
      <c r="I33" s="5"/>
      <c r="J33" s="6"/>
      <c r="K33" s="6" t="n">
        <f aca="false">K$24*J33</f>
        <v>0</v>
      </c>
      <c r="L33" s="5"/>
      <c r="M33" s="5"/>
      <c r="N33" s="6" t="n">
        <f aca="false">12</f>
        <v>12</v>
      </c>
      <c r="O33" s="54" t="s">
        <v>253</v>
      </c>
      <c r="P33" s="54"/>
      <c r="Q33" s="55"/>
      <c r="R33" s="55" t="n">
        <f aca="false">R$24*Q33</f>
        <v>0</v>
      </c>
      <c r="S33" s="54"/>
      <c r="T33" s="54"/>
      <c r="U33" s="55" t="s">
        <v>154</v>
      </c>
      <c r="V33" s="54"/>
      <c r="W33" s="5" t="s">
        <v>253</v>
      </c>
      <c r="X33" s="5" t="s">
        <v>316</v>
      </c>
      <c r="Y33" s="5" t="n">
        <f aca="false">5/66</f>
        <v>0.0757575757575758</v>
      </c>
      <c r="Z33" s="6" t="n">
        <f aca="false">Z$24*Y33</f>
        <v>150</v>
      </c>
      <c r="AA33" s="5"/>
      <c r="AB33" s="5"/>
      <c r="AD33" s="59" t="n">
        <v>496</v>
      </c>
      <c r="AE33" s="60" t="n">
        <v>763</v>
      </c>
      <c r="AF33" s="60" t="s">
        <v>317</v>
      </c>
      <c r="AG33" s="61" t="s">
        <v>285</v>
      </c>
      <c r="AH33" s="61" t="s">
        <v>318</v>
      </c>
      <c r="AI33" s="67" t="s">
        <v>319</v>
      </c>
      <c r="AJ33" s="1" t="n">
        <v>3</v>
      </c>
      <c r="AK33" s="1" t="n">
        <v>6</v>
      </c>
    </row>
    <row r="34" customFormat="false" ht="26.1" hidden="false" customHeight="false" outlineLevel="0" collapsed="false">
      <c r="A34" s="37"/>
      <c r="B34" s="37"/>
      <c r="C34" s="37"/>
      <c r="D34" s="41"/>
      <c r="E34" s="37"/>
      <c r="F34" s="37"/>
      <c r="G34" s="37"/>
      <c r="H34" s="5" t="s">
        <v>202</v>
      </c>
      <c r="I34" s="5"/>
      <c r="J34" s="6"/>
      <c r="K34" s="6" t="n">
        <f aca="false">K$24*J34</f>
        <v>0</v>
      </c>
      <c r="L34" s="5"/>
      <c r="M34" s="5"/>
      <c r="N34" s="5"/>
      <c r="O34" s="54" t="s">
        <v>202</v>
      </c>
      <c r="P34" s="54"/>
      <c r="Q34" s="55"/>
      <c r="R34" s="55" t="n">
        <f aca="false">R$24*Q34</f>
        <v>0</v>
      </c>
      <c r="S34" s="54"/>
      <c r="T34" s="54"/>
      <c r="U34" s="54"/>
      <c r="V34" s="54"/>
      <c r="W34" s="5" t="s">
        <v>202</v>
      </c>
      <c r="X34" s="5" t="s">
        <v>276</v>
      </c>
      <c r="Y34" s="5" t="n">
        <f aca="false">1/12</f>
        <v>0.0833333333333333</v>
      </c>
      <c r="Z34" s="6" t="n">
        <f aca="false">Z$24*Y34</f>
        <v>165</v>
      </c>
      <c r="AA34" s="5"/>
      <c r="AB34" s="5"/>
      <c r="AD34" s="68" t="n">
        <v>496</v>
      </c>
      <c r="AE34" s="69" t="n">
        <v>763</v>
      </c>
      <c r="AF34" s="69" t="s">
        <v>320</v>
      </c>
      <c r="AG34" s="70" t="s">
        <v>285</v>
      </c>
      <c r="AH34" s="70" t="s">
        <v>318</v>
      </c>
      <c r="AI34" s="73" t="s">
        <v>321</v>
      </c>
      <c r="AJ34" s="1" t="n">
        <v>3</v>
      </c>
      <c r="AK34" s="1" t="n">
        <v>16</v>
      </c>
    </row>
    <row r="35" customFormat="false" ht="26.1" hidden="false" customHeight="false" outlineLevel="0" collapsed="false">
      <c r="A35" s="37"/>
      <c r="B35" s="37"/>
      <c r="C35" s="37"/>
      <c r="D35" s="41"/>
      <c r="E35" s="37"/>
      <c r="F35" s="37"/>
      <c r="G35" s="37"/>
      <c r="H35" s="5" t="s">
        <v>264</v>
      </c>
      <c r="I35" s="5"/>
      <c r="J35" s="6"/>
      <c r="K35" s="6" t="n">
        <f aca="false">K$24*J35</f>
        <v>0</v>
      </c>
      <c r="L35" s="5"/>
      <c r="M35" s="5"/>
      <c r="N35" s="5"/>
      <c r="O35" s="54" t="s">
        <v>264</v>
      </c>
      <c r="P35" s="54"/>
      <c r="Q35" s="55"/>
      <c r="R35" s="55" t="n">
        <f aca="false">R$24*Q35</f>
        <v>0</v>
      </c>
      <c r="S35" s="54"/>
      <c r="T35" s="54"/>
      <c r="U35" s="54"/>
      <c r="V35" s="54"/>
      <c r="W35" s="5" t="s">
        <v>264</v>
      </c>
      <c r="X35" s="5" t="s">
        <v>276</v>
      </c>
      <c r="Y35" s="5" t="n">
        <f aca="false">1/12</f>
        <v>0.0833333333333333</v>
      </c>
      <c r="Z35" s="6" t="n">
        <f aca="false">Z$24*Y35</f>
        <v>165</v>
      </c>
      <c r="AA35" s="5"/>
      <c r="AB35" s="5"/>
      <c r="AD35" s="68" t="n">
        <v>496</v>
      </c>
      <c r="AE35" s="69" t="n">
        <v>763</v>
      </c>
      <c r="AF35" s="69" t="s">
        <v>314</v>
      </c>
      <c r="AG35" s="70" t="s">
        <v>285</v>
      </c>
      <c r="AH35" s="70" t="s">
        <v>286</v>
      </c>
      <c r="AI35" s="73" t="s">
        <v>322</v>
      </c>
      <c r="AJ35" s="1" t="n">
        <v>5</v>
      </c>
      <c r="AK35" s="1" t="n">
        <v>17</v>
      </c>
    </row>
    <row r="36" customFormat="false" ht="26.1" hidden="false" customHeight="false" outlineLevel="0" collapsed="false">
      <c r="A36" s="37"/>
      <c r="B36" s="37"/>
      <c r="C36" s="37"/>
      <c r="D36" s="41" t="n">
        <f aca="false">D$24*C36</f>
        <v>0</v>
      </c>
      <c r="E36" s="37" t="n">
        <f aca="false">D36/20</f>
        <v>0</v>
      </c>
      <c r="F36" s="37"/>
      <c r="G36" s="37"/>
      <c r="H36" s="5"/>
      <c r="I36" s="5"/>
      <c r="J36" s="6"/>
      <c r="K36" s="6" t="n">
        <f aca="false">K$24*J36</f>
        <v>0</v>
      </c>
      <c r="L36" s="5" t="n">
        <f aca="false">K36/20</f>
        <v>0</v>
      </c>
      <c r="M36" s="5"/>
      <c r="N36" s="5"/>
      <c r="O36" s="54"/>
      <c r="P36" s="54"/>
      <c r="Q36" s="55"/>
      <c r="R36" s="55" t="n">
        <f aca="false">R$24*Q36</f>
        <v>0</v>
      </c>
      <c r="S36" s="54" t="n">
        <f aca="false">R36/20</f>
        <v>0</v>
      </c>
      <c r="T36" s="54"/>
      <c r="U36" s="54"/>
      <c r="V36" s="54"/>
      <c r="W36" s="5"/>
      <c r="X36" s="5"/>
      <c r="Y36" s="5"/>
      <c r="Z36" s="6" t="n">
        <f aca="false">Z$24*Y36</f>
        <v>0</v>
      </c>
      <c r="AA36" s="5" t="n">
        <f aca="false">Z36/20</f>
        <v>0</v>
      </c>
      <c r="AB36" s="5"/>
      <c r="AD36" s="63" t="n">
        <v>496</v>
      </c>
      <c r="AE36" s="64" t="n">
        <v>763</v>
      </c>
      <c r="AF36" s="64" t="s">
        <v>323</v>
      </c>
      <c r="AG36" s="65" t="s">
        <v>285</v>
      </c>
      <c r="AH36" s="65" t="s">
        <v>286</v>
      </c>
      <c r="AI36" s="75" t="s">
        <v>324</v>
      </c>
      <c r="AJ36" s="1" t="n">
        <v>4</v>
      </c>
      <c r="AK36" s="1" t="n">
        <v>9</v>
      </c>
    </row>
    <row r="37" customFormat="false" ht="30" hidden="false" customHeight="false" outlineLevel="0" collapsed="false">
      <c r="A37" s="37"/>
      <c r="B37" s="37"/>
      <c r="C37" s="51" t="n">
        <f aca="false">SUM(C25:C36)</f>
        <v>1</v>
      </c>
      <c r="D37" s="51" t="n">
        <f aca="false">SUM(D25:D36)</f>
        <v>614</v>
      </c>
      <c r="E37" s="37"/>
      <c r="F37" s="37"/>
      <c r="G37" s="37"/>
      <c r="H37" s="5"/>
      <c r="I37" s="5"/>
      <c r="J37" s="6"/>
      <c r="K37" s="7" t="n">
        <f aca="false">SUM(K25:K36)</f>
        <v>266.856025039124</v>
      </c>
      <c r="L37" s="5"/>
      <c r="M37" s="5"/>
      <c r="N37" s="5"/>
      <c r="O37" s="54"/>
      <c r="P37" s="54"/>
      <c r="Q37" s="55"/>
      <c r="R37" s="74" t="n">
        <f aca="false">SUM(R25:R36)</f>
        <v>14.810641627543</v>
      </c>
      <c r="S37" s="54"/>
      <c r="T37" s="54"/>
      <c r="U37" s="54"/>
      <c r="V37" s="54"/>
      <c r="W37" s="5"/>
      <c r="X37" s="5"/>
      <c r="Y37" s="7" t="n">
        <f aca="false">SUM(Y25:Y36)</f>
        <v>0.508417508417508</v>
      </c>
      <c r="Z37" s="7" t="n">
        <f aca="false">SUM(Z25:Z36)</f>
        <v>1006.66666666667</v>
      </c>
      <c r="AA37" s="5"/>
      <c r="AB37" s="5"/>
      <c r="AD37" s="59" t="n">
        <v>496</v>
      </c>
      <c r="AE37" s="60" t="n">
        <v>764</v>
      </c>
      <c r="AF37" s="60" t="s">
        <v>325</v>
      </c>
      <c r="AG37" s="61" t="s">
        <v>285</v>
      </c>
      <c r="AH37" s="61" t="s">
        <v>286</v>
      </c>
      <c r="AI37" s="73" t="s">
        <v>326</v>
      </c>
      <c r="AJ37" s="1" t="n">
        <v>7</v>
      </c>
      <c r="AK37" s="1" t="n">
        <v>7</v>
      </c>
    </row>
    <row r="38" customFormat="false" ht="26.1" hidden="false" customHeight="false" outlineLevel="0" collapsed="false">
      <c r="AD38" s="68" t="n">
        <v>496</v>
      </c>
      <c r="AE38" s="69" t="n">
        <v>764</v>
      </c>
      <c r="AF38" s="69" t="s">
        <v>327</v>
      </c>
      <c r="AG38" s="70" t="s">
        <v>285</v>
      </c>
      <c r="AH38" s="70" t="s">
        <v>286</v>
      </c>
      <c r="AI38" s="73" t="s">
        <v>326</v>
      </c>
      <c r="AJ38" s="1" t="n">
        <v>7</v>
      </c>
      <c r="AK38" s="1" t="n">
        <v>7</v>
      </c>
    </row>
    <row r="39" customFormat="false" ht="26.1" hidden="false" customHeight="false" outlineLevel="0" collapsed="false">
      <c r="A39" s="2" t="s">
        <v>0</v>
      </c>
      <c r="B39" s="2"/>
      <c r="C39" s="3" t="n">
        <v>494</v>
      </c>
      <c r="D39" s="5"/>
      <c r="E39" s="5"/>
      <c r="F39" s="5"/>
      <c r="G39" s="5"/>
      <c r="I39" s="1" t="n">
        <v>482</v>
      </c>
      <c r="J39" s="12"/>
      <c r="K39" s="12" t="n">
        <f aca="false">Z5</f>
        <v>22.2222222222222</v>
      </c>
      <c r="P39" s="10"/>
      <c r="V39" s="10"/>
      <c r="W39" s="76"/>
      <c r="X39" s="76"/>
      <c r="AD39" s="68" t="n">
        <v>496</v>
      </c>
      <c r="AE39" s="69" t="n">
        <v>764</v>
      </c>
      <c r="AF39" s="69" t="s">
        <v>328</v>
      </c>
      <c r="AG39" s="70" t="s">
        <v>285</v>
      </c>
      <c r="AH39" s="70" t="s">
        <v>318</v>
      </c>
      <c r="AI39" s="73" t="s">
        <v>329</v>
      </c>
      <c r="AJ39" s="1" t="n">
        <v>6</v>
      </c>
      <c r="AK39" s="1" t="n">
        <v>12</v>
      </c>
    </row>
    <row r="40" customFormat="false" ht="26.1" hidden="false" customHeight="false" outlineLevel="0" collapsed="false">
      <c r="A40" s="5"/>
      <c r="B40" s="5"/>
      <c r="C40" s="6"/>
      <c r="D40" s="2" t="n">
        <v>14</v>
      </c>
      <c r="E40" s="2" t="s">
        <v>3</v>
      </c>
      <c r="F40" s="56" t="s">
        <v>154</v>
      </c>
      <c r="G40" s="5"/>
      <c r="I40" s="1" t="n">
        <v>483</v>
      </c>
      <c r="J40" s="12"/>
      <c r="K40" s="12" t="n">
        <f aca="false">'2017-18'!$R$5</f>
        <v>43.1111111111111</v>
      </c>
      <c r="Q40" s="10"/>
      <c r="R40" s="10"/>
      <c r="T40" s="52"/>
      <c r="Y40" s="10"/>
      <c r="Z40" s="10"/>
      <c r="AB40" s="52"/>
      <c r="AD40" s="63" t="n">
        <v>496</v>
      </c>
      <c r="AE40" s="64" t="n">
        <v>764</v>
      </c>
      <c r="AF40" s="64" t="s">
        <v>330</v>
      </c>
      <c r="AG40" s="65" t="s">
        <v>285</v>
      </c>
      <c r="AH40" s="65" t="s">
        <v>286</v>
      </c>
      <c r="AI40" s="66" t="s">
        <v>331</v>
      </c>
      <c r="AJ40" s="52" t="n">
        <v>0</v>
      </c>
      <c r="AK40" s="1" t="n">
        <v>4</v>
      </c>
    </row>
    <row r="41" customFormat="false" ht="26.1" hidden="false" customHeight="false" outlineLevel="0" collapsed="false">
      <c r="A41" s="5" t="s">
        <v>93</v>
      </c>
      <c r="B41" s="6" t="s">
        <v>94</v>
      </c>
      <c r="C41" s="6" t="n">
        <f aca="false">1/3</f>
        <v>0.333333333333333</v>
      </c>
      <c r="D41" s="6" t="n">
        <f aca="false">D$40*C41</f>
        <v>4.66666666666667</v>
      </c>
      <c r="E41" s="5"/>
      <c r="F41" s="5" t="n">
        <v>232</v>
      </c>
      <c r="G41" s="6" t="n">
        <v>0.3</v>
      </c>
      <c r="I41" s="1" t="n">
        <v>491</v>
      </c>
      <c r="K41" s="12" t="n">
        <f aca="false">K25</f>
        <v>37.1598330725091</v>
      </c>
      <c r="Q41" s="12"/>
      <c r="U41" s="12"/>
      <c r="Y41" s="12"/>
      <c r="AC41" s="77"/>
      <c r="AD41" s="59" t="n">
        <v>496</v>
      </c>
      <c r="AE41" s="60" t="n">
        <v>765</v>
      </c>
      <c r="AF41" s="60" t="s">
        <v>332</v>
      </c>
      <c r="AG41" s="61" t="s">
        <v>285</v>
      </c>
      <c r="AH41" s="61" t="s">
        <v>286</v>
      </c>
      <c r="AI41" s="67" t="s">
        <v>333</v>
      </c>
      <c r="AJ41" s="1" t="n">
        <v>1</v>
      </c>
      <c r="AK41" s="12" t="n">
        <v>11</v>
      </c>
    </row>
    <row r="42" customFormat="false" ht="26.1" hidden="false" customHeight="false" outlineLevel="0" collapsed="false">
      <c r="A42" s="5" t="s">
        <v>222</v>
      </c>
      <c r="B42" s="6" t="s">
        <v>94</v>
      </c>
      <c r="C42" s="6" t="n">
        <f aca="false">1/3</f>
        <v>0.333333333333333</v>
      </c>
      <c r="D42" s="6" t="n">
        <f aca="false">D$40*C42</f>
        <v>4.66666666666667</v>
      </c>
      <c r="E42" s="5"/>
      <c r="F42" s="56" t="n">
        <v>299</v>
      </c>
      <c r="G42" s="6" t="n">
        <v>0.6</v>
      </c>
      <c r="I42" s="1" t="n">
        <v>492</v>
      </c>
      <c r="K42" s="12" t="n">
        <f aca="false">R25</f>
        <v>2.06238914971309</v>
      </c>
      <c r="Q42" s="12"/>
      <c r="T42" s="52"/>
      <c r="U42" s="12"/>
      <c r="Y42" s="12"/>
      <c r="AC42" s="77"/>
      <c r="AD42" s="63" t="n">
        <v>496</v>
      </c>
      <c r="AE42" s="64" t="n">
        <v>765</v>
      </c>
      <c r="AF42" s="64" t="s">
        <v>298</v>
      </c>
      <c r="AG42" s="65" t="s">
        <v>285</v>
      </c>
      <c r="AH42" s="65" t="s">
        <v>286</v>
      </c>
      <c r="AI42" s="75" t="s">
        <v>334</v>
      </c>
      <c r="AJ42" s="52" t="n">
        <v>4</v>
      </c>
      <c r="AK42" s="12" t="n">
        <v>19</v>
      </c>
    </row>
    <row r="43" customFormat="false" ht="26.1" hidden="false" customHeight="false" outlineLevel="0" collapsed="false">
      <c r="A43" s="5" t="s">
        <v>227</v>
      </c>
      <c r="B43" s="6" t="s">
        <v>94</v>
      </c>
      <c r="C43" s="6" t="n">
        <f aca="false">1/3</f>
        <v>0.333333333333333</v>
      </c>
      <c r="D43" s="6" t="n">
        <f aca="false">D$40*C43</f>
        <v>4.66666666666667</v>
      </c>
      <c r="E43" s="5"/>
      <c r="F43" s="5" t="n">
        <v>490</v>
      </c>
      <c r="G43" s="6" t="n">
        <v>0.3</v>
      </c>
      <c r="I43" s="1" t="n">
        <v>494</v>
      </c>
      <c r="K43" s="12" t="n">
        <f aca="false">D41</f>
        <v>4.66666666666667</v>
      </c>
      <c r="Q43" s="12"/>
      <c r="U43" s="12"/>
      <c r="Y43" s="12"/>
      <c r="AC43" s="77"/>
      <c r="AD43" s="59" t="n">
        <v>496</v>
      </c>
      <c r="AE43" s="60" t="n">
        <v>766</v>
      </c>
      <c r="AF43" s="60" t="s">
        <v>335</v>
      </c>
      <c r="AG43" s="61" t="s">
        <v>285</v>
      </c>
      <c r="AH43" s="61" t="s">
        <v>286</v>
      </c>
      <c r="AI43" s="67" t="s">
        <v>336</v>
      </c>
      <c r="AJ43" s="1" t="n">
        <v>1</v>
      </c>
      <c r="AK43" s="12" t="n">
        <v>10</v>
      </c>
    </row>
    <row r="44" customFormat="false" ht="26.1" hidden="false" customHeight="false" outlineLevel="0" collapsed="false">
      <c r="A44" s="5" t="s">
        <v>294</v>
      </c>
      <c r="B44" s="5"/>
      <c r="C44" s="6"/>
      <c r="D44" s="6" t="n">
        <f aca="false">D$24*C44</f>
        <v>0</v>
      </c>
      <c r="E44" s="5"/>
      <c r="F44" s="5"/>
      <c r="G44" s="6"/>
      <c r="I44" s="1" t="n">
        <v>496</v>
      </c>
      <c r="K44" s="12" t="n">
        <f aca="false">Z25</f>
        <v>70</v>
      </c>
      <c r="Q44" s="12"/>
      <c r="U44" s="12"/>
      <c r="Y44" s="12"/>
      <c r="AC44" s="77"/>
      <c r="AD44" s="68" t="n">
        <v>496</v>
      </c>
      <c r="AE44" s="69" t="n">
        <v>766</v>
      </c>
      <c r="AF44" s="69" t="s">
        <v>337</v>
      </c>
      <c r="AG44" s="70" t="s">
        <v>285</v>
      </c>
      <c r="AH44" s="70" t="s">
        <v>286</v>
      </c>
      <c r="AI44" s="73" t="s">
        <v>338</v>
      </c>
      <c r="AJ44" s="1" t="n">
        <v>3</v>
      </c>
      <c r="AK44" s="12" t="n">
        <v>10</v>
      </c>
    </row>
    <row r="45" customFormat="false" ht="26.1" hidden="false" customHeight="false" outlineLevel="0" collapsed="false">
      <c r="A45" s="5" t="s">
        <v>300</v>
      </c>
      <c r="B45" s="5"/>
      <c r="C45" s="6"/>
      <c r="D45" s="6" t="n">
        <f aca="false">D$24*C45</f>
        <v>0</v>
      </c>
      <c r="E45" s="5"/>
      <c r="F45" s="56"/>
      <c r="G45" s="6"/>
      <c r="K45" s="10" t="n">
        <f aca="false">SUM(K38:K44)</f>
        <v>179.222222222222</v>
      </c>
      <c r="Q45" s="12"/>
      <c r="T45" s="52"/>
      <c r="U45" s="12"/>
      <c r="Y45" s="12"/>
      <c r="AB45" s="52"/>
      <c r="AC45" s="77"/>
      <c r="AD45" s="68" t="n">
        <v>496</v>
      </c>
      <c r="AE45" s="69" t="n">
        <v>766</v>
      </c>
      <c r="AF45" s="69" t="s">
        <v>330</v>
      </c>
      <c r="AG45" s="70" t="s">
        <v>285</v>
      </c>
      <c r="AH45" s="70" t="s">
        <v>286</v>
      </c>
      <c r="AI45" s="71" t="s">
        <v>339</v>
      </c>
      <c r="AJ45" s="52"/>
      <c r="AK45" s="12" t="n">
        <v>19</v>
      </c>
    </row>
    <row r="46" customFormat="false" ht="26.1" hidden="false" customHeight="false" outlineLevel="0" collapsed="false">
      <c r="A46" s="5" t="s">
        <v>93</v>
      </c>
      <c r="B46" s="5"/>
      <c r="C46" s="6"/>
      <c r="D46" s="6" t="n">
        <f aca="false">D$24*C46</f>
        <v>0</v>
      </c>
      <c r="E46" s="5"/>
      <c r="F46" s="5"/>
      <c r="G46" s="6"/>
      <c r="Q46" s="12"/>
      <c r="U46" s="12"/>
      <c r="Y46" s="12"/>
      <c r="AC46" s="77"/>
      <c r="AD46" s="63" t="n">
        <v>496</v>
      </c>
      <c r="AE46" s="64" t="n">
        <v>766</v>
      </c>
      <c r="AF46" s="64" t="s">
        <v>340</v>
      </c>
      <c r="AG46" s="65" t="s">
        <v>285</v>
      </c>
      <c r="AH46" s="65" t="s">
        <v>286</v>
      </c>
      <c r="AI46" s="66" t="s">
        <v>341</v>
      </c>
      <c r="AJ46" s="1" t="n">
        <v>4</v>
      </c>
      <c r="AK46" s="12"/>
    </row>
    <row r="47" customFormat="false" ht="26.1" hidden="false" customHeight="false" outlineLevel="0" collapsed="false">
      <c r="A47" s="5" t="s">
        <v>222</v>
      </c>
      <c r="B47" s="5"/>
      <c r="C47" s="6"/>
      <c r="D47" s="6" t="n">
        <f aca="false">D$24*C47</f>
        <v>0</v>
      </c>
      <c r="E47" s="5"/>
      <c r="F47" s="5"/>
      <c r="G47" s="6"/>
      <c r="Q47" s="12"/>
      <c r="U47" s="12"/>
      <c r="Y47" s="12"/>
      <c r="AC47" s="77"/>
      <c r="AD47" s="78" t="n">
        <v>496</v>
      </c>
      <c r="AE47" s="79" t="n">
        <v>767</v>
      </c>
      <c r="AF47" s="79" t="s">
        <v>342</v>
      </c>
      <c r="AG47" s="80" t="s">
        <v>285</v>
      </c>
      <c r="AH47" s="80" t="s">
        <v>286</v>
      </c>
      <c r="AI47" s="81" t="s">
        <v>322</v>
      </c>
      <c r="AJ47" s="1" t="n">
        <v>5</v>
      </c>
      <c r="AK47" s="12" t="n">
        <v>17</v>
      </c>
    </row>
    <row r="48" customFormat="false" ht="26.1" hidden="false" customHeight="false" outlineLevel="0" collapsed="false">
      <c r="A48" s="5" t="s">
        <v>248</v>
      </c>
      <c r="B48" s="5"/>
      <c r="C48" s="6"/>
      <c r="D48" s="6" t="n">
        <f aca="false">D$24*C48</f>
        <v>0</v>
      </c>
      <c r="E48" s="5"/>
      <c r="F48" s="5"/>
      <c r="G48" s="7" t="n">
        <f aca="false">SUM(G41:G47)</f>
        <v>1.2</v>
      </c>
      <c r="Q48" s="12"/>
      <c r="U48" s="15"/>
      <c r="Y48" s="12"/>
      <c r="AC48" s="15"/>
      <c r="AD48" s="68" t="n">
        <v>496</v>
      </c>
      <c r="AE48" s="69" t="n">
        <v>767</v>
      </c>
      <c r="AF48" s="69" t="s">
        <v>343</v>
      </c>
      <c r="AG48" s="70" t="s">
        <v>285</v>
      </c>
      <c r="AH48" s="70" t="s">
        <v>286</v>
      </c>
      <c r="AI48" s="73" t="s">
        <v>299</v>
      </c>
      <c r="AJ48" s="1" t="n">
        <v>1</v>
      </c>
      <c r="AK48" s="15" t="n">
        <v>15</v>
      </c>
    </row>
    <row r="49" customFormat="false" ht="26.1" hidden="false" customHeight="false" outlineLevel="0" collapsed="false">
      <c r="A49" s="5" t="s">
        <v>253</v>
      </c>
      <c r="B49" s="5"/>
      <c r="C49" s="6"/>
      <c r="D49" s="6" t="n">
        <f aca="false">D$24*C49</f>
        <v>0</v>
      </c>
      <c r="E49" s="5"/>
      <c r="F49" s="5"/>
      <c r="G49" s="6" t="n">
        <f aca="false">12</f>
        <v>12</v>
      </c>
      <c r="Q49" s="12"/>
      <c r="U49" s="12"/>
      <c r="Y49" s="12"/>
      <c r="AC49" s="12"/>
      <c r="AD49" s="68" t="n">
        <v>496</v>
      </c>
      <c r="AE49" s="69" t="n">
        <v>767</v>
      </c>
      <c r="AF49" s="69" t="s">
        <v>344</v>
      </c>
      <c r="AG49" s="70" t="s">
        <v>285</v>
      </c>
      <c r="AH49" s="70" t="s">
        <v>286</v>
      </c>
      <c r="AI49" s="73" t="s">
        <v>338</v>
      </c>
      <c r="AJ49" s="1" t="n">
        <v>3</v>
      </c>
      <c r="AK49" s="12" t="n">
        <v>10</v>
      </c>
    </row>
    <row r="50" customFormat="false" ht="26.1" hidden="false" customHeight="false" outlineLevel="0" collapsed="false">
      <c r="A50" s="5" t="s">
        <v>202</v>
      </c>
      <c r="B50" s="5"/>
      <c r="C50" s="6"/>
      <c r="D50" s="6" t="n">
        <f aca="false">D$24*C50</f>
        <v>0</v>
      </c>
      <c r="E50" s="5"/>
      <c r="F50" s="5"/>
      <c r="G50" s="5"/>
      <c r="Q50" s="12"/>
      <c r="Y50" s="12"/>
      <c r="AD50" s="68" t="n">
        <v>496</v>
      </c>
      <c r="AE50" s="69" t="n">
        <v>767</v>
      </c>
      <c r="AF50" s="69" t="s">
        <v>345</v>
      </c>
      <c r="AG50" s="70" t="s">
        <v>285</v>
      </c>
      <c r="AH50" s="70" t="s">
        <v>286</v>
      </c>
      <c r="AI50" s="71" t="s">
        <v>346</v>
      </c>
      <c r="AJ50" s="1" t="n">
        <v>2</v>
      </c>
    </row>
    <row r="51" customFormat="false" ht="26.1" hidden="false" customHeight="false" outlineLevel="0" collapsed="false">
      <c r="A51" s="5" t="s">
        <v>264</v>
      </c>
      <c r="B51" s="5"/>
      <c r="C51" s="6"/>
      <c r="D51" s="6" t="n">
        <f aca="false">D$24*C51</f>
        <v>0</v>
      </c>
      <c r="E51" s="5"/>
      <c r="F51" s="5"/>
      <c r="G51" s="5"/>
      <c r="Q51" s="12"/>
      <c r="Y51" s="12"/>
      <c r="AD51" s="63" t="n">
        <v>496</v>
      </c>
      <c r="AE51" s="64" t="n">
        <v>767</v>
      </c>
      <c r="AF51" s="64" t="s">
        <v>347</v>
      </c>
      <c r="AG51" s="65" t="s">
        <v>285</v>
      </c>
      <c r="AH51" s="65" t="s">
        <v>286</v>
      </c>
      <c r="AI51" s="66" t="s">
        <v>341</v>
      </c>
      <c r="AJ51" s="1" t="n">
        <v>4</v>
      </c>
    </row>
    <row r="52" customFormat="false" ht="26.1" hidden="false" customHeight="false" outlineLevel="0" collapsed="false">
      <c r="A52" s="5"/>
      <c r="B52" s="5"/>
      <c r="C52" s="6"/>
      <c r="D52" s="6" t="n">
        <f aca="false">D$24*C52</f>
        <v>0</v>
      </c>
      <c r="E52" s="5" t="n">
        <f aca="false">D52/20</f>
        <v>0</v>
      </c>
      <c r="F52" s="5"/>
      <c r="G52" s="5"/>
      <c r="Q52" s="12"/>
      <c r="Y52" s="12"/>
      <c r="AD52" s="82" t="n">
        <v>496</v>
      </c>
      <c r="AE52" s="83" t="n">
        <v>768</v>
      </c>
      <c r="AF52" s="83" t="s">
        <v>348</v>
      </c>
      <c r="AG52" s="84" t="s">
        <v>285</v>
      </c>
      <c r="AH52" s="84" t="s">
        <v>286</v>
      </c>
      <c r="AI52" s="85" t="s">
        <v>341</v>
      </c>
      <c r="AJ52" s="1" t="n">
        <v>4</v>
      </c>
    </row>
    <row r="53" customFormat="false" ht="13.8" hidden="false" customHeight="false" outlineLevel="0" collapsed="false">
      <c r="A53" s="5"/>
      <c r="B53" s="5"/>
      <c r="C53" s="6"/>
      <c r="D53" s="7" t="n">
        <f aca="false">SUM(D41:D52)</f>
        <v>14</v>
      </c>
      <c r="E53" s="5"/>
      <c r="F53" s="5"/>
      <c r="G53" s="5"/>
      <c r="Q53" s="15"/>
      <c r="Y53" s="15"/>
      <c r="AG53" s="12"/>
      <c r="AH53" s="15"/>
      <c r="AJ53" s="10" t="n">
        <f aca="false">SUM(AJ24:AJ52)</f>
        <v>81</v>
      </c>
      <c r="AK53" s="10" t="n">
        <f aca="false">SUM(AK24:AK52)</f>
        <v>270</v>
      </c>
    </row>
    <row r="54" customFormat="false" ht="14.25" hidden="false" customHeight="false" outlineLevel="0" collapsed="false">
      <c r="AG54" s="12"/>
      <c r="AK54" s="1" t="n">
        <f aca="false">AK53/20</f>
        <v>13.5</v>
      </c>
    </row>
    <row r="55" customFormat="false" ht="14.25" hidden="false" customHeight="false" outlineLevel="0" collapsed="false">
      <c r="AG55" s="12"/>
      <c r="AJ55" s="1" t="n">
        <v>94</v>
      </c>
      <c r="AK55" s="1" t="n">
        <v>10</v>
      </c>
    </row>
    <row r="56" customFormat="false" ht="14.25" hidden="false" customHeight="false" outlineLevel="0" collapsed="false">
      <c r="AG56" s="12"/>
    </row>
    <row r="57" customFormat="false" ht="14.25" hidden="false" customHeight="false" outlineLevel="0" collapsed="false">
      <c r="AG57" s="12"/>
    </row>
    <row r="58" customFormat="false" ht="14.25" hidden="false" customHeight="false" outlineLevel="0" collapsed="false">
      <c r="AG58" s="12"/>
    </row>
    <row r="59" customFormat="false" ht="14.25" hidden="false" customHeight="false" outlineLevel="0" collapsed="false">
      <c r="AG59" s="12"/>
    </row>
    <row r="60" customFormat="false" ht="14.25" hidden="false" customHeight="false" outlineLevel="0" collapsed="false">
      <c r="AG60" s="12"/>
    </row>
    <row r="61" customFormat="false" ht="14.25" hidden="false" customHeight="false" outlineLevel="0" collapsed="false">
      <c r="AG61" s="12"/>
    </row>
    <row r="62" customFormat="false" ht="14.25" hidden="false" customHeight="false" outlineLevel="0" collapsed="false">
      <c r="AG62" s="12"/>
    </row>
    <row r="63" customFormat="false" ht="14.25" hidden="false" customHeight="false" outlineLevel="0" collapsed="false">
      <c r="AG63" s="12"/>
    </row>
    <row r="64" customFormat="false" ht="14.25" hidden="false" customHeight="false" outlineLevel="0" collapsed="false">
      <c r="AG64" s="12"/>
    </row>
    <row r="65" customFormat="false" ht="14.25" hidden="false" customHeight="false" outlineLevel="0" collapsed="false">
      <c r="AG65" s="12"/>
    </row>
    <row r="66" customFormat="false" ht="14.25" hidden="false" customHeight="false" outlineLevel="0" collapsed="false">
      <c r="AG66" s="12"/>
    </row>
    <row r="67" customFormat="false" ht="14.25" hidden="false" customHeight="false" outlineLevel="0" collapsed="false">
      <c r="AG67" s="12"/>
    </row>
    <row r="68" customFormat="false" ht="14.25" hidden="false" customHeight="false" outlineLevel="0" collapsed="false">
      <c r="AG68" s="12"/>
    </row>
    <row r="69" customFormat="false" ht="14.25" hidden="false" customHeight="false" outlineLevel="0" collapsed="false">
      <c r="AG69" s="12"/>
    </row>
    <row r="70" customFormat="false" ht="14.25" hidden="false" customHeight="false" outlineLevel="0" collapsed="false">
      <c r="AG70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J75" activeCellId="0" sqref="J75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9.17"/>
    <col collapsed="false" customWidth="true" hidden="false" outlineLevel="0" max="2" min="2" style="1" width="33.52"/>
    <col collapsed="false" customWidth="true" hidden="false" outlineLevel="0" max="3" min="3" style="1" width="17.66"/>
    <col collapsed="false" customWidth="true" hidden="false" outlineLevel="0" max="5" min="5" style="1" width="11.39"/>
    <col collapsed="false" customWidth="true" hidden="false" outlineLevel="0" max="7" min="7" style="1" width="8"/>
    <col collapsed="false" customWidth="true" hidden="false" outlineLevel="0" max="8" min="8" style="1" width="13.9"/>
    <col collapsed="false" customWidth="true" hidden="false" outlineLevel="0" max="9" min="9" style="1" width="26.11"/>
    <col collapsed="false" customWidth="true" hidden="false" outlineLevel="0" max="10" min="10" style="1" width="13.35"/>
    <col collapsed="false" customWidth="true" hidden="false" outlineLevel="0" max="15" min="15" style="1" width="29.21"/>
    <col collapsed="false" customWidth="true" hidden="false" outlineLevel="0" max="16" min="16" style="1" width="19.06"/>
    <col collapsed="false" customWidth="true" hidden="false" outlineLevel="0" max="17" min="17" style="1" width="15.71"/>
    <col collapsed="false" customWidth="true" hidden="false" outlineLevel="0" max="20" min="20" style="1" width="10"/>
    <col collapsed="false" customWidth="true" hidden="false" outlineLevel="0" max="21" min="21" style="1" width="7.11"/>
    <col collapsed="false" customWidth="true" hidden="false" outlineLevel="0" max="16384" min="16361" style="1" width="11.53"/>
  </cols>
  <sheetData>
    <row r="1" customFormat="false" ht="19.7" hidden="false" customHeight="false" outlineLevel="0" collapsed="false">
      <c r="B1" s="22"/>
      <c r="C1" s="22"/>
      <c r="D1" s="22"/>
      <c r="E1" s="22"/>
      <c r="F1" s="22"/>
      <c r="G1" s="22"/>
      <c r="H1" s="22"/>
      <c r="I1" s="20"/>
      <c r="J1" s="20"/>
      <c r="K1" s="20"/>
      <c r="L1" s="20"/>
      <c r="M1" s="21"/>
      <c r="N1" s="20"/>
      <c r="O1" s="20"/>
      <c r="P1" s="18"/>
      <c r="Q1" s="19"/>
      <c r="R1" s="18"/>
      <c r="S1" s="18"/>
      <c r="T1" s="18"/>
      <c r="U1" s="18"/>
    </row>
    <row r="2" customFormat="false" ht="19.7" hidden="false" customHeight="false" outlineLevel="0" collapsed="false">
      <c r="B2" s="22"/>
      <c r="C2" s="21" t="s">
        <v>349</v>
      </c>
      <c r="D2" s="22"/>
      <c r="E2" s="22"/>
      <c r="F2" s="22"/>
      <c r="G2" s="22"/>
      <c r="H2" s="22"/>
      <c r="I2" s="20"/>
      <c r="J2" s="21" t="s">
        <v>349</v>
      </c>
      <c r="K2" s="20"/>
      <c r="L2" s="20"/>
      <c r="M2" s="21"/>
      <c r="N2" s="20"/>
      <c r="O2" s="20"/>
      <c r="P2" s="18"/>
      <c r="Q2" s="19" t="s">
        <v>349</v>
      </c>
      <c r="R2" s="18"/>
      <c r="S2" s="18"/>
      <c r="T2" s="18"/>
      <c r="U2" s="18"/>
    </row>
    <row r="3" customFormat="false" ht="19.7" hidden="false" customHeight="false" outlineLevel="0" collapsed="false">
      <c r="B3" s="33" t="s">
        <v>0</v>
      </c>
      <c r="C3" s="33"/>
      <c r="D3" s="34" t="n">
        <v>574</v>
      </c>
      <c r="E3" s="35"/>
      <c r="F3" s="35"/>
      <c r="G3" s="35"/>
      <c r="H3" s="35"/>
      <c r="I3" s="30" t="s">
        <v>0</v>
      </c>
      <c r="J3" s="30"/>
      <c r="K3" s="31" t="n">
        <v>575</v>
      </c>
      <c r="L3" s="32"/>
      <c r="M3" s="32"/>
      <c r="N3" s="32"/>
      <c r="O3" s="32"/>
      <c r="P3" s="36" t="s">
        <v>0</v>
      </c>
      <c r="Q3" s="36"/>
      <c r="R3" s="31" t="n">
        <v>576</v>
      </c>
      <c r="S3" s="37"/>
      <c r="T3" s="37"/>
      <c r="U3" s="37"/>
    </row>
    <row r="4" customFormat="false" ht="19.7" hidden="false" customHeight="false" outlineLevel="0" collapsed="false">
      <c r="B4" s="35"/>
      <c r="C4" s="35"/>
      <c r="D4" s="35"/>
      <c r="E4" s="33" t="n">
        <f aca="false">13*20+18</f>
        <v>278</v>
      </c>
      <c r="F4" s="40" t="n">
        <v>77</v>
      </c>
      <c r="G4" s="35"/>
      <c r="H4" s="35"/>
      <c r="I4" s="32"/>
      <c r="J4" s="32"/>
      <c r="K4" s="32"/>
      <c r="L4" s="30" t="n">
        <v>640</v>
      </c>
      <c r="M4" s="21" t="n">
        <f aca="false">129</f>
        <v>129</v>
      </c>
      <c r="N4" s="32"/>
      <c r="O4" s="32"/>
      <c r="P4" s="37"/>
      <c r="Q4" s="37"/>
      <c r="R4" s="41"/>
      <c r="S4" s="36" t="n">
        <v>23</v>
      </c>
      <c r="T4" s="42" t="n">
        <v>78</v>
      </c>
      <c r="U4" s="37"/>
    </row>
    <row r="5" customFormat="false" ht="13.8" hidden="false" customHeight="false" outlineLevel="0" collapsed="false">
      <c r="B5" s="35" t="s">
        <v>93</v>
      </c>
      <c r="C5" s="35" t="s">
        <v>218</v>
      </c>
      <c r="D5" s="35" t="n">
        <f aca="false">100/1251</f>
        <v>0.0799360511590727</v>
      </c>
      <c r="E5" s="44" t="n">
        <f aca="false">E$4*D5</f>
        <v>22.2222222222222</v>
      </c>
      <c r="F5" s="35" t="n">
        <v>1</v>
      </c>
      <c r="G5" s="35" t="n">
        <v>6.19</v>
      </c>
      <c r="H5" s="35"/>
      <c r="I5" s="32" t="s">
        <v>93</v>
      </c>
      <c r="J5" s="32" t="s">
        <v>217</v>
      </c>
      <c r="K5" s="32" t="n">
        <f aca="false">97/1440</f>
        <v>0.0673611111111111</v>
      </c>
      <c r="L5" s="43" t="n">
        <f aca="false">L$4*K5</f>
        <v>43.1111111111111</v>
      </c>
      <c r="M5" s="32" t="n">
        <v>17</v>
      </c>
      <c r="N5" s="32" t="n">
        <v>8</v>
      </c>
      <c r="O5" s="32" t="n">
        <v>0</v>
      </c>
      <c r="P5" s="37" t="s">
        <v>93</v>
      </c>
      <c r="Q5" s="41" t="s">
        <v>219</v>
      </c>
      <c r="R5" s="41" t="n">
        <f aca="false">2/69</f>
        <v>0.0289855072463768</v>
      </c>
      <c r="S5" s="41" t="n">
        <f aca="false">S$4*R5</f>
        <v>0.666666666666667</v>
      </c>
      <c r="T5" s="37" t="s">
        <v>220</v>
      </c>
      <c r="U5" s="37" t="n">
        <v>0.7</v>
      </c>
    </row>
    <row r="6" customFormat="false" ht="13.8" hidden="false" customHeight="false" outlineLevel="0" collapsed="false">
      <c r="B6" s="35" t="s">
        <v>222</v>
      </c>
      <c r="C6" s="35" t="s">
        <v>218</v>
      </c>
      <c r="D6" s="35" t="n">
        <f aca="false">100/1251</f>
        <v>0.0799360511590727</v>
      </c>
      <c r="E6" s="44" t="n">
        <f aca="false">E$4*D6</f>
        <v>22.2222222222222</v>
      </c>
      <c r="F6" s="35" t="n">
        <v>2</v>
      </c>
      <c r="G6" s="35" t="n">
        <v>6.19</v>
      </c>
      <c r="H6" s="35"/>
      <c r="I6" s="32" t="s">
        <v>222</v>
      </c>
      <c r="J6" s="32" t="s">
        <v>217</v>
      </c>
      <c r="K6" s="32" t="n">
        <f aca="false">97/1440</f>
        <v>0.0673611111111111</v>
      </c>
      <c r="L6" s="43" t="n">
        <f aca="false">L$4*K6</f>
        <v>43.1111111111111</v>
      </c>
      <c r="M6" s="32" t="n">
        <v>18</v>
      </c>
      <c r="N6" s="32" t="n">
        <v>8</v>
      </c>
      <c r="O6" s="32" t="n">
        <v>0</v>
      </c>
      <c r="P6" s="37" t="s">
        <v>222</v>
      </c>
      <c r="Q6" s="41" t="s">
        <v>219</v>
      </c>
      <c r="R6" s="41" t="n">
        <f aca="false">2/69</f>
        <v>0.0289855072463768</v>
      </c>
      <c r="S6" s="41" t="n">
        <f aca="false">S$4*R6</f>
        <v>0.666666666666667</v>
      </c>
      <c r="T6" s="37" t="s">
        <v>223</v>
      </c>
      <c r="U6" s="37" t="n">
        <v>0.8</v>
      </c>
      <c r="W6" s="1" t="n">
        <f aca="false">E7/E6</f>
        <v>2.5</v>
      </c>
    </row>
    <row r="7" customFormat="false" ht="13.8" hidden="false" customHeight="false" outlineLevel="0" collapsed="false">
      <c r="B7" s="35" t="s">
        <v>208</v>
      </c>
      <c r="C7" s="35" t="s">
        <v>226</v>
      </c>
      <c r="D7" s="35" t="n">
        <f aca="false">250/1251</f>
        <v>0.199840127897682</v>
      </c>
      <c r="E7" s="44" t="n">
        <f aca="false">E$4*D7</f>
        <v>55.5555555555556</v>
      </c>
      <c r="F7" s="35" t="n">
        <f aca="false">E5+E6+E7</f>
        <v>100</v>
      </c>
      <c r="G7" s="35" t="n">
        <f aca="false">SUM(G5:G6)</f>
        <v>12.38</v>
      </c>
      <c r="H7" s="35"/>
      <c r="I7" s="32" t="s">
        <v>208</v>
      </c>
      <c r="J7" s="32" t="s">
        <v>225</v>
      </c>
      <c r="K7" s="32" t="n">
        <f aca="false">979/5760</f>
        <v>0.169965277777778</v>
      </c>
      <c r="L7" s="43" t="n">
        <f aca="false">L$4*K7</f>
        <v>108.777777777778</v>
      </c>
      <c r="M7" s="32" t="n">
        <v>23</v>
      </c>
      <c r="N7" s="32" t="n">
        <v>8</v>
      </c>
      <c r="O7" s="32" t="n">
        <v>0</v>
      </c>
      <c r="P7" s="37" t="s">
        <v>227</v>
      </c>
      <c r="Q7" s="41" t="s">
        <v>228</v>
      </c>
      <c r="R7" s="41" t="n">
        <f aca="false">5/69</f>
        <v>0.072463768115942</v>
      </c>
      <c r="S7" s="41" t="n">
        <f aca="false">S$4*R7</f>
        <v>1.66666666666667</v>
      </c>
      <c r="T7" s="37" t="s">
        <v>229</v>
      </c>
      <c r="U7" s="37" t="n">
        <v>0.8</v>
      </c>
    </row>
    <row r="8" customFormat="false" ht="13.8" hidden="false" customHeight="false" outlineLevel="0" collapsed="false">
      <c r="B8" s="35" t="s">
        <v>231</v>
      </c>
      <c r="C8" s="35" t="s">
        <v>233</v>
      </c>
      <c r="D8" s="35" t="n">
        <f aca="false">41/278</f>
        <v>0.147482014388489</v>
      </c>
      <c r="E8" s="44" t="n">
        <f aca="false">E$4*D8</f>
        <v>41</v>
      </c>
      <c r="F8" s="35" t="s">
        <v>154</v>
      </c>
      <c r="G8" s="35" t="n">
        <v>13.18</v>
      </c>
      <c r="H8" s="35"/>
      <c r="I8" s="32" t="s">
        <v>231</v>
      </c>
      <c r="J8" s="32" t="s">
        <v>232</v>
      </c>
      <c r="K8" s="32" t="n">
        <f aca="false">81/640</f>
        <v>0.1265625</v>
      </c>
      <c r="L8" s="43" t="n">
        <f aca="false">L$4*K8</f>
        <v>81</v>
      </c>
      <c r="M8" s="32" t="n">
        <v>24</v>
      </c>
      <c r="N8" s="32" t="n">
        <v>8</v>
      </c>
      <c r="O8" s="32" t="n">
        <v>0</v>
      </c>
      <c r="P8" s="37" t="s">
        <v>231</v>
      </c>
      <c r="Q8" s="41" t="s">
        <v>234</v>
      </c>
      <c r="R8" s="41" t="n">
        <f aca="false">1/46</f>
        <v>0.0217391304347826</v>
      </c>
      <c r="S8" s="41" t="n">
        <f aca="false">S$4*R8</f>
        <v>0.5</v>
      </c>
      <c r="T8" s="37" t="s">
        <v>154</v>
      </c>
      <c r="U8" s="37" t="n">
        <f aca="false">SUM(U5:U7)</f>
        <v>2.3</v>
      </c>
    </row>
    <row r="9" customFormat="false" ht="13.8" hidden="false" customHeight="false" outlineLevel="0" collapsed="false">
      <c r="B9" s="35" t="s">
        <v>236</v>
      </c>
      <c r="C9" s="35" t="s">
        <v>238</v>
      </c>
      <c r="D9" s="35" t="n">
        <f aca="false">43/417</f>
        <v>0.103117505995204</v>
      </c>
      <c r="E9" s="44" t="n">
        <f aca="false">E$4*D9</f>
        <v>28.6666666666667</v>
      </c>
      <c r="F9" s="35"/>
      <c r="G9" s="35" t="n">
        <f aca="false">260+18</f>
        <v>278</v>
      </c>
      <c r="H9" s="35"/>
      <c r="I9" s="32" t="s">
        <v>236</v>
      </c>
      <c r="J9" s="32" t="s">
        <v>237</v>
      </c>
      <c r="K9" s="32" t="n">
        <f aca="false">43/480</f>
        <v>0.0895833333333333</v>
      </c>
      <c r="L9" s="43" t="n">
        <f aca="false">L$4*K9</f>
        <v>57.3333333333333</v>
      </c>
      <c r="M9" s="32"/>
      <c r="N9" s="32"/>
      <c r="O9" s="32"/>
      <c r="P9" s="37" t="s">
        <v>236</v>
      </c>
      <c r="Q9" s="41" t="s">
        <v>219</v>
      </c>
      <c r="R9" s="41" t="n">
        <f aca="false">2/69</f>
        <v>0.0289855072463768</v>
      </c>
      <c r="S9" s="41" t="n">
        <f aca="false">S$4*R9</f>
        <v>0.666666666666667</v>
      </c>
      <c r="T9" s="37"/>
      <c r="U9" s="37" t="n">
        <v>23</v>
      </c>
      <c r="W9" s="1" t="n">
        <f aca="false">L6*W6</f>
        <v>107.777777777778</v>
      </c>
    </row>
    <row r="10" customFormat="false" ht="13.8" hidden="false" customHeight="false" outlineLevel="0" collapsed="false">
      <c r="B10" s="35" t="s">
        <v>240</v>
      </c>
      <c r="C10" s="35" t="s">
        <v>242</v>
      </c>
      <c r="D10" s="35" t="n">
        <f aca="false">9/278</f>
        <v>0.0323741007194245</v>
      </c>
      <c r="E10" s="44" t="n">
        <f aca="false">E$4*D10</f>
        <v>9</v>
      </c>
      <c r="F10" s="35"/>
      <c r="G10" s="35"/>
      <c r="H10" s="35"/>
      <c r="I10" s="32" t="s">
        <v>240</v>
      </c>
      <c r="J10" s="32" t="s">
        <v>241</v>
      </c>
      <c r="K10" s="32" t="n">
        <f aca="false">1/40</f>
        <v>0.025</v>
      </c>
      <c r="L10" s="43" t="n">
        <f aca="false">L$4*K10</f>
        <v>16</v>
      </c>
      <c r="M10" s="32"/>
      <c r="N10" s="32"/>
      <c r="O10" s="32"/>
      <c r="P10" s="37" t="s">
        <v>240</v>
      </c>
      <c r="Q10" s="41" t="s">
        <v>234</v>
      </c>
      <c r="R10" s="41" t="n">
        <f aca="false">1/46</f>
        <v>0.0217391304347826</v>
      </c>
      <c r="S10" s="41" t="n">
        <f aca="false">S$4*R10</f>
        <v>0.5</v>
      </c>
      <c r="T10" s="37"/>
      <c r="U10" s="37"/>
    </row>
    <row r="11" customFormat="false" ht="13.8" hidden="false" customHeight="false" outlineLevel="0" collapsed="false">
      <c r="B11" s="35" t="s">
        <v>244</v>
      </c>
      <c r="C11" s="35" t="s">
        <v>246</v>
      </c>
      <c r="D11" s="35" t="n">
        <f aca="false">7/139</f>
        <v>0.0503597122302158</v>
      </c>
      <c r="E11" s="44" t="n">
        <f aca="false">E$4*D11</f>
        <v>14</v>
      </c>
      <c r="F11" s="35"/>
      <c r="G11" s="35"/>
      <c r="H11" s="35"/>
      <c r="I11" s="32" t="s">
        <v>244</v>
      </c>
      <c r="J11" s="32" t="s">
        <v>245</v>
      </c>
      <c r="K11" s="32" t="n">
        <f aca="false">37/640</f>
        <v>0.0578125</v>
      </c>
      <c r="L11" s="43" t="n">
        <f aca="false">L$4*K11</f>
        <v>37</v>
      </c>
      <c r="M11" s="32"/>
      <c r="N11" s="32"/>
      <c r="O11" s="32"/>
      <c r="P11" s="37" t="s">
        <v>244</v>
      </c>
      <c r="Q11" s="41" t="s">
        <v>234</v>
      </c>
      <c r="R11" s="41" t="n">
        <f aca="false">1/46</f>
        <v>0.0217391304347826</v>
      </c>
      <c r="S11" s="41" t="n">
        <f aca="false">S$4*R11</f>
        <v>0.5</v>
      </c>
      <c r="T11" s="37"/>
      <c r="U11" s="37"/>
    </row>
    <row r="12" customFormat="false" ht="13.8" hidden="false" customHeight="false" outlineLevel="0" collapsed="false">
      <c r="B12" s="35" t="s">
        <v>248</v>
      </c>
      <c r="C12" s="35" t="s">
        <v>250</v>
      </c>
      <c r="D12" s="35" t="n">
        <f aca="false">23/139</f>
        <v>0.165467625899281</v>
      </c>
      <c r="E12" s="44" t="n">
        <f aca="false">E$4*D12</f>
        <v>46</v>
      </c>
      <c r="F12" s="35"/>
      <c r="G12" s="35"/>
      <c r="H12" s="35"/>
      <c r="I12" s="32" t="s">
        <v>248</v>
      </c>
      <c r="J12" s="32" t="s">
        <v>249</v>
      </c>
      <c r="K12" s="32" t="n">
        <f aca="false">89/640</f>
        <v>0.1390625</v>
      </c>
      <c r="L12" s="43" t="n">
        <f aca="false">L$4*K12</f>
        <v>89</v>
      </c>
      <c r="M12" s="32"/>
      <c r="N12" s="32"/>
      <c r="O12" s="32"/>
      <c r="P12" s="37" t="s">
        <v>248</v>
      </c>
      <c r="Q12" s="41" t="s">
        <v>251</v>
      </c>
      <c r="R12" s="41" t="n">
        <f aca="false">3/46</f>
        <v>0.0652173913043478</v>
      </c>
      <c r="S12" s="41" t="n">
        <f aca="false">S$4*R12</f>
        <v>1.5</v>
      </c>
      <c r="T12" s="37"/>
      <c r="U12" s="37"/>
    </row>
    <row r="13" customFormat="false" ht="13.8" hidden="false" customHeight="false" outlineLevel="0" collapsed="false">
      <c r="B13" s="35" t="s">
        <v>253</v>
      </c>
      <c r="C13" s="35" t="n">
        <v>0</v>
      </c>
      <c r="D13" s="35" t="n">
        <v>0</v>
      </c>
      <c r="E13" s="44" t="n">
        <f aca="false">E$4*D13</f>
        <v>0</v>
      </c>
      <c r="F13" s="35"/>
      <c r="G13" s="35"/>
      <c r="H13" s="35"/>
      <c r="I13" s="32" t="s">
        <v>253</v>
      </c>
      <c r="J13" s="32" t="s">
        <v>254</v>
      </c>
      <c r="K13" s="32" t="n">
        <f aca="false">9/64</f>
        <v>0.140625</v>
      </c>
      <c r="L13" s="43" t="n">
        <f aca="false">L$4*K13</f>
        <v>90</v>
      </c>
      <c r="M13" s="32"/>
      <c r="N13" s="32"/>
      <c r="O13" s="32"/>
      <c r="P13" s="37" t="s">
        <v>253</v>
      </c>
      <c r="Q13" s="41" t="s">
        <v>255</v>
      </c>
      <c r="R13" s="41" t="n">
        <f aca="false">11/23</f>
        <v>0.478260869565217</v>
      </c>
      <c r="S13" s="41" t="n">
        <f aca="false">S$4*R13</f>
        <v>11</v>
      </c>
      <c r="T13" s="37"/>
      <c r="U13" s="37"/>
    </row>
    <row r="14" customFormat="false" ht="13.8" hidden="false" customHeight="false" outlineLevel="0" collapsed="false">
      <c r="B14" s="35" t="s">
        <v>202</v>
      </c>
      <c r="C14" s="35" t="s">
        <v>259</v>
      </c>
      <c r="D14" s="35" t="n">
        <f aca="false">161/1668</f>
        <v>0.0965227817745803</v>
      </c>
      <c r="E14" s="44" t="n">
        <f aca="false">E$4*D14</f>
        <v>26.8333333333333</v>
      </c>
      <c r="F14" s="35"/>
      <c r="G14" s="35"/>
      <c r="H14" s="35"/>
      <c r="I14" s="32" t="s">
        <v>202</v>
      </c>
      <c r="J14" s="32" t="s">
        <v>258</v>
      </c>
      <c r="K14" s="32" t="n">
        <f aca="false">31/384</f>
        <v>0.0807291666666667</v>
      </c>
      <c r="L14" s="43" t="n">
        <f aca="false">L$4*K14</f>
        <v>51.6666666666667</v>
      </c>
      <c r="M14" s="32"/>
      <c r="N14" s="32"/>
      <c r="O14" s="32"/>
      <c r="P14" s="37" t="s">
        <v>202</v>
      </c>
      <c r="Q14" s="41" t="s">
        <v>260</v>
      </c>
      <c r="R14" s="41" t="n">
        <f aca="false">5/138</f>
        <v>0.036231884057971</v>
      </c>
      <c r="S14" s="41" t="n">
        <f aca="false">S$4*R14</f>
        <v>0.833333333333333</v>
      </c>
      <c r="T14" s="37"/>
      <c r="U14" s="37"/>
    </row>
    <row r="15" customFormat="false" ht="13.8" hidden="false" customHeight="false" outlineLevel="0" collapsed="false">
      <c r="B15" s="35" t="s">
        <v>264</v>
      </c>
      <c r="C15" s="35" t="s">
        <v>266</v>
      </c>
      <c r="D15" s="35" t="n">
        <f aca="false">25/556</f>
        <v>0.0449640287769784</v>
      </c>
      <c r="E15" s="44" t="n">
        <f aca="false">E$4*D15</f>
        <v>12.5</v>
      </c>
      <c r="F15" s="35"/>
      <c r="G15" s="35"/>
      <c r="H15" s="35"/>
      <c r="I15" s="32" t="s">
        <v>264</v>
      </c>
      <c r="J15" s="32" t="s">
        <v>265</v>
      </c>
      <c r="K15" s="32" t="n">
        <f aca="false">23/640</f>
        <v>0.0359375</v>
      </c>
      <c r="L15" s="43" t="n">
        <f aca="false">L$4*K15</f>
        <v>23</v>
      </c>
      <c r="M15" s="32"/>
      <c r="N15" s="32"/>
      <c r="O15" s="32"/>
      <c r="P15" s="37" t="s">
        <v>264</v>
      </c>
      <c r="Q15" s="41" t="s">
        <v>234</v>
      </c>
      <c r="R15" s="41" t="n">
        <f aca="false">1/46</f>
        <v>0.0217391304347826</v>
      </c>
      <c r="S15" s="41" t="n">
        <f aca="false">S$4*R15</f>
        <v>0.5</v>
      </c>
      <c r="T15" s="37"/>
      <c r="U15" s="37"/>
    </row>
    <row r="16" customFormat="false" ht="13.8" hidden="false" customHeight="false" outlineLevel="0" collapsed="false">
      <c r="B16" s="35"/>
      <c r="C16" s="35"/>
      <c r="D16" s="48" t="n">
        <f aca="false">SUM(D5:D15)</f>
        <v>1</v>
      </c>
      <c r="E16" s="48" t="n">
        <f aca="false">SUM(E5:E15)</f>
        <v>278</v>
      </c>
      <c r="F16" s="35" t="n">
        <f aca="false">E16/20</f>
        <v>13.9</v>
      </c>
      <c r="G16" s="35"/>
      <c r="H16" s="35"/>
      <c r="I16" s="32"/>
      <c r="J16" s="32"/>
      <c r="K16" s="47" t="n">
        <f aca="false">SUM(K5:K15)</f>
        <v>1</v>
      </c>
      <c r="L16" s="47" t="n">
        <f aca="false">SUM(L5:L15)</f>
        <v>640</v>
      </c>
      <c r="M16" s="32" t="s">
        <v>154</v>
      </c>
      <c r="N16" s="32" t="n">
        <v>32</v>
      </c>
      <c r="O16" s="32" t="n">
        <v>0</v>
      </c>
      <c r="P16" s="37" t="s">
        <v>263</v>
      </c>
      <c r="Q16" s="41" t="s">
        <v>268</v>
      </c>
      <c r="R16" s="41" t="n">
        <f aca="false">4/23</f>
        <v>0.173913043478261</v>
      </c>
      <c r="S16" s="41" t="n">
        <f aca="false">S$4*R16</f>
        <v>4</v>
      </c>
      <c r="T16" s="37" t="n">
        <f aca="false">S16/20</f>
        <v>0.2</v>
      </c>
      <c r="U16" s="37"/>
    </row>
    <row r="17" customFormat="false" ht="13.8" hidden="false" customHeight="false" outlineLevel="0" collapsed="false">
      <c r="B17" s="35"/>
      <c r="C17" s="35"/>
      <c r="D17" s="35"/>
      <c r="E17" s="35"/>
      <c r="F17" s="35"/>
      <c r="G17" s="35"/>
      <c r="H17" s="35"/>
      <c r="I17" s="32"/>
      <c r="J17" s="32"/>
      <c r="K17" s="32"/>
      <c r="L17" s="32"/>
      <c r="M17" s="43" t="s">
        <v>154</v>
      </c>
      <c r="N17" s="32"/>
      <c r="O17" s="43" t="n">
        <f aca="false">L7+L6+L5+L14+L15+L9</f>
        <v>327</v>
      </c>
      <c r="P17" s="37"/>
      <c r="Q17" s="37"/>
      <c r="R17" s="51" t="n">
        <f aca="false">SUM(R5:R16)</f>
        <v>1</v>
      </c>
      <c r="S17" s="51" t="n">
        <f aca="false">SUM(S5:S16)</f>
        <v>23</v>
      </c>
      <c r="T17" s="37"/>
      <c r="U17" s="37"/>
      <c r="W17" s="1" t="n">
        <f aca="false">L11+L10</f>
        <v>53</v>
      </c>
    </row>
    <row r="18" customFormat="false" ht="13.8" hidden="false" customHeight="false" outlineLevel="0" collapsed="false">
      <c r="B18" s="35"/>
      <c r="C18" s="35"/>
      <c r="D18" s="35"/>
      <c r="E18" s="35"/>
      <c r="F18" s="35"/>
      <c r="G18" s="35"/>
      <c r="H18" s="35"/>
      <c r="I18" s="32"/>
      <c r="J18" s="32" t="n">
        <f aca="false">97*4+97*4+979</f>
        <v>1755</v>
      </c>
      <c r="K18" s="32" t="s">
        <v>269</v>
      </c>
      <c r="L18" s="32" t="n">
        <f aca="false">1755/5760</f>
        <v>0.3046875</v>
      </c>
      <c r="M18" s="32"/>
      <c r="N18" s="32"/>
      <c r="O18" s="32" t="n">
        <f aca="false">O17/20</f>
        <v>16.35</v>
      </c>
      <c r="P18" s="37"/>
      <c r="Q18" s="37"/>
      <c r="R18" s="41"/>
      <c r="S18" s="37"/>
      <c r="T18" s="37"/>
      <c r="U18" s="37"/>
      <c r="W18" s="1" t="n">
        <f aca="false">L12+L13</f>
        <v>179</v>
      </c>
    </row>
    <row r="19" customFormat="false" ht="13.8" hidden="false" customHeight="false" outlineLevel="0" collapsed="false">
      <c r="B19" s="35"/>
      <c r="C19" s="35"/>
      <c r="D19" s="35"/>
      <c r="E19" s="35"/>
      <c r="F19" s="35"/>
      <c r="G19" s="35"/>
      <c r="H19" s="35"/>
      <c r="I19" s="32"/>
      <c r="J19" s="32"/>
      <c r="K19" s="32" t="s">
        <v>144</v>
      </c>
      <c r="L19" s="32"/>
      <c r="M19" s="32"/>
      <c r="N19" s="32"/>
      <c r="O19" s="32"/>
      <c r="P19" s="35"/>
      <c r="Q19" s="35"/>
      <c r="R19" s="35"/>
      <c r="S19" s="35"/>
      <c r="T19" s="35"/>
      <c r="U19" s="35"/>
      <c r="W19" s="1" t="n">
        <f aca="false">L15+L9+L14</f>
        <v>132</v>
      </c>
    </row>
    <row r="21" customFormat="false" ht="13.8" hidden="false" customHeight="false" outlineLevel="0" collapsed="false">
      <c r="B21" s="10" t="s">
        <v>350</v>
      </c>
      <c r="I21" s="10" t="s">
        <v>351</v>
      </c>
    </row>
    <row r="22" customFormat="false" ht="13.8" hidden="false" customHeight="false" outlineLevel="0" collapsed="false">
      <c r="B22" s="1" t="s">
        <v>352</v>
      </c>
      <c r="F22" s="10"/>
      <c r="I22" s="1" t="s">
        <v>8</v>
      </c>
      <c r="M22" s="10" t="n">
        <v>575</v>
      </c>
      <c r="P22" s="10" t="s">
        <v>353</v>
      </c>
    </row>
    <row r="23" customFormat="false" ht="13.8" hidden="false" customHeight="false" outlineLevel="0" collapsed="false">
      <c r="I23" s="1" t="s">
        <v>11</v>
      </c>
      <c r="P23" s="1" t="s">
        <v>354</v>
      </c>
    </row>
    <row r="24" customFormat="false" ht="13.8" hidden="false" customHeight="false" outlineLevel="0" collapsed="false">
      <c r="B24" s="1" t="s">
        <v>8</v>
      </c>
      <c r="I24" s="1" t="s">
        <v>355</v>
      </c>
    </row>
    <row r="25" customFormat="false" ht="13.8" hidden="false" customHeight="false" outlineLevel="0" collapsed="false">
      <c r="B25" s="1" t="s">
        <v>11</v>
      </c>
      <c r="I25" s="1" t="s">
        <v>356</v>
      </c>
      <c r="P25" s="1" t="s">
        <v>8</v>
      </c>
    </row>
    <row r="26" customFormat="false" ht="13.8" hidden="false" customHeight="false" outlineLevel="0" collapsed="false">
      <c r="B26" s="1" t="s">
        <v>357</v>
      </c>
      <c r="I26" s="1" t="s">
        <v>358</v>
      </c>
      <c r="P26" s="1" t="s">
        <v>11</v>
      </c>
    </row>
    <row r="27" customFormat="false" ht="13.8" hidden="false" customHeight="false" outlineLevel="0" collapsed="false">
      <c r="B27" s="1" t="s">
        <v>359</v>
      </c>
      <c r="I27" s="1" t="s">
        <v>360</v>
      </c>
      <c r="P27" s="1" t="s">
        <v>361</v>
      </c>
    </row>
    <row r="28" customFormat="false" ht="13.8" hidden="false" customHeight="false" outlineLevel="0" collapsed="false">
      <c r="B28" s="1" t="s">
        <v>362</v>
      </c>
      <c r="I28" s="1" t="s">
        <v>363</v>
      </c>
      <c r="P28" s="1" t="s">
        <v>364</v>
      </c>
    </row>
    <row r="29" customFormat="false" ht="13.8" hidden="false" customHeight="false" outlineLevel="0" collapsed="false">
      <c r="B29" s="1" t="s">
        <v>365</v>
      </c>
      <c r="I29" s="1" t="s">
        <v>366</v>
      </c>
      <c r="P29" s="1" t="s">
        <v>367</v>
      </c>
    </row>
    <row r="30" customFormat="false" ht="13.8" hidden="false" customHeight="false" outlineLevel="0" collapsed="false">
      <c r="B30" s="1" t="s">
        <v>368</v>
      </c>
      <c r="I30" s="1" t="s">
        <v>369</v>
      </c>
      <c r="P30" s="1" t="s">
        <v>370</v>
      </c>
    </row>
    <row r="31" customFormat="false" ht="13.8" hidden="false" customHeight="false" outlineLevel="0" collapsed="false">
      <c r="B31" s="1" t="s">
        <v>371</v>
      </c>
      <c r="I31" s="1" t="s">
        <v>372</v>
      </c>
      <c r="P31" s="1" t="s">
        <v>373</v>
      </c>
    </row>
    <row r="32" customFormat="false" ht="13.8" hidden="false" customHeight="false" outlineLevel="0" collapsed="false">
      <c r="B32" s="1" t="s">
        <v>374</v>
      </c>
      <c r="I32" s="1" t="s">
        <v>375</v>
      </c>
      <c r="P32" s="1" t="s">
        <v>376</v>
      </c>
    </row>
    <row r="33" customFormat="false" ht="13.8" hidden="false" customHeight="false" outlineLevel="0" collapsed="false">
      <c r="B33" s="1" t="s">
        <v>377</v>
      </c>
      <c r="I33" s="1" t="s">
        <v>378</v>
      </c>
      <c r="P33" s="1" t="s">
        <v>379</v>
      </c>
    </row>
    <row r="34" customFormat="false" ht="13.8" hidden="false" customHeight="false" outlineLevel="0" collapsed="false">
      <c r="B34" s="1" t="s">
        <v>380</v>
      </c>
      <c r="I34" s="1" t="s">
        <v>381</v>
      </c>
      <c r="P34" s="1" t="s">
        <v>382</v>
      </c>
    </row>
    <row r="35" customFormat="false" ht="13.8" hidden="false" customHeight="false" outlineLevel="0" collapsed="false">
      <c r="B35" s="1" t="s">
        <v>383</v>
      </c>
      <c r="I35" s="1" t="s">
        <v>384</v>
      </c>
      <c r="P35" s="1" t="s">
        <v>385</v>
      </c>
    </row>
    <row r="36" customFormat="false" ht="13.8" hidden="false" customHeight="false" outlineLevel="0" collapsed="false">
      <c r="B36" s="1" t="s">
        <v>386</v>
      </c>
      <c r="I36" s="1" t="s">
        <v>387</v>
      </c>
      <c r="P36" s="1" t="s">
        <v>388</v>
      </c>
    </row>
    <row r="37" customFormat="false" ht="13.8" hidden="false" customHeight="false" outlineLevel="0" collapsed="false">
      <c r="B37" s="1" t="s">
        <v>389</v>
      </c>
      <c r="I37" s="1" t="s">
        <v>390</v>
      </c>
      <c r="P37" s="1" t="s">
        <v>391</v>
      </c>
    </row>
    <row r="38" customFormat="false" ht="13.8" hidden="false" customHeight="false" outlineLevel="0" collapsed="false">
      <c r="B38" s="1" t="s">
        <v>392</v>
      </c>
      <c r="I38" s="1" t="s">
        <v>11</v>
      </c>
      <c r="P38" s="1" t="s">
        <v>393</v>
      </c>
    </row>
    <row r="39" customFormat="false" ht="13.8" hidden="false" customHeight="false" outlineLevel="0" collapsed="false">
      <c r="B39" s="1" t="s">
        <v>11</v>
      </c>
      <c r="I39" s="1" t="s">
        <v>394</v>
      </c>
      <c r="P39" s="1" t="s">
        <v>395</v>
      </c>
    </row>
    <row r="40" customFormat="false" ht="13.8" hidden="false" customHeight="false" outlineLevel="0" collapsed="false">
      <c r="B40" s="1" t="s">
        <v>396</v>
      </c>
      <c r="P40" s="1" t="s">
        <v>397</v>
      </c>
    </row>
    <row r="41" customFormat="false" ht="13.8" hidden="false" customHeight="false" outlineLevel="0" collapsed="false">
      <c r="P41" s="1" t="s">
        <v>398</v>
      </c>
    </row>
    <row r="42" customFormat="false" ht="13.8" hidden="false" customHeight="false" outlineLevel="0" collapsed="false">
      <c r="P42" s="1" t="s">
        <v>399</v>
      </c>
    </row>
    <row r="43" customFormat="false" ht="13.8" hidden="false" customHeight="false" outlineLevel="0" collapsed="false">
      <c r="P43" s="1" t="s">
        <v>11</v>
      </c>
    </row>
    <row r="44" customFormat="false" ht="13.8" hidden="false" customHeight="false" outlineLevel="0" collapsed="false">
      <c r="P44" s="1" t="s">
        <v>400</v>
      </c>
    </row>
    <row r="45" customFormat="false" ht="13.8" hidden="false" customHeight="false" outlineLevel="0" collapsed="false">
      <c r="B45" s="1" t="s">
        <v>84</v>
      </c>
      <c r="C45" s="1" t="s">
        <v>85</v>
      </c>
      <c r="D45" s="1" t="s">
        <v>86</v>
      </c>
      <c r="E45" s="1" t="s">
        <v>3</v>
      </c>
      <c r="F45" s="1" t="s">
        <v>87</v>
      </c>
      <c r="G45" s="1" t="s">
        <v>88</v>
      </c>
      <c r="I45" s="1" t="s">
        <v>84</v>
      </c>
      <c r="J45" s="1" t="s">
        <v>85</v>
      </c>
      <c r="K45" s="1" t="s">
        <v>86</v>
      </c>
      <c r="L45" s="1" t="s">
        <v>3</v>
      </c>
      <c r="M45" s="1" t="s">
        <v>87</v>
      </c>
      <c r="N45" s="1" t="s">
        <v>88</v>
      </c>
      <c r="P45" s="1" t="s">
        <v>84</v>
      </c>
      <c r="Q45" s="1" t="s">
        <v>85</v>
      </c>
      <c r="R45" s="1" t="s">
        <v>86</v>
      </c>
      <c r="S45" s="1" t="s">
        <v>3</v>
      </c>
      <c r="T45" s="1" t="s">
        <v>87</v>
      </c>
      <c r="U45" s="1" t="s">
        <v>88</v>
      </c>
    </row>
    <row r="46" customFormat="false" ht="13.8" hidden="false" customHeight="false" outlineLevel="0" collapsed="false">
      <c r="B46" s="1" t="n">
        <v>278</v>
      </c>
      <c r="C46" s="1" t="n">
        <f aca="false">INT(B46/160)</f>
        <v>1</v>
      </c>
      <c r="D46" s="1" t="n">
        <f aca="false">INT((B46-160*INT(B46/160))/20)</f>
        <v>5</v>
      </c>
      <c r="E46" s="1" t="n">
        <f aca="false">INT(B46-160*INT(B46/160)-20*INT((B46-160*INT(B46/160))/20))</f>
        <v>18</v>
      </c>
      <c r="F46" s="1" t="n">
        <f aca="false">ROUND((B46-INT(B46))*9,0)</f>
        <v>0</v>
      </c>
      <c r="G46" s="1" t="str">
        <f aca="false">TEXT(C46,"0")&amp;"K-"&amp;TEXT(D46,"0")&amp;"K-"&amp;TEXT(E46,"0")&amp;"M-"&amp;TEXT(F46,"0")&amp;"S"</f>
        <v>1K-5K-18M-0S</v>
      </c>
      <c r="I46" s="1" t="n">
        <v>640</v>
      </c>
      <c r="J46" s="1" t="n">
        <f aca="false">INT(I46/160)</f>
        <v>4</v>
      </c>
      <c r="K46" s="1" t="n">
        <f aca="false">INT((I46-160*INT(I46/160))/20)</f>
        <v>0</v>
      </c>
      <c r="L46" s="1" t="n">
        <f aca="false">INT(I46-160*INT(I46/160)-20*INT((I46-160*INT(I46/160))/20))</f>
        <v>0</v>
      </c>
      <c r="M46" s="1" t="n">
        <f aca="false">ROUND((I46-INT(I46))*9,0)</f>
        <v>0</v>
      </c>
      <c r="N46" s="1" t="str">
        <f aca="false">TEXT(J46,"0")&amp;"K-"&amp;TEXT(K46,"0")&amp;"K-"&amp;TEXT(L46,"0")&amp;"M-"&amp;TEXT(M46,"0")&amp;"S"</f>
        <v>4K-0K-0M-0S</v>
      </c>
      <c r="P46" s="1" t="n">
        <v>23</v>
      </c>
      <c r="Q46" s="1" t="n">
        <f aca="false">INT(P46/160)</f>
        <v>0</v>
      </c>
      <c r="R46" s="1" t="n">
        <f aca="false">INT((P46-160*INT(P46/160))/20)</f>
        <v>1</v>
      </c>
      <c r="S46" s="1" t="n">
        <f aca="false">INT(P46-160*INT(P46/160)-20*INT((P46-160*INT(P46/160))/20))</f>
        <v>3</v>
      </c>
      <c r="T46" s="1" t="n">
        <f aca="false">ROUND((P46-INT(P46))*9,0)</f>
        <v>0</v>
      </c>
      <c r="U46" s="1" t="str">
        <f aca="false">TEXT(Q46,"0")&amp;"K-"&amp;TEXT(R46,"0")&amp;"K-"&amp;TEXT(S46,"0")&amp;"M-"&amp;TEXT(T46,"0")&amp;"S"</f>
        <v>0K-1K-3M-0S</v>
      </c>
    </row>
    <row r="47" customFormat="false" ht="13.8" hidden="false" customHeight="false" outlineLevel="0" collapsed="false">
      <c r="D47" s="1"/>
      <c r="F47" s="1"/>
    </row>
    <row r="48" customFormat="false" ht="13.8" hidden="false" customHeight="false" outlineLevel="0" collapsed="false">
      <c r="D48" s="1"/>
      <c r="F48" s="1"/>
    </row>
    <row r="49" customFormat="false" ht="44" hidden="false" customHeight="true" outlineLevel="0" collapsed="false">
      <c r="R49" s="12"/>
      <c r="S49" s="12"/>
    </row>
    <row r="50" customFormat="false" ht="17.35" hidden="false" customHeight="false" outlineLevel="0" collapsed="false">
      <c r="B50" s="2" t="s">
        <v>0</v>
      </c>
      <c r="C50" s="3" t="n">
        <v>583</v>
      </c>
      <c r="D50" s="4"/>
      <c r="E50" s="5"/>
      <c r="F50" s="5"/>
      <c r="G50" s="5"/>
      <c r="H50" s="2" t="s">
        <v>401</v>
      </c>
      <c r="I50" s="54"/>
      <c r="J50" s="54"/>
      <c r="K50" s="54"/>
      <c r="L50" s="55"/>
      <c r="M50" s="3" t="n">
        <v>584</v>
      </c>
      <c r="N50" s="54"/>
      <c r="O50" s="2" t="s">
        <v>0</v>
      </c>
      <c r="P50" s="3" t="n">
        <v>588</v>
      </c>
      <c r="Q50" s="4"/>
      <c r="R50" s="5"/>
      <c r="S50" s="5"/>
      <c r="T50" s="5"/>
      <c r="U50" s="5"/>
    </row>
    <row r="51" customFormat="false" ht="19.7" hidden="false" customHeight="false" outlineLevel="0" collapsed="false">
      <c r="B51" s="5"/>
      <c r="C51" s="5"/>
      <c r="D51" s="5"/>
      <c r="E51" s="2" t="n">
        <f aca="false">100*20+18</f>
        <v>2018</v>
      </c>
      <c r="F51" s="2" t="s">
        <v>3</v>
      </c>
      <c r="G51" s="5"/>
      <c r="H51" s="5"/>
      <c r="I51" s="54"/>
      <c r="J51" s="54"/>
      <c r="K51" s="55"/>
      <c r="L51" s="57" t="n">
        <v>112</v>
      </c>
      <c r="M51" s="57" t="s">
        <v>3</v>
      </c>
      <c r="N51" s="58" t="s">
        <v>154</v>
      </c>
      <c r="O51" s="5"/>
      <c r="P51" s="5"/>
      <c r="Q51" s="5"/>
      <c r="R51" s="2" t="n">
        <f aca="false">99*20</f>
        <v>1980</v>
      </c>
      <c r="S51" s="2" t="s">
        <v>3</v>
      </c>
      <c r="T51" s="5"/>
      <c r="U51" s="5"/>
    </row>
    <row r="52" customFormat="false" ht="19.7" hidden="false" customHeight="false" outlineLevel="0" collapsed="false">
      <c r="B52" s="1" t="s">
        <v>402</v>
      </c>
      <c r="C52" s="5" t="s">
        <v>29</v>
      </c>
      <c r="D52" s="5" t="n">
        <f aca="false">4/1065</f>
        <v>0.00375586854460094</v>
      </c>
      <c r="E52" s="6" t="n">
        <f aca="false">E$51*D52</f>
        <v>7.5793427230047</v>
      </c>
      <c r="F52" s="5"/>
      <c r="G52" s="5"/>
      <c r="H52" s="5"/>
      <c r="I52" s="0" t="s">
        <v>41</v>
      </c>
      <c r="J52" s="0" t="s">
        <v>29</v>
      </c>
      <c r="K52" s="0" t="n">
        <f aca="false">4/1065</f>
        <v>0.00375586854460094</v>
      </c>
      <c r="L52" s="6" t="n">
        <f aca="false">L$51*K52</f>
        <v>0.420657276995305</v>
      </c>
      <c r="M52" s="54"/>
      <c r="N52" s="58" t="n">
        <v>142</v>
      </c>
      <c r="O52" s="1" t="s">
        <v>403</v>
      </c>
      <c r="P52" s="5" t="s">
        <v>404</v>
      </c>
      <c r="Q52" s="11" t="n">
        <f aca="false">2/891</f>
        <v>0.00224466891133558</v>
      </c>
      <c r="R52" s="6" t="n">
        <f aca="false">R$51*Q52</f>
        <v>4.44444444444445</v>
      </c>
      <c r="S52" s="5"/>
      <c r="T52" s="5"/>
      <c r="U52" s="5"/>
    </row>
    <row r="53" customFormat="false" ht="13.8" hidden="false" customHeight="false" outlineLevel="0" collapsed="false">
      <c r="B53" s="1" t="s">
        <v>405</v>
      </c>
      <c r="C53" s="5" t="s">
        <v>18</v>
      </c>
      <c r="D53" s="5" t="n">
        <f aca="false">13/710</f>
        <v>0.0183098591549296</v>
      </c>
      <c r="E53" s="6" t="n">
        <f aca="false">E$51*D53</f>
        <v>36.9492957746479</v>
      </c>
      <c r="F53" s="5"/>
      <c r="G53" s="5"/>
      <c r="H53" s="5"/>
      <c r="I53" s="0" t="s">
        <v>406</v>
      </c>
      <c r="J53" s="0"/>
      <c r="K53" s="0" t="n">
        <f aca="false">13/710</f>
        <v>0.0183098591549296</v>
      </c>
      <c r="L53" s="6" t="n">
        <f aca="false">L$51*K53</f>
        <v>2.05070422535211</v>
      </c>
      <c r="M53" s="54"/>
      <c r="N53" s="54" t="s">
        <v>282</v>
      </c>
      <c r="O53" s="1" t="s">
        <v>407</v>
      </c>
      <c r="P53" s="5" t="s">
        <v>408</v>
      </c>
      <c r="Q53" s="11" t="n">
        <f aca="false">4/891</f>
        <v>0.00448933782267116</v>
      </c>
      <c r="R53" s="6" t="n">
        <f aca="false">R$51*Q53</f>
        <v>8.88888888888889</v>
      </c>
      <c r="S53" s="5"/>
      <c r="T53" s="5"/>
      <c r="U53" s="5"/>
    </row>
    <row r="54" customFormat="false" ht="13.8" hidden="false" customHeight="false" outlineLevel="0" collapsed="false">
      <c r="B54" s="1" t="s">
        <v>409</v>
      </c>
      <c r="C54" s="5" t="s">
        <v>6</v>
      </c>
      <c r="D54" s="5" t="n">
        <f aca="false">353/6390</f>
        <v>0.0552425665101721</v>
      </c>
      <c r="E54" s="6" t="n">
        <f aca="false">E$51*D54</f>
        <v>111.479499217527</v>
      </c>
      <c r="F54" s="5"/>
      <c r="G54" s="5"/>
      <c r="H54" s="5"/>
      <c r="I54" s="0" t="s">
        <v>410</v>
      </c>
      <c r="J54" s="0"/>
      <c r="K54" s="0" t="n">
        <f aca="false">89/3550</f>
        <v>0.0250704225352113</v>
      </c>
      <c r="L54" s="6" t="n">
        <f aca="false">L$51*K54</f>
        <v>2.80788732394366</v>
      </c>
      <c r="M54" s="54"/>
      <c r="N54" s="54" t="s">
        <v>154</v>
      </c>
      <c r="O54" s="1" t="s">
        <v>411</v>
      </c>
      <c r="P54" s="5" t="s">
        <v>412</v>
      </c>
      <c r="Q54" s="11" t="n">
        <f aca="false">1/36</f>
        <v>0.0277777777777778</v>
      </c>
      <c r="R54" s="6" t="n">
        <f aca="false">R$51*Q54</f>
        <v>55</v>
      </c>
      <c r="S54" s="5"/>
      <c r="T54" s="5"/>
      <c r="U54" s="5"/>
    </row>
    <row r="55" customFormat="false" ht="13.8" hidden="false" customHeight="false" outlineLevel="0" collapsed="false">
      <c r="B55" s="1" t="s">
        <v>413</v>
      </c>
      <c r="C55" s="5" t="s">
        <v>414</v>
      </c>
      <c r="D55" s="5" t="n">
        <f aca="false">353/38340</f>
        <v>0.00920709441836203</v>
      </c>
      <c r="E55" s="6" t="n">
        <f aca="false">E$51*D55</f>
        <v>18.5799165362546</v>
      </c>
      <c r="F55" s="5"/>
      <c r="G55" s="5"/>
      <c r="H55" s="5"/>
      <c r="I55" s="0" t="s">
        <v>415</v>
      </c>
      <c r="J55" s="0"/>
      <c r="K55" s="0" t="n">
        <f aca="false">353/6390</f>
        <v>0.0552425665101721</v>
      </c>
      <c r="L55" s="6" t="n">
        <f aca="false">L$51*K55</f>
        <v>6.18716744913928</v>
      </c>
      <c r="M55" s="54"/>
      <c r="N55" s="54"/>
      <c r="O55" s="1" t="s">
        <v>416</v>
      </c>
      <c r="P55" s="5" t="s">
        <v>417</v>
      </c>
      <c r="Q55" s="11" t="n">
        <f aca="false">17/396</f>
        <v>0.0429292929292929</v>
      </c>
      <c r="R55" s="6" t="n">
        <f aca="false">R$51*Q55</f>
        <v>85</v>
      </c>
      <c r="S55" s="5"/>
      <c r="T55" s="5"/>
      <c r="U55" s="5"/>
    </row>
    <row r="56" customFormat="false" ht="19.7" hidden="false" customHeight="false" outlineLevel="0" collapsed="false">
      <c r="B56" s="1" t="s">
        <v>418</v>
      </c>
      <c r="C56" s="5" t="s">
        <v>414</v>
      </c>
      <c r="D56" s="5" t="n">
        <f aca="false">353/38340</f>
        <v>0.00920709441836203</v>
      </c>
      <c r="E56" s="6" t="n">
        <f aca="false">E$51*D56</f>
        <v>18.5799165362546</v>
      </c>
      <c r="F56" s="5"/>
      <c r="G56" s="5"/>
      <c r="H56" s="5"/>
      <c r="I56" s="0" t="s">
        <v>419</v>
      </c>
      <c r="J56" s="0"/>
      <c r="K56" s="0" t="n">
        <f aca="false">353/38340</f>
        <v>0.00920709441836203</v>
      </c>
      <c r="L56" s="6" t="n">
        <f aca="false">L$51*K56</f>
        <v>1.03119457485655</v>
      </c>
      <c r="M56" s="54"/>
      <c r="N56" s="58"/>
      <c r="O56" s="1" t="s">
        <v>420</v>
      </c>
      <c r="P56" s="5" t="s">
        <v>421</v>
      </c>
      <c r="Q56" s="11" t="n">
        <f aca="false">19/660</f>
        <v>0.0287878787878788</v>
      </c>
      <c r="R56" s="6" t="n">
        <f aca="false">R$51*Q56</f>
        <v>57</v>
      </c>
      <c r="S56" s="5"/>
      <c r="T56" s="5"/>
      <c r="U56" s="5"/>
    </row>
    <row r="57" customFormat="false" ht="13.8" hidden="false" customHeight="false" outlineLevel="0" collapsed="false">
      <c r="B57" s="1" t="s">
        <v>422</v>
      </c>
      <c r="C57" s="5" t="s">
        <v>423</v>
      </c>
      <c r="D57" s="5" t="n">
        <f aca="false">185/2018</f>
        <v>0.0916749256689792</v>
      </c>
      <c r="E57" s="6" t="n">
        <f aca="false">E$51*D57</f>
        <v>185</v>
      </c>
      <c r="F57" s="5"/>
      <c r="G57" s="5"/>
      <c r="H57" s="5"/>
      <c r="I57" s="0" t="s">
        <v>424</v>
      </c>
      <c r="J57" s="0"/>
      <c r="K57" s="0" t="n">
        <f aca="false">15/56</f>
        <v>0.267857142857143</v>
      </c>
      <c r="L57" s="6" t="n">
        <f aca="false">L$51*K57</f>
        <v>30</v>
      </c>
      <c r="M57" s="54"/>
      <c r="N57" s="54"/>
      <c r="O57" s="1" t="s">
        <v>425</v>
      </c>
      <c r="P57" s="5" t="s">
        <v>412</v>
      </c>
      <c r="Q57" s="11" t="n">
        <f aca="false">1/36</f>
        <v>0.0277777777777778</v>
      </c>
      <c r="R57" s="6" t="n">
        <f aca="false">R$51*Q57</f>
        <v>55</v>
      </c>
      <c r="S57" s="5"/>
      <c r="T57" s="5"/>
      <c r="U57" s="5"/>
    </row>
    <row r="58" customFormat="false" ht="13.8" hidden="false" customHeight="false" outlineLevel="0" collapsed="false">
      <c r="B58" s="1" t="s">
        <v>426</v>
      </c>
      <c r="C58" s="5" t="s">
        <v>53</v>
      </c>
      <c r="D58" s="5" t="n">
        <f aca="false">7/2130</f>
        <v>0.00328638497652582</v>
      </c>
      <c r="E58" s="6" t="n">
        <f aca="false">E$51*D58</f>
        <v>6.63192488262911</v>
      </c>
      <c r="F58" s="5"/>
      <c r="G58" s="5"/>
      <c r="H58" s="5"/>
      <c r="I58" s="0" t="s">
        <v>427</v>
      </c>
      <c r="J58" s="0"/>
      <c r="K58" s="0" t="n">
        <f aca="false">7/2130</f>
        <v>0.00328638497652582</v>
      </c>
      <c r="L58" s="6" t="n">
        <f aca="false">L$51*K58</f>
        <v>0.368075117370892</v>
      </c>
      <c r="M58" s="54"/>
      <c r="N58" s="54"/>
      <c r="O58" s="1" t="s">
        <v>428</v>
      </c>
      <c r="P58" s="5" t="s">
        <v>429</v>
      </c>
      <c r="Q58" s="11" t="n">
        <f aca="false">65/396</f>
        <v>0.164141414141414</v>
      </c>
      <c r="R58" s="6" t="n">
        <f aca="false">R$51*Q58</f>
        <v>325</v>
      </c>
      <c r="S58" s="5"/>
      <c r="T58" s="5"/>
      <c r="U58" s="5"/>
    </row>
    <row r="59" customFormat="false" ht="13.8" hidden="false" customHeight="false" outlineLevel="0" collapsed="false">
      <c r="B59" s="1" t="s">
        <v>430</v>
      </c>
      <c r="C59" s="5" t="s">
        <v>55</v>
      </c>
      <c r="D59" s="5" t="n">
        <f aca="false">26/213</f>
        <v>0.122065727699531</v>
      </c>
      <c r="E59" s="6" t="n">
        <f aca="false">E$51*D59</f>
        <v>246.328638497653</v>
      </c>
      <c r="F59" s="5"/>
      <c r="G59" s="5"/>
      <c r="H59" s="5"/>
      <c r="I59" s="0" t="s">
        <v>431</v>
      </c>
      <c r="J59" s="0"/>
      <c r="K59" s="0" t="n">
        <f aca="false">26/213</f>
        <v>0.122065727699531</v>
      </c>
      <c r="L59" s="6" t="n">
        <f aca="false">L$51*K59</f>
        <v>13.6713615023474</v>
      </c>
      <c r="M59" s="54"/>
      <c r="N59" s="54"/>
      <c r="O59" s="1" t="s">
        <v>432</v>
      </c>
      <c r="P59" s="5" t="s">
        <v>433</v>
      </c>
      <c r="Q59" s="11" t="n">
        <f aca="false">4/891</f>
        <v>0.00448933782267116</v>
      </c>
      <c r="R59" s="6" t="n">
        <f aca="false">R$51*Q59</f>
        <v>8.88888888888889</v>
      </c>
      <c r="S59" s="5"/>
      <c r="T59" s="5"/>
      <c r="U59" s="5"/>
    </row>
    <row r="60" customFormat="false" ht="13.8" hidden="false" customHeight="false" outlineLevel="0" collapsed="false">
      <c r="B60" s="1" t="s">
        <v>434</v>
      </c>
      <c r="C60" s="5" t="s">
        <v>435</v>
      </c>
      <c r="D60" s="5" t="n">
        <f aca="false">353/9585</f>
        <v>0.0368283776734481</v>
      </c>
      <c r="E60" s="6" t="n">
        <f aca="false">E$51*D60</f>
        <v>74.3196661450183</v>
      </c>
      <c r="F60" s="5"/>
      <c r="G60" s="2" t="n">
        <f aca="false">E55+E56+E60</f>
        <v>111.479499217527</v>
      </c>
      <c r="H60" s="5"/>
      <c r="I60" s="0" t="s">
        <v>436</v>
      </c>
      <c r="J60" s="0"/>
      <c r="K60" s="0" t="n">
        <f aca="false">353/9585</f>
        <v>0.0368283776734481</v>
      </c>
      <c r="L60" s="6" t="n">
        <f aca="false">L$51*K60</f>
        <v>4.12477829942619</v>
      </c>
      <c r="M60" s="54"/>
      <c r="N60" s="54"/>
      <c r="O60" s="1" t="s">
        <v>437</v>
      </c>
      <c r="P60" s="8" t="s">
        <v>180</v>
      </c>
      <c r="Q60" s="11" t="n">
        <f aca="false">1/9</f>
        <v>0.111111111111111</v>
      </c>
      <c r="R60" s="6" t="n">
        <f aca="false">R$51*Q60</f>
        <v>220</v>
      </c>
      <c r="S60" s="5"/>
      <c r="T60" s="5"/>
      <c r="U60" s="5"/>
    </row>
    <row r="61" customFormat="false" ht="13.8" hidden="false" customHeight="false" outlineLevel="0" collapsed="false">
      <c r="B61" s="1" t="s">
        <v>438</v>
      </c>
      <c r="C61" s="5" t="s">
        <v>16</v>
      </c>
      <c r="D61" s="5" t="n">
        <f aca="false">8/213</f>
        <v>0.0375586854460094</v>
      </c>
      <c r="E61" s="6" t="n">
        <f aca="false">E$51*D61</f>
        <v>75.7934272300469</v>
      </c>
      <c r="F61" s="5"/>
      <c r="G61" s="5"/>
      <c r="H61" s="5"/>
      <c r="I61" s="0" t="s">
        <v>439</v>
      </c>
      <c r="J61" s="0"/>
      <c r="K61" s="0" t="n">
        <f aca="false">8/213</f>
        <v>0.0375586854460094</v>
      </c>
      <c r="L61" s="6" t="n">
        <f aca="false">L$51*K61</f>
        <v>4.20657276995305</v>
      </c>
      <c r="M61" s="54"/>
      <c r="N61" s="54"/>
      <c r="O61" s="1" t="s">
        <v>440</v>
      </c>
      <c r="P61" s="5" t="s">
        <v>441</v>
      </c>
      <c r="Q61" s="11" t="n">
        <f aca="false">3/44</f>
        <v>0.0681818181818182</v>
      </c>
      <c r="R61" s="6" t="n">
        <f aca="false">R$51*Q61</f>
        <v>135</v>
      </c>
      <c r="S61" s="5"/>
      <c r="T61" s="5"/>
      <c r="U61" s="5"/>
    </row>
    <row r="62" customFormat="false" ht="13.8" hidden="false" customHeight="false" outlineLevel="0" collapsed="false">
      <c r="B62" s="1" t="s">
        <v>442</v>
      </c>
      <c r="C62" s="5" t="s">
        <v>443</v>
      </c>
      <c r="D62" s="5" t="n">
        <f aca="false">464879/4298340</f>
        <v>0.108153147494149</v>
      </c>
      <c r="E62" s="6" t="n">
        <f aca="false">E$51*D62</f>
        <v>218.253051643193</v>
      </c>
      <c r="F62" s="5"/>
      <c r="G62" s="5"/>
      <c r="H62" s="5"/>
      <c r="I62" s="0" t="s">
        <v>444</v>
      </c>
      <c r="J62" s="0"/>
      <c r="K62" s="0" t="n">
        <f aca="false">53/11928</f>
        <v>0.00444332662642522</v>
      </c>
      <c r="L62" s="6" t="n">
        <f aca="false">L$51*K62</f>
        <v>0.497652582159624</v>
      </c>
      <c r="M62" s="54"/>
      <c r="N62" s="54"/>
      <c r="O62" s="1" t="s">
        <v>445</v>
      </c>
      <c r="P62" s="5" t="s">
        <v>412</v>
      </c>
      <c r="Q62" s="11" t="n">
        <f aca="false">1/36</f>
        <v>0.0277777777777778</v>
      </c>
      <c r="R62" s="6" t="n">
        <f aca="false">R$51*Q62</f>
        <v>55</v>
      </c>
      <c r="S62" s="5"/>
      <c r="T62" s="5"/>
      <c r="U62" s="5"/>
    </row>
    <row r="63" customFormat="false" ht="13.8" hidden="false" customHeight="false" outlineLevel="0" collapsed="false">
      <c r="B63" s="1" t="s">
        <v>446</v>
      </c>
      <c r="C63" s="5" t="s">
        <v>447</v>
      </c>
      <c r="D63" s="5" t="n">
        <f aca="false">473/10650</f>
        <v>0.0444131455399061</v>
      </c>
      <c r="E63" s="6" t="n">
        <f aca="false">E$51*D63</f>
        <v>89.6257276995305</v>
      </c>
      <c r="F63" s="5"/>
      <c r="G63" s="5"/>
      <c r="H63" s="5"/>
      <c r="I63" s="0" t="s">
        <v>448</v>
      </c>
      <c r="J63" s="0"/>
      <c r="K63" s="0" t="n">
        <f aca="false">1094/5325</f>
        <v>0.205446009389671</v>
      </c>
      <c r="L63" s="6" t="n">
        <f aca="false">L$51*K63</f>
        <v>23.0099530516432</v>
      </c>
      <c r="M63" s="54" t="n">
        <f aca="false">L63/20</f>
        <v>1.15049765258216</v>
      </c>
      <c r="N63" s="54"/>
      <c r="O63" s="1" t="s">
        <v>449</v>
      </c>
      <c r="P63" s="5" t="s">
        <v>450</v>
      </c>
      <c r="Q63" s="11" t="n">
        <f aca="false">7/396</f>
        <v>0.0176767676767677</v>
      </c>
      <c r="R63" s="6" t="n">
        <f aca="false">R$51*Q63</f>
        <v>35</v>
      </c>
      <c r="S63" s="5"/>
      <c r="T63" s="5"/>
      <c r="U63" s="5"/>
    </row>
    <row r="64" customFormat="false" ht="13.8" hidden="false" customHeight="false" outlineLevel="0" collapsed="false">
      <c r="B64" s="1" t="s">
        <v>451</v>
      </c>
      <c r="C64" s="5" t="s">
        <v>452</v>
      </c>
      <c r="D64" s="5" t="n">
        <f aca="false">74/1065</f>
        <v>0.0694835680751174</v>
      </c>
      <c r="E64" s="6" t="n">
        <f aca="false">E$51*D64</f>
        <v>140.217840375587</v>
      </c>
      <c r="F64" s="5"/>
      <c r="G64" s="5"/>
      <c r="H64" s="5"/>
      <c r="I64" s="0" t="s">
        <v>453</v>
      </c>
      <c r="J64" s="0"/>
      <c r="K64" s="0" t="n">
        <f aca="false">74/1065</f>
        <v>0.0694835680751174</v>
      </c>
      <c r="L64" s="6" t="n">
        <f aca="false">L$51*K64</f>
        <v>7.78215962441315</v>
      </c>
      <c r="M64" s="54"/>
      <c r="N64" s="54"/>
      <c r="O64" s="1" t="s">
        <v>454</v>
      </c>
      <c r="P64" s="5" t="s">
        <v>450</v>
      </c>
      <c r="Q64" s="11" t="n">
        <f aca="false">7/396</f>
        <v>0.0176767676767677</v>
      </c>
      <c r="R64" s="6" t="n">
        <f aca="false">R$51*Q64</f>
        <v>35</v>
      </c>
      <c r="S64" s="5"/>
      <c r="T64" s="5"/>
      <c r="U64" s="5"/>
    </row>
    <row r="65" customFormat="false" ht="13.8" hidden="false" customHeight="false" outlineLevel="0" collapsed="false">
      <c r="B65" s="1" t="s">
        <v>455</v>
      </c>
      <c r="C65" s="5" t="s">
        <v>277</v>
      </c>
      <c r="D65" s="5" t="n">
        <f aca="false">353/19170</f>
        <v>0.0184141888367241</v>
      </c>
      <c r="E65" s="6" t="n">
        <f aca="false">E$51*D65</f>
        <v>37.1598330725091</v>
      </c>
      <c r="F65" s="5"/>
      <c r="G65" s="5"/>
      <c r="H65" s="5"/>
      <c r="I65" s="0" t="s">
        <v>456</v>
      </c>
      <c r="J65" s="0"/>
      <c r="K65" s="0" t="n">
        <f aca="false">353/19170</f>
        <v>0.0184141888367241</v>
      </c>
      <c r="L65" s="6" t="n">
        <f aca="false">L$51*K65</f>
        <v>2.06238914971309</v>
      </c>
      <c r="M65" s="54"/>
      <c r="N65" s="54"/>
      <c r="O65" s="1" t="s">
        <v>457</v>
      </c>
      <c r="P65" s="5" t="s">
        <v>450</v>
      </c>
      <c r="Q65" s="11" t="n">
        <f aca="false">7/396</f>
        <v>0.0176767676767677</v>
      </c>
      <c r="R65" s="6" t="n">
        <f aca="false">R$51*Q65</f>
        <v>35</v>
      </c>
      <c r="S65" s="5"/>
      <c r="T65" s="5"/>
      <c r="U65" s="5"/>
    </row>
    <row r="66" customFormat="false" ht="13.8" hidden="false" customHeight="false" outlineLevel="0" collapsed="false">
      <c r="B66" s="10" t="s">
        <v>458</v>
      </c>
      <c r="C66" s="2" t="s">
        <v>277</v>
      </c>
      <c r="D66" s="2" t="n">
        <f aca="false">353/19170</f>
        <v>0.0184141888367241</v>
      </c>
      <c r="E66" s="7" t="n">
        <f aca="false">E$51*D66</f>
        <v>37.1598330725091</v>
      </c>
      <c r="F66" s="5"/>
      <c r="G66" s="5"/>
      <c r="H66" s="5"/>
      <c r="I66" s="0" t="s">
        <v>459</v>
      </c>
      <c r="J66" s="0"/>
      <c r="K66" s="0" t="n">
        <f aca="false">1829/19170</f>
        <v>0.0954094940010433</v>
      </c>
      <c r="L66" s="6" t="n">
        <f aca="false">L$51*K66</f>
        <v>10.6858633281169</v>
      </c>
      <c r="M66" s="54"/>
      <c r="N66" s="54"/>
      <c r="O66" s="1" t="s">
        <v>460</v>
      </c>
      <c r="P66" s="5" t="s">
        <v>461</v>
      </c>
      <c r="Q66" s="11" t="n">
        <f aca="false">2/297</f>
        <v>0.00673400673400673</v>
      </c>
      <c r="R66" s="6" t="n">
        <f aca="false">R$51*Q66</f>
        <v>13.3333333333333</v>
      </c>
      <c r="S66" s="5"/>
      <c r="T66" s="5"/>
      <c r="U66" s="5"/>
    </row>
    <row r="67" customFormat="false" ht="13.8" hidden="false" customHeight="false" outlineLevel="0" collapsed="false">
      <c r="B67" s="1" t="s">
        <v>462</v>
      </c>
      <c r="C67" s="5" t="s">
        <v>463</v>
      </c>
      <c r="D67" s="5" t="n">
        <f aca="false">38879/4298340</f>
        <v>0.00904511974390113</v>
      </c>
      <c r="E67" s="6" t="n">
        <f aca="false">E$51*D67</f>
        <v>18.2530516431925</v>
      </c>
      <c r="F67" s="5"/>
      <c r="G67" s="5"/>
      <c r="H67" s="5"/>
      <c r="I67" s="0" t="s">
        <v>464</v>
      </c>
      <c r="J67" s="0"/>
      <c r="K67" s="0" t="n">
        <f aca="false">353/19170</f>
        <v>0.0184141888367241</v>
      </c>
      <c r="L67" s="6" t="n">
        <f aca="false">L$51*K67</f>
        <v>2.06238914971309</v>
      </c>
      <c r="M67" s="54"/>
      <c r="N67" s="54"/>
      <c r="O67" s="1" t="s">
        <v>465</v>
      </c>
      <c r="P67" s="5" t="s">
        <v>461</v>
      </c>
      <c r="Q67" s="11" t="n">
        <f aca="false">2/297</f>
        <v>0.00673400673400673</v>
      </c>
      <c r="R67" s="6" t="n">
        <f aca="false">R$51*Q67</f>
        <v>13.3333333333333</v>
      </c>
      <c r="S67" s="5"/>
      <c r="T67" s="5"/>
      <c r="U67" s="5"/>
    </row>
    <row r="68" customFormat="false" ht="13.8" hidden="false" customHeight="false" outlineLevel="0" collapsed="false">
      <c r="B68" s="1" t="s">
        <v>466</v>
      </c>
      <c r="C68" s="5" t="s">
        <v>467</v>
      </c>
      <c r="D68" s="5" t="n">
        <f aca="false">50/1009</f>
        <v>0.0495540138751239</v>
      </c>
      <c r="E68" s="6" t="n">
        <f aca="false">E$51*D68</f>
        <v>100</v>
      </c>
      <c r="F68" s="5"/>
      <c r="G68" s="5"/>
      <c r="H68" s="5"/>
      <c r="I68" s="0" t="s">
        <v>468</v>
      </c>
      <c r="J68" s="0"/>
      <c r="K68" s="0" t="n">
        <f aca="false">353/38340</f>
        <v>0.00920709441836203</v>
      </c>
      <c r="L68" s="6" t="n">
        <f aca="false">L$51*K68</f>
        <v>1.03119457485655</v>
      </c>
      <c r="M68" s="54"/>
      <c r="N68" s="54"/>
      <c r="O68" s="1" t="s">
        <v>469</v>
      </c>
      <c r="P68" s="5" t="s">
        <v>461</v>
      </c>
      <c r="Q68" s="11" t="n">
        <f aca="false">2/297</f>
        <v>0.00673400673400673</v>
      </c>
      <c r="R68" s="6" t="n">
        <f aca="false">R$51*Q68</f>
        <v>13.3333333333333</v>
      </c>
      <c r="S68" s="5"/>
      <c r="T68" s="5"/>
      <c r="U68" s="5"/>
    </row>
    <row r="69" customFormat="false" ht="13.8" hidden="false" customHeight="false" outlineLevel="0" collapsed="false">
      <c r="B69" s="1" t="s">
        <v>470</v>
      </c>
      <c r="C69" s="5" t="s">
        <v>467</v>
      </c>
      <c r="D69" s="5" t="n">
        <f aca="false">50/1009</f>
        <v>0.0495540138751239</v>
      </c>
      <c r="E69" s="6" t="n">
        <f aca="false">E$51*D69</f>
        <v>100</v>
      </c>
      <c r="F69" s="5"/>
      <c r="G69" s="5"/>
      <c r="H69" s="5"/>
      <c r="I69" s="54"/>
      <c r="J69" s="54"/>
      <c r="K69" s="55"/>
      <c r="L69" s="55"/>
      <c r="M69" s="54"/>
      <c r="N69" s="54"/>
      <c r="O69" s="1" t="s">
        <v>471</v>
      </c>
      <c r="P69" s="5" t="s">
        <v>461</v>
      </c>
      <c r="Q69" s="11" t="n">
        <f aca="false">2/297</f>
        <v>0.00673400673400673</v>
      </c>
      <c r="R69" s="6" t="n">
        <f aca="false">R$51*Q69</f>
        <v>13.3333333333333</v>
      </c>
      <c r="S69" s="5"/>
      <c r="T69" s="5"/>
      <c r="U69" s="5"/>
    </row>
    <row r="70" customFormat="false" ht="13.8" hidden="false" customHeight="false" outlineLevel="0" collapsed="false">
      <c r="B70" s="1" t="s">
        <v>472</v>
      </c>
      <c r="C70" s="5" t="s">
        <v>473</v>
      </c>
      <c r="D70" s="5" t="n">
        <f aca="false">267/1775</f>
        <v>0.150422535211268</v>
      </c>
      <c r="E70" s="6" t="n">
        <f aca="false">E$51*D70</f>
        <v>303.552676056338</v>
      </c>
      <c r="F70" s="5"/>
      <c r="G70" s="5"/>
      <c r="H70" s="5"/>
      <c r="I70" s="54"/>
      <c r="J70" s="54"/>
      <c r="K70" s="55"/>
      <c r="L70" s="55"/>
      <c r="M70" s="54"/>
      <c r="N70" s="54"/>
      <c r="O70" s="1" t="s">
        <v>474</v>
      </c>
      <c r="P70" s="5" t="s">
        <v>316</v>
      </c>
      <c r="Q70" s="11" t="n">
        <f aca="false">5/66</f>
        <v>0.0757575757575758</v>
      </c>
      <c r="R70" s="6" t="n">
        <f aca="false">R$51*Q70</f>
        <v>150</v>
      </c>
      <c r="S70" s="5"/>
      <c r="T70" s="5"/>
      <c r="U70" s="5"/>
    </row>
    <row r="71" customFormat="false" ht="13.8" hidden="false" customHeight="false" outlineLevel="0" collapsed="false">
      <c r="B71" s="1" t="s">
        <v>475</v>
      </c>
      <c r="C71" s="5" t="s">
        <v>476</v>
      </c>
      <c r="D71" s="5" t="n">
        <f aca="false">1829/19170</f>
        <v>0.0954094940010433</v>
      </c>
      <c r="E71" s="6" t="n">
        <f aca="false">E$51*D71</f>
        <v>192.536358894105</v>
      </c>
      <c r="F71" s="5" t="n">
        <f aca="false">E71/20</f>
        <v>9.62681794470527</v>
      </c>
      <c r="G71" s="5"/>
      <c r="H71" s="5"/>
      <c r="I71" s="54"/>
      <c r="J71" s="54"/>
      <c r="K71" s="55"/>
      <c r="L71" s="74" t="n">
        <f aca="false">SUM(L52:L70)</f>
        <v>112</v>
      </c>
      <c r="M71" s="54"/>
      <c r="N71" s="54"/>
      <c r="O71" s="1" t="s">
        <v>477</v>
      </c>
      <c r="P71" s="8" t="s">
        <v>478</v>
      </c>
      <c r="Q71" s="11" t="n">
        <f aca="false">1/12</f>
        <v>0.0833333333333333</v>
      </c>
      <c r="R71" s="6" t="n">
        <f aca="false">R$51*Q71</f>
        <v>165</v>
      </c>
      <c r="S71" s="5" t="n">
        <f aca="false">R71/20</f>
        <v>8.25</v>
      </c>
      <c r="T71" s="5"/>
      <c r="U71" s="5"/>
    </row>
    <row r="72" customFormat="false" ht="13.8" hidden="false" customHeight="false" outlineLevel="0" collapsed="false">
      <c r="B72" s="5"/>
      <c r="C72" s="5"/>
      <c r="D72" s="7" t="n">
        <f aca="false">SUM(D52:D71)</f>
        <v>1</v>
      </c>
      <c r="E72" s="7" t="n">
        <f aca="false">SUM(E52:E71)</f>
        <v>2018</v>
      </c>
      <c r="F72" s="5"/>
      <c r="G72" s="5"/>
      <c r="H72" s="5"/>
      <c r="I72" s="54"/>
      <c r="J72" s="54"/>
      <c r="K72" s="55"/>
      <c r="L72" s="74"/>
      <c r="M72" s="54"/>
      <c r="N72" s="54"/>
      <c r="O72" s="1" t="s">
        <v>479</v>
      </c>
      <c r="P72" s="5" t="s">
        <v>296</v>
      </c>
      <c r="Q72" s="11" t="n">
        <f aca="false">19/220</f>
        <v>0.0863636363636364</v>
      </c>
      <c r="R72" s="6" t="n">
        <f aca="false">R$51*Q72</f>
        <v>171</v>
      </c>
      <c r="S72" s="5"/>
      <c r="T72" s="5"/>
      <c r="U72" s="5"/>
    </row>
    <row r="73" customFormat="false" ht="13.8" hidden="false" customHeight="false" outlineLevel="0" collapsed="false">
      <c r="B73" s="5"/>
      <c r="C73" s="5"/>
      <c r="D73" s="7"/>
      <c r="E73" s="7"/>
      <c r="F73" s="5"/>
      <c r="G73" s="5"/>
      <c r="H73" s="5"/>
      <c r="I73" s="54"/>
      <c r="J73" s="54"/>
      <c r="K73" s="55"/>
      <c r="L73" s="74"/>
      <c r="M73" s="54"/>
      <c r="N73" s="54"/>
      <c r="O73" s="1" t="s">
        <v>480</v>
      </c>
      <c r="P73" s="5" t="s">
        <v>404</v>
      </c>
      <c r="Q73" s="11" t="n">
        <f aca="false">2/891</f>
        <v>0.00224466891133558</v>
      </c>
      <c r="R73" s="6" t="n">
        <f aca="false">R$51*Q73</f>
        <v>4.44444444444445</v>
      </c>
      <c r="S73" s="5"/>
      <c r="T73" s="5"/>
      <c r="U73" s="5"/>
    </row>
    <row r="74" customFormat="false" ht="13.8" hidden="false" customHeight="false" outlineLevel="0" collapsed="false">
      <c r="B74" s="5"/>
      <c r="C74" s="5"/>
      <c r="D74" s="7"/>
      <c r="E74" s="7"/>
      <c r="F74" s="5"/>
      <c r="G74" s="5"/>
      <c r="H74" s="5"/>
      <c r="I74" s="54"/>
      <c r="J74" s="54"/>
      <c r="K74" s="55"/>
      <c r="L74" s="74"/>
      <c r="M74" s="54"/>
      <c r="N74" s="54"/>
      <c r="O74" s="1" t="s">
        <v>481</v>
      </c>
      <c r="P74" s="5" t="s">
        <v>278</v>
      </c>
      <c r="Q74" s="11" t="n">
        <f aca="false">7/198</f>
        <v>0.0353535353535354</v>
      </c>
      <c r="R74" s="6" t="n">
        <f aca="false">R$51*Q74</f>
        <v>70</v>
      </c>
      <c r="S74" s="5"/>
      <c r="T74" s="5"/>
      <c r="U74" s="5"/>
    </row>
    <row r="75" customFormat="false" ht="13.8" hidden="false" customHeight="false" outlineLevel="0" collapsed="false">
      <c r="B75" s="5"/>
      <c r="C75" s="5"/>
      <c r="D75" s="7"/>
      <c r="E75" s="7"/>
      <c r="F75" s="5"/>
      <c r="G75" s="5"/>
      <c r="H75" s="5"/>
      <c r="I75" s="54"/>
      <c r="J75" s="54"/>
      <c r="K75" s="55"/>
      <c r="L75" s="74"/>
      <c r="M75" s="54"/>
      <c r="N75" s="54"/>
      <c r="O75" s="1" t="s">
        <v>482</v>
      </c>
      <c r="P75" s="5" t="s">
        <v>290</v>
      </c>
      <c r="Q75" s="11" t="n">
        <f aca="false">79/1980</f>
        <v>0.0398989898989899</v>
      </c>
      <c r="R75" s="6" t="n">
        <f aca="false">R$51*Q75</f>
        <v>79</v>
      </c>
      <c r="S75" s="5"/>
      <c r="T75" s="5"/>
      <c r="U75" s="5"/>
    </row>
    <row r="76" customFormat="false" ht="13.8" hidden="false" customHeight="false" outlineLevel="0" collapsed="false">
      <c r="B76" s="5"/>
      <c r="C76" s="5"/>
      <c r="D76" s="7"/>
      <c r="E76" s="7"/>
      <c r="F76" s="5"/>
      <c r="G76" s="5"/>
      <c r="H76" s="5"/>
      <c r="I76" s="54"/>
      <c r="J76" s="54"/>
      <c r="K76" s="55"/>
      <c r="L76" s="74"/>
      <c r="M76" s="54"/>
      <c r="N76" s="54"/>
      <c r="O76" s="10" t="s">
        <v>483</v>
      </c>
      <c r="P76" s="2" t="s">
        <v>278</v>
      </c>
      <c r="Q76" s="86" t="n">
        <f aca="false">7/198</f>
        <v>0.0353535353535354</v>
      </c>
      <c r="R76" s="6" t="n">
        <f aca="false">R$51*Q76</f>
        <v>70</v>
      </c>
      <c r="S76" s="5"/>
      <c r="T76" s="5"/>
      <c r="U76" s="5"/>
    </row>
    <row r="77" customFormat="false" ht="13.8" hidden="false" customHeight="false" outlineLevel="0" collapsed="false">
      <c r="B77" s="5"/>
      <c r="C77" s="5"/>
      <c r="D77" s="7"/>
      <c r="E77" s="7"/>
      <c r="F77" s="5"/>
      <c r="G77" s="5"/>
      <c r="H77" s="5"/>
      <c r="I77" s="54"/>
      <c r="J77" s="54"/>
      <c r="K77" s="55"/>
      <c r="L77" s="74"/>
      <c r="M77" s="54"/>
      <c r="N77" s="54"/>
      <c r="O77" s="1" t="s">
        <v>484</v>
      </c>
      <c r="P77" s="5" t="s">
        <v>485</v>
      </c>
      <c r="Q77" s="11" t="n">
        <f aca="false">7/220</f>
        <v>0.0318181818181818</v>
      </c>
      <c r="R77" s="6" t="n">
        <f aca="false">R$51*Q77</f>
        <v>63</v>
      </c>
      <c r="S77" s="5"/>
      <c r="T77" s="5"/>
      <c r="U77" s="5"/>
    </row>
    <row r="78" customFormat="false" ht="13.8" hidden="false" customHeight="false" outlineLevel="0" collapsed="false">
      <c r="B78" s="5"/>
      <c r="C78" s="5"/>
      <c r="D78" s="7"/>
      <c r="E78" s="7"/>
      <c r="F78" s="5"/>
      <c r="G78" s="5"/>
      <c r="H78" s="5"/>
      <c r="I78" s="54"/>
      <c r="J78" s="54"/>
      <c r="K78" s="55"/>
      <c r="L78" s="74"/>
      <c r="M78" s="54"/>
      <c r="N78" s="54"/>
      <c r="O78" s="1" t="s">
        <v>486</v>
      </c>
      <c r="P78" s="5" t="s">
        <v>487</v>
      </c>
      <c r="Q78" s="11" t="n">
        <f aca="false">2/99</f>
        <v>0.0202020202020202</v>
      </c>
      <c r="R78" s="6" t="n">
        <f aca="false">R$51*Q78</f>
        <v>40</v>
      </c>
      <c r="S78" s="5"/>
      <c r="T78" s="5"/>
      <c r="U78" s="5"/>
    </row>
    <row r="79" customFormat="false" ht="13.8" hidden="false" customHeight="false" outlineLevel="0" collapsed="false">
      <c r="B79" s="5"/>
      <c r="C79" s="5"/>
      <c r="D79" s="7"/>
      <c r="E79" s="7"/>
      <c r="F79" s="5"/>
      <c r="G79" s="5"/>
      <c r="H79" s="5"/>
      <c r="I79" s="54"/>
      <c r="J79" s="54"/>
      <c r="K79" s="55"/>
      <c r="L79" s="74"/>
      <c r="M79" s="54"/>
      <c r="N79" s="54"/>
      <c r="O79" s="5"/>
      <c r="P79" s="5"/>
      <c r="Q79" s="86"/>
      <c r="R79" s="6" t="n">
        <f aca="false">R$51*Q79</f>
        <v>0</v>
      </c>
      <c r="S79" s="5"/>
      <c r="T79" s="5"/>
      <c r="U79" s="5"/>
    </row>
    <row r="80" customFormat="false" ht="13.8" hidden="false" customHeight="false" outlineLevel="0" collapsed="false">
      <c r="B80" s="5"/>
      <c r="C80" s="5"/>
      <c r="D80" s="7"/>
      <c r="E80" s="7"/>
      <c r="F80" s="5"/>
      <c r="G80" s="5"/>
      <c r="H80" s="5"/>
      <c r="I80" s="54"/>
      <c r="J80" s="54"/>
      <c r="K80" s="55"/>
      <c r="L80" s="74"/>
      <c r="M80" s="54"/>
      <c r="N80" s="54"/>
      <c r="O80" s="5"/>
      <c r="P80" s="5"/>
      <c r="Q80" s="86"/>
      <c r="R80" s="6" t="n">
        <f aca="false">R$51*Q80</f>
        <v>0</v>
      </c>
      <c r="S80" s="5"/>
      <c r="T80" s="5"/>
      <c r="U80" s="5"/>
    </row>
    <row r="81" customFormat="false" ht="13.8" hidden="false" customHeight="false" outlineLevel="0" collapsed="false">
      <c r="B81" s="5"/>
      <c r="C81" s="5"/>
      <c r="D81" s="7"/>
      <c r="E81" s="7"/>
      <c r="F81" s="5"/>
      <c r="G81" s="5"/>
      <c r="H81" s="5"/>
      <c r="I81" s="54"/>
      <c r="J81" s="54"/>
      <c r="K81" s="55"/>
      <c r="L81" s="74"/>
      <c r="M81" s="54"/>
      <c r="N81" s="54"/>
      <c r="O81" s="5"/>
      <c r="P81" s="5"/>
      <c r="Q81" s="86"/>
      <c r="R81" s="6" t="n">
        <f aca="false">R$51*Q81</f>
        <v>0</v>
      </c>
      <c r="S81" s="5"/>
      <c r="T81" s="5"/>
      <c r="U81" s="5"/>
    </row>
    <row r="82" customFormat="false" ht="13.8" hidden="false" customHeight="false" outlineLevel="0" collapsed="false">
      <c r="B82" s="5"/>
      <c r="C82" s="5"/>
      <c r="D82" s="7"/>
      <c r="E82" s="7"/>
      <c r="F82" s="5"/>
      <c r="G82" s="5"/>
      <c r="H82" s="5"/>
      <c r="I82" s="54"/>
      <c r="J82" s="54"/>
      <c r="K82" s="55"/>
      <c r="L82" s="74"/>
      <c r="M82" s="54"/>
      <c r="N82" s="54"/>
      <c r="O82" s="5"/>
      <c r="P82" s="5"/>
      <c r="Q82" s="86"/>
      <c r="R82" s="6" t="n">
        <f aca="false">R$51*Q82</f>
        <v>0</v>
      </c>
      <c r="S82" s="5"/>
      <c r="T82" s="5"/>
      <c r="U82" s="5"/>
    </row>
    <row r="83" customFormat="false" ht="13.8" hidden="false" customHeight="false" outlineLevel="0" collapsed="false">
      <c r="B83" s="5"/>
      <c r="C83" s="5"/>
      <c r="D83" s="7"/>
      <c r="E83" s="7"/>
      <c r="F83" s="5"/>
      <c r="G83" s="5"/>
      <c r="H83" s="5"/>
      <c r="I83" s="54"/>
      <c r="J83" s="54"/>
      <c r="K83" s="55"/>
      <c r="L83" s="74"/>
      <c r="M83" s="54"/>
      <c r="N83" s="54"/>
      <c r="O83" s="5"/>
      <c r="P83" s="5"/>
      <c r="Q83" s="86"/>
      <c r="R83" s="6" t="n">
        <f aca="false">R$51*Q83</f>
        <v>0</v>
      </c>
      <c r="S83" s="5"/>
      <c r="T83" s="5"/>
      <c r="U83" s="5"/>
    </row>
    <row r="84" customFormat="false" ht="13.8" hidden="false" customHeight="false" outlineLevel="0" collapsed="false">
      <c r="B84" s="5"/>
      <c r="C84" s="5"/>
      <c r="D84" s="7"/>
      <c r="E84" s="7"/>
      <c r="F84" s="5"/>
      <c r="G84" s="5"/>
      <c r="H84" s="5"/>
      <c r="I84" s="54"/>
      <c r="J84" s="54"/>
      <c r="K84" s="55"/>
      <c r="L84" s="74"/>
      <c r="M84" s="54"/>
      <c r="N84" s="54"/>
      <c r="O84" s="5"/>
      <c r="P84" s="5"/>
      <c r="Q84" s="7" t="n">
        <f aca="false">SUM(Q52:Q83)</f>
        <v>1</v>
      </c>
      <c r="R84" s="7" t="n">
        <f aca="false">SUM(R52:R83)</f>
        <v>1980</v>
      </c>
      <c r="S84" s="5"/>
      <c r="T84" s="5"/>
      <c r="U84" s="5"/>
    </row>
    <row r="85" customFormat="false" ht="13.8" hidden="false" customHeight="false" outlineLevel="0" collapsed="false">
      <c r="B85" s="10" t="s">
        <v>488</v>
      </c>
      <c r="D85" s="1"/>
      <c r="F85" s="1"/>
      <c r="I85" s="10" t="s">
        <v>489</v>
      </c>
      <c r="P85" s="10" t="s">
        <v>490</v>
      </c>
    </row>
    <row r="86" customFormat="false" ht="13.8" hidden="false" customHeight="false" outlineLevel="0" collapsed="false">
      <c r="B86" s="1" t="s">
        <v>491</v>
      </c>
      <c r="D86" s="1"/>
      <c r="F86" s="1"/>
      <c r="I86" s="1" t="s">
        <v>33</v>
      </c>
      <c r="P86" s="1" t="s">
        <v>60</v>
      </c>
    </row>
    <row r="87" customFormat="false" ht="13.8" hidden="false" customHeight="false" outlineLevel="0" collapsed="false">
      <c r="D87" s="1"/>
      <c r="F87" s="1"/>
    </row>
    <row r="88" customFormat="false" ht="13.8" hidden="false" customHeight="false" outlineLevel="0" collapsed="false">
      <c r="B88" s="1" t="s">
        <v>8</v>
      </c>
      <c r="D88" s="1"/>
      <c r="F88" s="1"/>
      <c r="I88" s="1" t="s">
        <v>8</v>
      </c>
      <c r="P88" s="1" t="s">
        <v>8</v>
      </c>
    </row>
    <row r="89" customFormat="false" ht="13.8" hidden="false" customHeight="false" outlineLevel="0" collapsed="false">
      <c r="B89" s="1" t="s">
        <v>11</v>
      </c>
      <c r="D89" s="1"/>
      <c r="F89" s="1"/>
      <c r="I89" s="1" t="s">
        <v>11</v>
      </c>
      <c r="P89" s="1" t="s">
        <v>11</v>
      </c>
    </row>
    <row r="90" customFormat="false" ht="13.8" hidden="false" customHeight="false" outlineLevel="0" collapsed="false">
      <c r="B90" s="1" t="s">
        <v>402</v>
      </c>
      <c r="D90" s="1"/>
      <c r="F90" s="1"/>
      <c r="I90" s="1" t="s">
        <v>492</v>
      </c>
      <c r="L90" s="1" t="s">
        <v>493</v>
      </c>
      <c r="P90" s="1" t="s">
        <v>403</v>
      </c>
    </row>
    <row r="91" customFormat="false" ht="13.8" hidden="false" customHeight="false" outlineLevel="0" collapsed="false">
      <c r="B91" s="1" t="s">
        <v>405</v>
      </c>
      <c r="I91" s="1" t="s">
        <v>494</v>
      </c>
      <c r="L91" s="1" t="s">
        <v>495</v>
      </c>
      <c r="M91" s="1" t="s">
        <v>496</v>
      </c>
      <c r="P91" s="1" t="s">
        <v>407</v>
      </c>
    </row>
    <row r="92" customFormat="false" ht="13.8" hidden="false" customHeight="false" outlineLevel="0" collapsed="false">
      <c r="B92" s="1" t="s">
        <v>409</v>
      </c>
      <c r="I92" s="1" t="s">
        <v>497</v>
      </c>
      <c r="P92" s="1" t="s">
        <v>411</v>
      </c>
    </row>
    <row r="93" customFormat="false" ht="13.8" hidden="false" customHeight="false" outlineLevel="0" collapsed="false">
      <c r="B93" s="1" t="s">
        <v>413</v>
      </c>
      <c r="I93" s="1" t="s">
        <v>498</v>
      </c>
      <c r="L93" s="1" t="s">
        <v>499</v>
      </c>
      <c r="P93" s="1" t="s">
        <v>416</v>
      </c>
    </row>
    <row r="94" customFormat="false" ht="13.8" hidden="false" customHeight="false" outlineLevel="0" collapsed="false">
      <c r="B94" s="1" t="s">
        <v>418</v>
      </c>
      <c r="I94" s="1" t="s">
        <v>500</v>
      </c>
      <c r="L94" s="1" t="s">
        <v>501</v>
      </c>
      <c r="P94" s="1" t="s">
        <v>420</v>
      </c>
    </row>
    <row r="95" customFormat="false" ht="13.8" hidden="false" customHeight="false" outlineLevel="0" collapsed="false">
      <c r="B95" s="1" t="s">
        <v>422</v>
      </c>
      <c r="I95" s="1" t="s">
        <v>427</v>
      </c>
      <c r="P95" s="1" t="s">
        <v>425</v>
      </c>
    </row>
    <row r="96" customFormat="false" ht="13.8" hidden="false" customHeight="false" outlineLevel="0" collapsed="false">
      <c r="B96" s="1" t="s">
        <v>426</v>
      </c>
      <c r="I96" s="1" t="s">
        <v>502</v>
      </c>
      <c r="P96" s="1" t="s">
        <v>428</v>
      </c>
    </row>
    <row r="97" customFormat="false" ht="13.8" hidden="false" customHeight="false" outlineLevel="0" collapsed="false">
      <c r="B97" s="1" t="s">
        <v>430</v>
      </c>
      <c r="I97" s="1" t="s">
        <v>503</v>
      </c>
      <c r="P97" s="1" t="s">
        <v>432</v>
      </c>
    </row>
    <row r="98" customFormat="false" ht="13.8" hidden="false" customHeight="false" outlineLevel="0" collapsed="false">
      <c r="B98" s="1" t="s">
        <v>434</v>
      </c>
      <c r="I98" s="1" t="s">
        <v>504</v>
      </c>
      <c r="P98" s="1" t="s">
        <v>437</v>
      </c>
    </row>
    <row r="99" customFormat="false" ht="13.8" hidden="false" customHeight="false" outlineLevel="0" collapsed="false">
      <c r="B99" s="1" t="s">
        <v>438</v>
      </c>
      <c r="I99" s="1" t="s">
        <v>505</v>
      </c>
      <c r="P99" s="1" t="s">
        <v>440</v>
      </c>
    </row>
    <row r="100" customFormat="false" ht="13.8" hidden="false" customHeight="false" outlineLevel="0" collapsed="false">
      <c r="B100" s="1" t="s">
        <v>442</v>
      </c>
      <c r="I100" s="1" t="s">
        <v>506</v>
      </c>
      <c r="P100" s="1" t="s">
        <v>445</v>
      </c>
    </row>
    <row r="101" customFormat="false" ht="13.8" hidden="false" customHeight="false" outlineLevel="0" collapsed="false">
      <c r="B101" s="1" t="s">
        <v>446</v>
      </c>
      <c r="I101" s="1" t="s">
        <v>507</v>
      </c>
      <c r="P101" s="1" t="s">
        <v>449</v>
      </c>
    </row>
    <row r="102" customFormat="false" ht="13.8" hidden="false" customHeight="false" outlineLevel="0" collapsed="false">
      <c r="B102" s="1" t="s">
        <v>451</v>
      </c>
      <c r="I102" s="1" t="s">
        <v>508</v>
      </c>
      <c r="P102" s="1" t="s">
        <v>454</v>
      </c>
    </row>
    <row r="103" customFormat="false" ht="13.8" hidden="false" customHeight="false" outlineLevel="0" collapsed="false">
      <c r="B103" s="1" t="s">
        <v>455</v>
      </c>
      <c r="I103" s="1" t="s">
        <v>509</v>
      </c>
      <c r="P103" s="1" t="s">
        <v>457</v>
      </c>
    </row>
    <row r="104" customFormat="false" ht="13.8" hidden="false" customHeight="false" outlineLevel="0" collapsed="false">
      <c r="B104" s="1" t="s">
        <v>458</v>
      </c>
      <c r="I104" s="1" t="s">
        <v>464</v>
      </c>
      <c r="P104" s="1" t="s">
        <v>460</v>
      </c>
    </row>
    <row r="105" customFormat="false" ht="13.8" hidden="false" customHeight="false" outlineLevel="0" collapsed="false">
      <c r="B105" s="1" t="s">
        <v>462</v>
      </c>
      <c r="I105" s="1" t="s">
        <v>510</v>
      </c>
      <c r="P105" s="1" t="s">
        <v>465</v>
      </c>
    </row>
    <row r="106" customFormat="false" ht="13.8" hidden="false" customHeight="false" outlineLevel="0" collapsed="false">
      <c r="B106" s="1" t="s">
        <v>466</v>
      </c>
      <c r="I106" s="1" t="s">
        <v>424</v>
      </c>
      <c r="P106" s="1" t="s">
        <v>469</v>
      </c>
    </row>
    <row r="107" customFormat="false" ht="13.8" hidden="false" customHeight="false" outlineLevel="0" collapsed="false">
      <c r="B107" s="1" t="s">
        <v>470</v>
      </c>
      <c r="I107" s="1" t="s">
        <v>11</v>
      </c>
      <c r="P107" s="1" t="s">
        <v>471</v>
      </c>
    </row>
    <row r="108" customFormat="false" ht="13.8" hidden="false" customHeight="false" outlineLevel="0" collapsed="false">
      <c r="B108" s="1" t="s">
        <v>472</v>
      </c>
      <c r="I108" s="1" t="s">
        <v>57</v>
      </c>
      <c r="P108" s="1" t="s">
        <v>474</v>
      </c>
    </row>
    <row r="109" customFormat="false" ht="13.8" hidden="false" customHeight="false" outlineLevel="0" collapsed="false">
      <c r="B109" s="1" t="s">
        <v>475</v>
      </c>
      <c r="P109" s="1" t="s">
        <v>477</v>
      </c>
    </row>
    <row r="110" customFormat="false" ht="13.8" hidden="false" customHeight="false" outlineLevel="0" collapsed="false">
      <c r="B110" s="1" t="s">
        <v>11</v>
      </c>
      <c r="P110" s="1" t="s">
        <v>479</v>
      </c>
    </row>
    <row r="111" customFormat="false" ht="13.8" hidden="false" customHeight="false" outlineLevel="0" collapsed="false">
      <c r="B111" s="1" t="s">
        <v>511</v>
      </c>
      <c r="P111" s="1" t="s">
        <v>480</v>
      </c>
    </row>
    <row r="112" customFormat="false" ht="13.8" hidden="false" customHeight="false" outlineLevel="0" collapsed="false">
      <c r="P112" s="1" t="s">
        <v>481</v>
      </c>
    </row>
    <row r="113" customFormat="false" ht="13.8" hidden="false" customHeight="false" outlineLevel="0" collapsed="false">
      <c r="P113" s="1" t="s">
        <v>482</v>
      </c>
    </row>
    <row r="114" customFormat="false" ht="13.8" hidden="false" customHeight="false" outlineLevel="0" collapsed="false">
      <c r="P114" s="1" t="s">
        <v>483</v>
      </c>
    </row>
    <row r="115" customFormat="false" ht="13.8" hidden="false" customHeight="false" outlineLevel="0" collapsed="false">
      <c r="P115" s="1" t="s">
        <v>484</v>
      </c>
    </row>
    <row r="116" customFormat="false" ht="13.8" hidden="false" customHeight="false" outlineLevel="0" collapsed="false">
      <c r="P116" s="1" t="s">
        <v>486</v>
      </c>
    </row>
    <row r="117" customFormat="false" ht="13.8" hidden="false" customHeight="false" outlineLevel="0" collapsed="false">
      <c r="P117" s="1" t="s">
        <v>11</v>
      </c>
    </row>
    <row r="118" customFormat="false" ht="13.8" hidden="false" customHeight="false" outlineLevel="0" collapsed="false">
      <c r="P118" s="1" t="s">
        <v>89</v>
      </c>
    </row>
    <row r="120" customFormat="false" ht="13.8" hidden="false" customHeight="false" outlineLevel="0" collapsed="false">
      <c r="B120" s="1" t="s">
        <v>84</v>
      </c>
      <c r="C120" s="1" t="s">
        <v>85</v>
      </c>
      <c r="D120" s="1" t="s">
        <v>86</v>
      </c>
      <c r="E120" s="1" t="s">
        <v>3</v>
      </c>
      <c r="F120" s="1" t="s">
        <v>87</v>
      </c>
      <c r="G120" s="1" t="s">
        <v>88</v>
      </c>
      <c r="I120" s="1" t="s">
        <v>84</v>
      </c>
      <c r="J120" s="1" t="s">
        <v>85</v>
      </c>
      <c r="K120" s="1" t="s">
        <v>86</v>
      </c>
      <c r="L120" s="1" t="s">
        <v>3</v>
      </c>
      <c r="M120" s="1" t="s">
        <v>87</v>
      </c>
      <c r="N120" s="1" t="s">
        <v>88</v>
      </c>
      <c r="P120" s="1" t="s">
        <v>84</v>
      </c>
      <c r="Q120" s="1" t="s">
        <v>85</v>
      </c>
      <c r="R120" s="1" t="s">
        <v>86</v>
      </c>
      <c r="S120" s="1" t="s">
        <v>3</v>
      </c>
      <c r="T120" s="1" t="s">
        <v>87</v>
      </c>
      <c r="U120" s="1" t="s">
        <v>88</v>
      </c>
    </row>
    <row r="121" customFormat="false" ht="13.8" hidden="false" customHeight="false" outlineLevel="0" collapsed="false">
      <c r="B121" s="1" t="n">
        <v>2018</v>
      </c>
      <c r="C121" s="1" t="n">
        <f aca="false">INT(B121/160)</f>
        <v>12</v>
      </c>
      <c r="D121" s="1" t="n">
        <f aca="false">INT((B121-160*INT(B121/160))/20)</f>
        <v>4</v>
      </c>
      <c r="E121" s="1" t="n">
        <f aca="false">INT(B121-160*INT(B121/160)-20*INT((B121-160*INT(B121/160))/20))</f>
        <v>18</v>
      </c>
      <c r="F121" s="1" t="n">
        <f aca="false">ROUND((B121-INT(B121))*9,0)</f>
        <v>0</v>
      </c>
      <c r="G121" s="1" t="str">
        <f aca="false">TEXT(C121,"0")&amp;"K-"&amp;TEXT(D121,"0")&amp;"K-"&amp;TEXT(E121,"0")&amp;"M-"&amp;TEXT(F121,"0")&amp;"S"</f>
        <v>12K-4K-18M-0S</v>
      </c>
      <c r="I121" s="1" t="n">
        <v>112</v>
      </c>
      <c r="J121" s="1" t="n">
        <f aca="false">INT(I121/160)</f>
        <v>0</v>
      </c>
      <c r="K121" s="1" t="n">
        <f aca="false">INT((I121-160*INT(I121/160))/20)</f>
        <v>5</v>
      </c>
      <c r="L121" s="1" t="n">
        <f aca="false">INT(I121-160*INT(I121/160)-20*INT((I121-160*INT(I121/160))/20))</f>
        <v>12</v>
      </c>
      <c r="M121" s="1" t="n">
        <f aca="false">ROUND((I121-INT(I121))*9,0)</f>
        <v>0</v>
      </c>
      <c r="N121" s="1" t="str">
        <f aca="false">TEXT(J121,"0")&amp;"K-"&amp;TEXT(K121,"0")&amp;"K-"&amp;TEXT(L121,"0")&amp;"M-"&amp;TEXT(M121,"0")&amp;"S"</f>
        <v>0K-5K-12M-0S</v>
      </c>
      <c r="P121" s="1" t="n">
        <v>1980</v>
      </c>
      <c r="Q121" s="1" t="n">
        <f aca="false">INT(P121/160)</f>
        <v>12</v>
      </c>
      <c r="R121" s="1" t="n">
        <f aca="false">INT((P121-160*INT(P121/160))/20)</f>
        <v>3</v>
      </c>
      <c r="S121" s="1" t="n">
        <f aca="false">INT(P121-160*INT(P121/160)-20*INT((P121-160*INT(P121/160))/20))</f>
        <v>0</v>
      </c>
      <c r="T121" s="1" t="n">
        <f aca="false">ROUND((P121-INT(P121))*9,0)</f>
        <v>0</v>
      </c>
      <c r="U121" s="1" t="str">
        <f aca="false">TEXT(Q121,"0")&amp;"K-"&amp;TEXT(R121,"0")&amp;"K-"&amp;TEXT(S121,"0")&amp;"M-"&amp;TEXT(T121,"0")&amp;"S"</f>
        <v>12K-3K-0M-0S</v>
      </c>
    </row>
    <row r="124" customFormat="false" ht="13.8" hidden="false" customHeight="false" outlineLevel="0" collapsed="false">
      <c r="B124" s="10" t="s">
        <v>512</v>
      </c>
    </row>
    <row r="125" customFormat="false" ht="13.8" hidden="false" customHeight="false" outlineLevel="0" collapsed="false">
      <c r="B125" s="1" t="s">
        <v>84</v>
      </c>
      <c r="C125" s="1" t="s">
        <v>85</v>
      </c>
      <c r="D125" s="1" t="s">
        <v>86</v>
      </c>
      <c r="E125" s="1" t="s">
        <v>3</v>
      </c>
      <c r="F125" s="1" t="s">
        <v>87</v>
      </c>
      <c r="G125" s="1" t="s">
        <v>88</v>
      </c>
    </row>
    <row r="126" customFormat="false" ht="13.8" hidden="false" customHeight="false" outlineLevel="0" collapsed="false">
      <c r="A126" s="1" t="n">
        <v>574</v>
      </c>
      <c r="B126" s="12" t="n">
        <f aca="false">E5</f>
        <v>22.2222222222222</v>
      </c>
      <c r="C126" s="1" t="n">
        <f aca="false">INT(B126/160)</f>
        <v>0</v>
      </c>
      <c r="D126" s="1" t="n">
        <f aca="false">INT((B126-160*INT(B126/160))/20)</f>
        <v>1</v>
      </c>
      <c r="E126" s="1" t="n">
        <f aca="false">INT(B126-160*INT(B126/160)-20*INT((B126-160*INT(B126/160))/20))</f>
        <v>2</v>
      </c>
      <c r="F126" s="1" t="n">
        <f aca="false">ROUND((B126-INT(B126))*9,0)</f>
        <v>2</v>
      </c>
      <c r="G126" s="1" t="str">
        <f aca="false">TEXT(C126,"0")&amp;"K-"&amp;TEXT(D126,"0")&amp;"K-"&amp;TEXT(E126,"0")&amp;"M-"&amp;TEXT(F126,"0")&amp;"S"</f>
        <v>0K-1K-2M-2S</v>
      </c>
    </row>
    <row r="127" customFormat="false" ht="13.8" hidden="false" customHeight="false" outlineLevel="0" collapsed="false">
      <c r="A127" s="1" t="n">
        <v>575</v>
      </c>
      <c r="B127" s="12" t="n">
        <f aca="false">L5</f>
        <v>43.1111111111111</v>
      </c>
      <c r="C127" s="1" t="n">
        <f aca="false">INT(B127/160)</f>
        <v>0</v>
      </c>
      <c r="D127" s="1" t="n">
        <f aca="false">INT((B127-160*INT(B127/160))/20)</f>
        <v>2</v>
      </c>
      <c r="E127" s="1" t="n">
        <f aca="false">INT(B127-160*INT(B127/160)-20*INT((B127-160*INT(B127/160))/20))</f>
        <v>3</v>
      </c>
      <c r="F127" s="1" t="n">
        <f aca="false">ROUND((B127-INT(B127))*9,0)</f>
        <v>1</v>
      </c>
      <c r="G127" s="1" t="str">
        <f aca="false">TEXT(C127,"0")&amp;"K-"&amp;TEXT(D127,"0")&amp;"K-"&amp;TEXT(E127,"0")&amp;"M-"&amp;TEXT(F127,"0")&amp;"S"</f>
        <v>0K-2K-3M-1S</v>
      </c>
    </row>
    <row r="128" customFormat="false" ht="13.8" hidden="false" customHeight="false" outlineLevel="0" collapsed="false">
      <c r="A128" s="1" t="n">
        <v>576</v>
      </c>
      <c r="B128" s="12" t="n">
        <f aca="false">S5</f>
        <v>0.666666666666667</v>
      </c>
      <c r="C128" s="1" t="n">
        <f aca="false">INT(B128/160)</f>
        <v>0</v>
      </c>
      <c r="D128" s="1" t="n">
        <f aca="false">INT((B128-160*INT(B128/160))/20)</f>
        <v>0</v>
      </c>
      <c r="E128" s="1" t="n">
        <f aca="false">INT(B128-160*INT(B128/160)-20*INT((B128-160*INT(B128/160))/20))</f>
        <v>0</v>
      </c>
      <c r="F128" s="1" t="n">
        <f aca="false">ROUND((B128-INT(B128))*9,0)</f>
        <v>6</v>
      </c>
      <c r="G128" s="1" t="str">
        <f aca="false">TEXT(C128,"0")&amp;"K-"&amp;TEXT(D128,"0")&amp;"K-"&amp;TEXT(E128,"0")&amp;"M-"&amp;TEXT(F128,"0")&amp;"S"</f>
        <v>0K-0K-0M-6S</v>
      </c>
    </row>
    <row r="129" customFormat="false" ht="13.8" hidden="false" customHeight="false" outlineLevel="0" collapsed="false">
      <c r="A129" s="1" t="n">
        <v>583</v>
      </c>
      <c r="B129" s="12" t="n">
        <f aca="false">E66</f>
        <v>37.1598330725091</v>
      </c>
      <c r="C129" s="1" t="n">
        <f aca="false">INT(B129/160)</f>
        <v>0</v>
      </c>
      <c r="D129" s="1" t="n">
        <f aca="false">INT((B129-160*INT(B129/160))/20)</f>
        <v>1</v>
      </c>
      <c r="E129" s="1" t="n">
        <f aca="false">INT(B129-160*INT(B129/160)-20*INT((B129-160*INT(B129/160))/20))</f>
        <v>17</v>
      </c>
      <c r="F129" s="1" t="n">
        <f aca="false">ROUND((B129-INT(B129))*9,0)</f>
        <v>1</v>
      </c>
      <c r="G129" s="1" t="str">
        <f aca="false">TEXT(C129,"0")&amp;"K-"&amp;TEXT(D129,"0")&amp;"K-"&amp;TEXT(E129,"0")&amp;"M-"&amp;TEXT(F129,"0")&amp;"S"</f>
        <v>0K-1K-17M-1S</v>
      </c>
    </row>
    <row r="130" customFormat="false" ht="13.8" hidden="false" customHeight="false" outlineLevel="0" collapsed="false">
      <c r="A130" s="1" t="n">
        <v>584</v>
      </c>
      <c r="B130" s="12" t="n">
        <f aca="false">L52</f>
        <v>0.420657276995305</v>
      </c>
      <c r="C130" s="1" t="n">
        <f aca="false">INT(B130/160)</f>
        <v>0</v>
      </c>
      <c r="D130" s="1" t="n">
        <f aca="false">INT((B130-160*INT(B130/160))/20)</f>
        <v>0</v>
      </c>
      <c r="E130" s="1" t="n">
        <f aca="false">INT(B130-160*INT(B130/160)-20*INT((B130-160*INT(B130/160))/20))</f>
        <v>0</v>
      </c>
      <c r="F130" s="1" t="n">
        <f aca="false">ROUND((B130-INT(B130))*9,0)</f>
        <v>4</v>
      </c>
      <c r="G130" s="1" t="str">
        <f aca="false">TEXT(C130,"0")&amp;"K-"&amp;TEXT(D130,"0")&amp;"K-"&amp;TEXT(E130,"0")&amp;"M-"&amp;TEXT(F130,"0")&amp;"S"</f>
        <v>0K-0K-0M-4S</v>
      </c>
    </row>
    <row r="131" customFormat="false" ht="13.8" hidden="false" customHeight="false" outlineLevel="0" collapsed="false">
      <c r="A131" s="1" t="n">
        <v>588</v>
      </c>
      <c r="B131" s="12" t="n">
        <f aca="false">R76</f>
        <v>70</v>
      </c>
      <c r="C131" s="1" t="n">
        <f aca="false">INT(B131/160)</f>
        <v>0</v>
      </c>
      <c r="D131" s="1" t="n">
        <f aca="false">INT((B131-160*INT(B131/160))/20)</f>
        <v>3</v>
      </c>
      <c r="E131" s="1" t="n">
        <f aca="false">INT(B131-160*INT(B131/160)-20*INT((B131-160*INT(B131/160))/20))</f>
        <v>10</v>
      </c>
      <c r="F131" s="1" t="n">
        <f aca="false">ROUND((B131-INT(B131))*9,0)</f>
        <v>0</v>
      </c>
      <c r="G131" s="1" t="str">
        <f aca="false">TEXT(C131,"0")&amp;"K-"&amp;TEXT(D131,"0")&amp;"K-"&amp;TEXT(E131,"0")&amp;"M-"&amp;TEXT(F131,"0")&amp;"S"</f>
        <v>0K-3K-10M-0S</v>
      </c>
    </row>
    <row r="132" customFormat="false" ht="13.8" hidden="false" customHeight="false" outlineLevel="0" collapsed="false">
      <c r="D132" s="1"/>
      <c r="F132" s="1"/>
    </row>
    <row r="133" customFormat="false" ht="13.8" hidden="false" customHeight="false" outlineLevel="0" collapsed="false">
      <c r="B133" s="15" t="n">
        <f aca="false">SUM(B126:B132)</f>
        <v>173.580490349504</v>
      </c>
      <c r="C133" s="10" t="n">
        <f aca="false">INT(B133/160)</f>
        <v>1</v>
      </c>
      <c r="D133" s="10" t="n">
        <f aca="false">INT((B133-160*INT(B133/160))/20)</f>
        <v>0</v>
      </c>
      <c r="E133" s="10" t="n">
        <f aca="false">INT(B133-160*INT(B133/160)-20*INT((B133-160*INT(B133/160))/20))</f>
        <v>13</v>
      </c>
      <c r="F133" s="10" t="n">
        <f aca="false">ROUND((B133-INT(B133))*9,0)</f>
        <v>5</v>
      </c>
      <c r="G133" s="10" t="str">
        <f aca="false">TEXT(C133,"0")&amp;"K-"&amp;TEXT(D133,"0")&amp;"K-"&amp;TEXT(E133,"0")&amp;"M-"&amp;TEXT(F133,"0")&amp;"S"</f>
        <v>1K-0K-13M-5S</v>
      </c>
      <c r="H133" s="10"/>
    </row>
    <row r="134" customFormat="false" ht="13.8" hidden="false" customHeight="false" outlineLevel="0" collapsed="false">
      <c r="B134" s="10" t="s">
        <v>513</v>
      </c>
    </row>
    <row r="135" customFormat="false" ht="13.8" hidden="false" customHeight="false" outlineLevel="0" collapsed="false">
      <c r="B135" s="1" t="s">
        <v>84</v>
      </c>
      <c r="C135" s="1" t="s">
        <v>85</v>
      </c>
      <c r="D135" s="1" t="s">
        <v>86</v>
      </c>
      <c r="E135" s="1" t="s">
        <v>3</v>
      </c>
      <c r="F135" s="1" t="s">
        <v>87</v>
      </c>
      <c r="G135" s="1" t="s">
        <v>88</v>
      </c>
    </row>
    <row r="136" customFormat="false" ht="13.8" hidden="false" customHeight="false" outlineLevel="0" collapsed="false">
      <c r="A136" s="1" t="n">
        <v>574</v>
      </c>
      <c r="B136" s="12" t="n">
        <f aca="false">E6</f>
        <v>22.2222222222222</v>
      </c>
      <c r="C136" s="1" t="n">
        <f aca="false">INT(B136/160)</f>
        <v>0</v>
      </c>
      <c r="D136" s="1" t="n">
        <f aca="false">INT((B136-160*INT(B136/160))/20)</f>
        <v>1</v>
      </c>
      <c r="E136" s="1" t="n">
        <f aca="false">INT(B136-160*INT(B136/160)-20*INT((B136-160*INT(B136/160))/20))</f>
        <v>2</v>
      </c>
      <c r="F136" s="1" t="n">
        <f aca="false">ROUND((B136-INT(B136))*9,0)</f>
        <v>2</v>
      </c>
      <c r="G136" s="1" t="str">
        <f aca="false">TEXT(C136,"0")&amp;"K-"&amp;TEXT(D136,"0")&amp;"K-"&amp;TEXT(E136,"0")&amp;"M-"&amp;TEXT(F136,"0")&amp;"S"</f>
        <v>0K-1K-2M-2S</v>
      </c>
    </row>
    <row r="137" customFormat="false" ht="13.8" hidden="false" customHeight="false" outlineLevel="0" collapsed="false">
      <c r="A137" s="1" t="n">
        <v>575</v>
      </c>
      <c r="B137" s="12" t="n">
        <f aca="false">L6</f>
        <v>43.1111111111111</v>
      </c>
      <c r="C137" s="1" t="n">
        <f aca="false">INT(B137/160)</f>
        <v>0</v>
      </c>
      <c r="D137" s="1" t="n">
        <f aca="false">INT((B137-160*INT(B137/160))/20)</f>
        <v>2</v>
      </c>
      <c r="E137" s="1" t="n">
        <f aca="false">INT(B137-160*INT(B137/160)-20*INT((B137-160*INT(B137/160))/20))</f>
        <v>3</v>
      </c>
      <c r="F137" s="1" t="n">
        <f aca="false">ROUND((B137-INT(B137))*9,0)</f>
        <v>1</v>
      </c>
      <c r="G137" s="1" t="str">
        <f aca="false">TEXT(C137,"0")&amp;"K-"&amp;TEXT(D137,"0")&amp;"K-"&amp;TEXT(E137,"0")&amp;"M-"&amp;TEXT(F137,"0")&amp;"S"</f>
        <v>0K-2K-3M-1S</v>
      </c>
    </row>
    <row r="138" customFormat="false" ht="13.8" hidden="false" customHeight="false" outlineLevel="0" collapsed="false">
      <c r="A138" s="1" t="n">
        <v>576</v>
      </c>
      <c r="B138" s="12" t="n">
        <f aca="false">S6</f>
        <v>0.666666666666667</v>
      </c>
      <c r="C138" s="1" t="n">
        <f aca="false">INT(B138/160)</f>
        <v>0</v>
      </c>
      <c r="D138" s="1" t="n">
        <f aca="false">INT((B138-160*INT(B138/160))/20)</f>
        <v>0</v>
      </c>
      <c r="E138" s="1" t="n">
        <f aca="false">INT(B138-160*INT(B138/160)-20*INT((B138-160*INT(B138/160))/20))</f>
        <v>0</v>
      </c>
      <c r="F138" s="1" t="n">
        <f aca="false">ROUND((B138-INT(B138))*9,0)</f>
        <v>6</v>
      </c>
      <c r="G138" s="1" t="str">
        <f aca="false">TEXT(C138,"0")&amp;"K-"&amp;TEXT(D138,"0")&amp;"K-"&amp;TEXT(E138,"0")&amp;"M-"&amp;TEXT(F138,"0")&amp;"S"</f>
        <v>0K-0K-0M-6S</v>
      </c>
    </row>
    <row r="139" customFormat="false" ht="13.8" hidden="false" customHeight="false" outlineLevel="0" collapsed="false">
      <c r="A139" s="1" t="n">
        <v>583</v>
      </c>
      <c r="B139" s="12" t="n">
        <f aca="false">E65</f>
        <v>37.1598330725091</v>
      </c>
      <c r="C139" s="1" t="n">
        <f aca="false">INT(B139/160)</f>
        <v>0</v>
      </c>
      <c r="D139" s="1" t="n">
        <f aca="false">INT((B139-160*INT(B139/160))/20)</f>
        <v>1</v>
      </c>
      <c r="E139" s="1" t="n">
        <f aca="false">INT(B139-160*INT(B139/160)-20*INT((B139-160*INT(B139/160))/20))</f>
        <v>17</v>
      </c>
      <c r="F139" s="1" t="n">
        <f aca="false">ROUND((B139-INT(B139))*9,0)</f>
        <v>1</v>
      </c>
      <c r="G139" s="1" t="str">
        <f aca="false">TEXT(C139,"0")&amp;"K-"&amp;TEXT(D139,"0")&amp;"K-"&amp;TEXT(E139,"0")&amp;"M-"&amp;TEXT(F139,"0")&amp;"S"</f>
        <v>0K-1K-17M-1S</v>
      </c>
    </row>
    <row r="140" customFormat="false" ht="13.8" hidden="false" customHeight="false" outlineLevel="0" collapsed="false">
      <c r="A140" s="1" t="n">
        <v>584</v>
      </c>
      <c r="B140" s="77" t="n">
        <f aca="false">L53</f>
        <v>2.05070422535211</v>
      </c>
      <c r="C140" s="1" t="n">
        <f aca="false">INT(B141/160)</f>
        <v>0</v>
      </c>
      <c r="D140" s="1" t="n">
        <f aca="false">INT((B141-160*INT(B141/160))/20)</f>
        <v>3</v>
      </c>
      <c r="E140" s="1" t="n">
        <f aca="false">INT(B141-160*INT(B141/160)-20*INT((B141-160*INT(B141/160))/20))</f>
        <v>10</v>
      </c>
      <c r="F140" s="1" t="n">
        <f aca="false">ROUND((B141-INT(B141))*9,0)</f>
        <v>0</v>
      </c>
      <c r="G140" s="1" t="str">
        <f aca="false">TEXT(C140,"0")&amp;"K-"&amp;TEXT(D140,"0")&amp;"K-"&amp;TEXT(E140,"0")&amp;"M-"&amp;TEXT(F140,"0")&amp;"S"</f>
        <v>0K-3K-10M-0S</v>
      </c>
    </row>
    <row r="141" customFormat="false" ht="13.8" hidden="false" customHeight="false" outlineLevel="0" collapsed="false">
      <c r="A141" s="1" t="n">
        <v>588</v>
      </c>
      <c r="B141" s="12" t="n">
        <f aca="false">R74</f>
        <v>70</v>
      </c>
      <c r="C141" s="1" t="n">
        <f aca="false">INT(B141/160)</f>
        <v>0</v>
      </c>
      <c r="D141" s="1" t="n">
        <f aca="false">INT((B141-160*INT(B141/160))/20)</f>
        <v>3</v>
      </c>
      <c r="E141" s="1" t="n">
        <f aca="false">INT(B141-160*INT(B141/160)-20*INT((B141-160*INT(B141/160))/20))</f>
        <v>10</v>
      </c>
      <c r="F141" s="1" t="n">
        <f aca="false">ROUND((B141-INT(B141))*9,0)</f>
        <v>0</v>
      </c>
      <c r="G141" s="1" t="str">
        <f aca="false">TEXT(C141,"0")&amp;"K-"&amp;TEXT(D141,"0")&amp;"K-"&amp;TEXT(E141,"0")&amp;"M-"&amp;TEXT(F141,"0")&amp;"S"</f>
        <v>0K-3K-10M-0S</v>
      </c>
    </row>
    <row r="142" customFormat="false" ht="13.8" hidden="false" customHeight="false" outlineLevel="0" collapsed="false">
      <c r="B142" s="15" t="n">
        <f aca="false">SUM(B136:B141)</f>
        <v>175.210537297861</v>
      </c>
      <c r="C142" s="10" t="n">
        <f aca="false">INT(B142/160)</f>
        <v>1</v>
      </c>
      <c r="D142" s="10" t="n">
        <f aca="false">INT((B142-160*INT(B142/160))/20)</f>
        <v>0</v>
      </c>
      <c r="E142" s="10" t="n">
        <f aca="false">INT(B142-160*INT(B142/160)-20*INT((B142-160*INT(B142/160))/20))</f>
        <v>15</v>
      </c>
      <c r="F142" s="10" t="n">
        <f aca="false">ROUND((B142-INT(B142))*9,0)</f>
        <v>2</v>
      </c>
      <c r="G142" s="10" t="str">
        <f aca="false">TEXT(C142,"0")&amp;"K-"&amp;TEXT(D142,"0")&amp;"K-"&amp;TEXT(E142,"0")&amp;"M-"&amp;TEXT(F142,"0")&amp;"S"</f>
        <v>1K-0K-15M-2S</v>
      </c>
      <c r="H142" s="10"/>
    </row>
    <row r="143" customFormat="false" ht="13.8" hidden="false" customHeight="false" outlineLevel="0" collapsed="false">
      <c r="B143" s="10" t="s">
        <v>514</v>
      </c>
    </row>
    <row r="144" customFormat="false" ht="13.8" hidden="false" customHeight="false" outlineLevel="0" collapsed="false">
      <c r="B144" s="1" t="s">
        <v>84</v>
      </c>
      <c r="C144" s="1" t="s">
        <v>85</v>
      </c>
      <c r="D144" s="1" t="s">
        <v>86</v>
      </c>
      <c r="E144" s="1" t="s">
        <v>3</v>
      </c>
      <c r="F144" s="1" t="s">
        <v>87</v>
      </c>
      <c r="G144" s="1" t="s">
        <v>88</v>
      </c>
    </row>
    <row r="145" customFormat="false" ht="13.8" hidden="false" customHeight="false" outlineLevel="0" collapsed="false">
      <c r="A145" s="1" t="n">
        <v>574</v>
      </c>
      <c r="B145" s="12" t="n">
        <f aca="false">E7</f>
        <v>55.5555555555556</v>
      </c>
      <c r="C145" s="1" t="n">
        <f aca="false">INT(B145/160)</f>
        <v>0</v>
      </c>
      <c r="D145" s="1" t="n">
        <f aca="false">INT((B145-160*INT(B145/160))/20)</f>
        <v>2</v>
      </c>
      <c r="E145" s="1" t="n">
        <f aca="false">INT(B145-160*INT(B145/160)-20*INT((B145-160*INT(B145/160))/20))</f>
        <v>15</v>
      </c>
      <c r="F145" s="1" t="n">
        <f aca="false">ROUND((B145-INT(B145))*9,0)</f>
        <v>5</v>
      </c>
      <c r="G145" s="1" t="str">
        <f aca="false">TEXT(C145,"0")&amp;"K-"&amp;TEXT(D145,"0")&amp;"K-"&amp;TEXT(E145,"0")&amp;"M-"&amp;TEXT(F145,"0")&amp;"S"</f>
        <v>0K-2K-15M-5S</v>
      </c>
    </row>
    <row r="146" customFormat="false" ht="13.8" hidden="false" customHeight="false" outlineLevel="0" collapsed="false">
      <c r="A146" s="1" t="n">
        <v>575</v>
      </c>
      <c r="B146" s="12" t="n">
        <f aca="false">L7</f>
        <v>108.777777777778</v>
      </c>
      <c r="C146" s="1" t="n">
        <f aca="false">INT(B146/160)</f>
        <v>0</v>
      </c>
      <c r="D146" s="1" t="n">
        <f aca="false">INT((B146-160*INT(B146/160))/20)</f>
        <v>5</v>
      </c>
      <c r="E146" s="1" t="n">
        <f aca="false">INT(B146-160*INT(B146/160)-20*INT((B146-160*INT(B146/160))/20))</f>
        <v>8</v>
      </c>
      <c r="F146" s="1" t="n">
        <f aca="false">ROUND((B146-INT(B146))*9,0)</f>
        <v>7</v>
      </c>
      <c r="G146" s="1" t="str">
        <f aca="false">TEXT(C146,"0")&amp;"K-"&amp;TEXT(D146,"0")&amp;"K-"&amp;TEXT(E146,"0")&amp;"M-"&amp;TEXT(F146,"0")&amp;"S"</f>
        <v>0K-5K-8M-7S</v>
      </c>
    </row>
    <row r="147" customFormat="false" ht="13.8" hidden="false" customHeight="false" outlineLevel="0" collapsed="false">
      <c r="A147" s="1" t="n">
        <v>576</v>
      </c>
      <c r="B147" s="12" t="n">
        <f aca="false">S7</f>
        <v>1.66666666666667</v>
      </c>
      <c r="C147" s="1" t="n">
        <f aca="false">INT(B147/160)</f>
        <v>0</v>
      </c>
      <c r="D147" s="1" t="n">
        <f aca="false">INT((B147-160*INT(B147/160))/20)</f>
        <v>0</v>
      </c>
      <c r="E147" s="1" t="n">
        <f aca="false">INT(B147-160*INT(B147/160)-20*INT((B147-160*INT(B147/160))/20))</f>
        <v>1</v>
      </c>
      <c r="F147" s="1" t="n">
        <f aca="false">ROUND((B147-INT(B147))*9,0)</f>
        <v>6</v>
      </c>
      <c r="G147" s="1" t="str">
        <f aca="false">TEXT(C147,"0")&amp;"K-"&amp;TEXT(D147,"0")&amp;"K-"&amp;TEXT(E147,"0")&amp;"M-"&amp;TEXT(F147,"0")&amp;"S"</f>
        <v>0K-0K-1M-6S</v>
      </c>
    </row>
    <row r="148" customFormat="false" ht="13.8" hidden="false" customHeight="false" outlineLevel="0" collapsed="false">
      <c r="A148" s="1" t="n">
        <v>583</v>
      </c>
      <c r="B148" s="12" t="n">
        <f aca="false">E71</f>
        <v>192.536358894105</v>
      </c>
      <c r="C148" s="1" t="n">
        <f aca="false">INT(B148/160)</f>
        <v>1</v>
      </c>
      <c r="D148" s="1" t="n">
        <f aca="false">INT((B148-160*INT(B148/160))/20)</f>
        <v>1</v>
      </c>
      <c r="E148" s="1" t="n">
        <f aca="false">INT(B148-160*INT(B148/160)-20*INT((B148-160*INT(B148/160))/20))</f>
        <v>12</v>
      </c>
      <c r="F148" s="1" t="n">
        <f aca="false">ROUND((B148-INT(B148))*9,0)</f>
        <v>5</v>
      </c>
      <c r="G148" s="1" t="str">
        <f aca="false">TEXT(C148,"0")&amp;"K-"&amp;TEXT(D148,"0")&amp;"K-"&amp;TEXT(E148,"0")&amp;"M-"&amp;TEXT(F148,"0")&amp;"S"</f>
        <v>1K-1K-12M-5S</v>
      </c>
    </row>
    <row r="149" customFormat="false" ht="13.8" hidden="false" customHeight="false" outlineLevel="0" collapsed="false">
      <c r="A149" s="1" t="n">
        <v>584</v>
      </c>
      <c r="B149" s="12" t="n">
        <f aca="false">L54</f>
        <v>2.80788732394366</v>
      </c>
      <c r="C149" s="1" t="n">
        <f aca="false">INT(B149/160)</f>
        <v>0</v>
      </c>
      <c r="D149" s="1" t="n">
        <f aca="false">INT((B149-160*INT(B149/160))/20)</f>
        <v>0</v>
      </c>
      <c r="E149" s="1" t="n">
        <f aca="false">INT(B149-160*INT(B149/160)-20*INT((B149-160*INT(B149/160))/20))</f>
        <v>2</v>
      </c>
      <c r="F149" s="1" t="n">
        <f aca="false">ROUND((B149-INT(B149))*9,0)</f>
        <v>7</v>
      </c>
      <c r="G149" s="1" t="str">
        <f aca="false">TEXT(C149,"0")&amp;"K-"&amp;TEXT(D149,"0")&amp;"K-"&amp;TEXT(E149,"0")&amp;"M-"&amp;TEXT(F149,"0")&amp;"S"</f>
        <v>0K-0K-2M-7S</v>
      </c>
    </row>
    <row r="150" customFormat="false" ht="13.8" hidden="false" customHeight="false" outlineLevel="0" collapsed="false">
      <c r="A150" s="1" t="n">
        <v>588</v>
      </c>
      <c r="B150" s="12" t="n">
        <f aca="false">R75</f>
        <v>79</v>
      </c>
      <c r="C150" s="1" t="n">
        <f aca="false">INT(B150/160)</f>
        <v>0</v>
      </c>
      <c r="D150" s="1" t="n">
        <f aca="false">INT((B150-160*INT(B150/160))/20)</f>
        <v>3</v>
      </c>
      <c r="E150" s="1" t="n">
        <f aca="false">INT(B150-160*INT(B150/160)-20*INT((B150-160*INT(B150/160))/20))</f>
        <v>19</v>
      </c>
      <c r="F150" s="1" t="n">
        <f aca="false">ROUND((B150-INT(B150))*9,0)</f>
        <v>0</v>
      </c>
      <c r="G150" s="1" t="str">
        <f aca="false">TEXT(C150,"0")&amp;"K-"&amp;TEXT(D150,"0")&amp;"K-"&amp;TEXT(E150,"0")&amp;"M-"&amp;TEXT(F150,"0")&amp;"S"</f>
        <v>0K-3K-19M-0S</v>
      </c>
    </row>
    <row r="151" customFormat="false" ht="13.8" hidden="false" customHeight="false" outlineLevel="0" collapsed="false">
      <c r="B151" s="15" t="n">
        <f aca="false">SUM(B145:B150)</f>
        <v>440.344246218049</v>
      </c>
      <c r="C151" s="10" t="n">
        <f aca="false">INT(B151/160)</f>
        <v>2</v>
      </c>
      <c r="D151" s="10" t="n">
        <f aca="false">INT((B151-160*INT(B151/160))/20)</f>
        <v>6</v>
      </c>
      <c r="E151" s="10" t="n">
        <f aca="false">INT(B151-160*INT(B151/160)-20*INT((B151-160*INT(B151/160))/20))</f>
        <v>0</v>
      </c>
      <c r="F151" s="10" t="n">
        <f aca="false">ROUND((B151-INT(B151))*9,0)</f>
        <v>3</v>
      </c>
      <c r="G151" s="10" t="str">
        <f aca="false">TEXT(C151,"0")&amp;"K-"&amp;TEXT(D151,"0")&amp;"K-"&amp;TEXT(E151,"0")&amp;"M-"&amp;TEXT(F151,"0")&amp;"S"</f>
        <v>2K-6K-0M-3S</v>
      </c>
      <c r="H151" s="10"/>
    </row>
    <row r="152" customFormat="false" ht="13.8" hidden="false" customHeight="false" outlineLevel="0" collapsed="false">
      <c r="B152" s="10" t="s">
        <v>515</v>
      </c>
    </row>
    <row r="153" customFormat="false" ht="13.8" hidden="false" customHeight="false" outlineLevel="0" collapsed="false">
      <c r="A153" s="1" t="n">
        <v>574</v>
      </c>
      <c r="B153" s="12" t="n">
        <f aca="false">B145-B136</f>
        <v>33.3333333333333</v>
      </c>
      <c r="C153" s="1" t="n">
        <f aca="false">INT(B153/160)</f>
        <v>0</v>
      </c>
      <c r="D153" s="1" t="n">
        <f aca="false">INT((B153-160*INT(B153/160))/20)</f>
        <v>1</v>
      </c>
      <c r="E153" s="1" t="n">
        <f aca="false">INT(B153-160*INT(B153/160)-20*INT((B153-160*INT(B153/160))/20))</f>
        <v>13</v>
      </c>
      <c r="F153" s="1" t="n">
        <f aca="false">ROUND((B153-INT(B153))*9,0)</f>
        <v>3</v>
      </c>
      <c r="G153" s="1" t="str">
        <f aca="false">TEXT(C153,"0")&amp;"K-"&amp;TEXT(D153,"0")&amp;"K-"&amp;TEXT(E153,"0")&amp;"M-"&amp;TEXT(F153,"0")&amp;"S"</f>
        <v>0K-1K-13M-3S</v>
      </c>
    </row>
    <row r="154" customFormat="false" ht="13.8" hidden="false" customHeight="false" outlineLevel="0" collapsed="false">
      <c r="A154" s="1" t="n">
        <v>575</v>
      </c>
      <c r="B154" s="12" t="n">
        <f aca="false">B146-B137</f>
        <v>65.6666666666667</v>
      </c>
      <c r="C154" s="1" t="n">
        <f aca="false">INT(B154/160)</f>
        <v>0</v>
      </c>
      <c r="D154" s="1" t="n">
        <f aca="false">INT((B154-160*INT(B154/160))/20)</f>
        <v>3</v>
      </c>
      <c r="E154" s="1" t="n">
        <f aca="false">INT(B154-160*INT(B154/160)-20*INT((B154-160*INT(B154/160))/20))</f>
        <v>5</v>
      </c>
      <c r="F154" s="1" t="n">
        <f aca="false">ROUND((B154-INT(B154))*9,0)</f>
        <v>6</v>
      </c>
      <c r="G154" s="1" t="str">
        <f aca="false">TEXT(C154,"0")&amp;"K-"&amp;TEXT(D154,"0")&amp;"K-"&amp;TEXT(E154,"0")&amp;"M-"&amp;TEXT(F154,"0")&amp;"S"</f>
        <v>0K-3K-5M-6S</v>
      </c>
    </row>
    <row r="155" customFormat="false" ht="13.8" hidden="false" customHeight="false" outlineLevel="0" collapsed="false">
      <c r="A155" s="1" t="n">
        <v>576</v>
      </c>
      <c r="B155" s="12" t="n">
        <f aca="false">B147-B138</f>
        <v>1</v>
      </c>
      <c r="C155" s="1" t="n">
        <f aca="false">INT(B155/160)</f>
        <v>0</v>
      </c>
      <c r="D155" s="1" t="n">
        <f aca="false">INT((B155-160*INT(B155/160))/20)</f>
        <v>0</v>
      </c>
      <c r="E155" s="1" t="n">
        <f aca="false">INT(B155-160*INT(B155/160)-20*INT((B155-160*INT(B155/160))/20))</f>
        <v>1</v>
      </c>
      <c r="F155" s="1" t="n">
        <f aca="false">ROUND((B155-INT(B155))*9,0)</f>
        <v>0</v>
      </c>
      <c r="G155" s="1" t="str">
        <f aca="false">TEXT(C155,"0")&amp;"K-"&amp;TEXT(D155,"0")&amp;"K-"&amp;TEXT(E155,"0")&amp;"M-"&amp;TEXT(F155,"0")&amp;"S"</f>
        <v>0K-0K-1M-0S</v>
      </c>
    </row>
    <row r="156" customFormat="false" ht="13.8" hidden="false" customHeight="false" outlineLevel="0" collapsed="false">
      <c r="A156" s="1" t="n">
        <v>583</v>
      </c>
      <c r="B156" s="12" t="n">
        <f aca="false">B148-B139</f>
        <v>155.376525821596</v>
      </c>
      <c r="C156" s="1" t="n">
        <f aca="false">INT(B156/160)</f>
        <v>0</v>
      </c>
      <c r="D156" s="1" t="n">
        <f aca="false">INT((B156-160*INT(B156/160))/20)</f>
        <v>7</v>
      </c>
      <c r="E156" s="1" t="n">
        <f aca="false">INT(B156-160*INT(B156/160)-20*INT((B156-160*INT(B156/160))/20))</f>
        <v>15</v>
      </c>
      <c r="F156" s="1" t="n">
        <f aca="false">ROUND((B156-INT(B156))*9,0)</f>
        <v>3</v>
      </c>
      <c r="G156" s="1" t="str">
        <f aca="false">TEXT(C156,"0")&amp;"K-"&amp;TEXT(D156,"0")&amp;"K-"&amp;TEXT(E156,"0")&amp;"M-"&amp;TEXT(F156,"0")&amp;"S"</f>
        <v>0K-7K-15M-3S</v>
      </c>
    </row>
    <row r="157" customFormat="false" ht="13.8" hidden="false" customHeight="false" outlineLevel="0" collapsed="false">
      <c r="A157" s="1" t="n">
        <v>584</v>
      </c>
      <c r="B157" s="12" t="n">
        <f aca="false">B149-B140</f>
        <v>0.757183098591549</v>
      </c>
      <c r="C157" s="1" t="n">
        <f aca="false">INT(B157/160)</f>
        <v>0</v>
      </c>
      <c r="D157" s="1" t="n">
        <f aca="false">INT((B157-160*INT(B157/160))/20)</f>
        <v>0</v>
      </c>
      <c r="E157" s="1" t="n">
        <f aca="false">INT(B157-160*INT(B157/160)-20*INT((B157-160*INT(B157/160))/20))</f>
        <v>0</v>
      </c>
      <c r="F157" s="1" t="n">
        <f aca="false">ROUND((B157-INT(B157))*9,0)</f>
        <v>7</v>
      </c>
      <c r="G157" s="1" t="str">
        <f aca="false">TEXT(C157,"0")&amp;"K-"&amp;TEXT(D157,"0")&amp;"K-"&amp;TEXT(E157,"0")&amp;"M-"&amp;TEXT(F157,"0")&amp;"S"</f>
        <v>0K-0K-0M-7S</v>
      </c>
    </row>
    <row r="158" customFormat="false" ht="13.8" hidden="false" customHeight="false" outlineLevel="0" collapsed="false">
      <c r="A158" s="1" t="n">
        <v>588</v>
      </c>
      <c r="B158" s="12" t="n">
        <f aca="false">B150-B141</f>
        <v>9</v>
      </c>
      <c r="C158" s="1" t="n">
        <f aca="false">INT(B158/160)</f>
        <v>0</v>
      </c>
      <c r="D158" s="1" t="n">
        <f aca="false">INT((B158-160*INT(B158/160))/20)</f>
        <v>0</v>
      </c>
      <c r="E158" s="1" t="n">
        <f aca="false">INT(B158-160*INT(B158/160)-20*INT((B158-160*INT(B158/160))/20))</f>
        <v>9</v>
      </c>
      <c r="F158" s="1" t="n">
        <f aca="false">ROUND((B158-INT(B158))*9,0)</f>
        <v>0</v>
      </c>
      <c r="G158" s="1" t="str">
        <f aca="false">TEXT(C158,"0")&amp;"K-"&amp;TEXT(D158,"0")&amp;"K-"&amp;TEXT(E158,"0")&amp;"M-"&amp;TEXT(F158,"0")&amp;"S"</f>
        <v>0K-0K-9M-0S</v>
      </c>
    </row>
    <row r="159" customFormat="false" ht="13.8" hidden="false" customHeight="false" outlineLevel="0" collapsed="false">
      <c r="B159" s="15" t="n">
        <f aca="false">SUM(B153:B158)</f>
        <v>265.133708920188</v>
      </c>
      <c r="C159" s="10" t="n">
        <f aca="false">INT(B159/160)</f>
        <v>1</v>
      </c>
      <c r="D159" s="10" t="n">
        <f aca="false">INT((B159-160*INT(B159/160))/20)</f>
        <v>5</v>
      </c>
      <c r="E159" s="10" t="n">
        <f aca="false">INT(B159-160*INT(B159/160)-20*INT((B159-160*INT(B159/160))/20))</f>
        <v>5</v>
      </c>
      <c r="F159" s="10" t="n">
        <f aca="false">ROUND((B159-INT(B159))*9,0)</f>
        <v>1</v>
      </c>
      <c r="G159" s="10" t="str">
        <f aca="false">TEXT(C159,"0")&amp;"K-"&amp;TEXT(D159,"0")&amp;"K-"&amp;TEXT(E159,"0")&amp;"M-"&amp;TEXT(F159,"0")&amp;"S"</f>
        <v>1K-5K-5M-1S</v>
      </c>
    </row>
    <row r="160" customFormat="false" ht="13.8" hidden="false" customHeight="false" outlineLevel="0" collapsed="false">
      <c r="B160" s="10" t="s">
        <v>516</v>
      </c>
    </row>
    <row r="161" customFormat="false" ht="13.8" hidden="false" customHeight="false" outlineLevel="0" collapsed="false">
      <c r="B161" s="1" t="s">
        <v>84</v>
      </c>
      <c r="C161" s="1" t="s">
        <v>85</v>
      </c>
      <c r="D161" s="1" t="s">
        <v>86</v>
      </c>
      <c r="E161" s="1" t="s">
        <v>3</v>
      </c>
      <c r="F161" s="1" t="s">
        <v>87</v>
      </c>
      <c r="G161" s="1" t="s">
        <v>88</v>
      </c>
    </row>
    <row r="162" s="10" customFormat="true" ht="13.8" hidden="false" customHeight="false" outlineLevel="0" collapsed="false">
      <c r="A162" s="10" t="n">
        <v>588</v>
      </c>
      <c r="B162" s="15" t="n">
        <f aca="false">R73</f>
        <v>4.44444444444445</v>
      </c>
      <c r="C162" s="10" t="n">
        <f aca="false">INT(B162/160)</f>
        <v>0</v>
      </c>
      <c r="D162" s="10" t="n">
        <f aca="false">INT((B162-160*INT(B162/160))/20)</f>
        <v>0</v>
      </c>
      <c r="E162" s="10" t="n">
        <f aca="false">INT(B162-160*INT(B162/160)-20*INT((B162-160*INT(B162/160))/20))</f>
        <v>4</v>
      </c>
      <c r="F162" s="10" t="n">
        <f aca="false">ROUND((B162-INT(B162))*9,0)</f>
        <v>4</v>
      </c>
      <c r="G162" s="10" t="str">
        <f aca="false">TEXT(C162,"0")&amp;"K-"&amp;TEXT(D162,"0")&amp;"K-"&amp;TEXT(E162,"0")&amp;"M-"&amp;TEXT(F162,"0")&amp;"S"</f>
        <v>0K-0K-4M-4S</v>
      </c>
      <c r="XEI162" s="1"/>
      <c r="XEJ162" s="1"/>
      <c r="XEK162" s="1"/>
      <c r="XEL162" s="1"/>
      <c r="XEM162" s="1"/>
      <c r="XEN162" s="1"/>
      <c r="XEO162" s="1"/>
      <c r="XEP162" s="1"/>
      <c r="XEQ162" s="1"/>
      <c r="XER162" s="1"/>
      <c r="XES162" s="1"/>
      <c r="XET162" s="1"/>
      <c r="XEU162" s="1"/>
      <c r="XEV162" s="1"/>
      <c r="XEW162" s="1"/>
      <c r="XEX162" s="1"/>
      <c r="XEY162" s="1"/>
      <c r="XEZ162" s="1"/>
      <c r="XFA162" s="1"/>
      <c r="XFB162" s="1"/>
      <c r="XFC162" s="1"/>
      <c r="XFD162" s="1"/>
    </row>
    <row r="164" customFormat="false" ht="13.8" hidden="false" customHeight="false" outlineLevel="0" collapsed="false">
      <c r="B164" s="10" t="s">
        <v>517</v>
      </c>
    </row>
    <row r="165" customFormat="false" ht="13.8" hidden="false" customHeight="false" outlineLevel="0" collapsed="false">
      <c r="B165" s="12" t="n">
        <f aca="false">B133+B142+B142</f>
        <v>524.001564945227</v>
      </c>
      <c r="C165" s="1" t="n">
        <f aca="false">INT(B165/160)</f>
        <v>3</v>
      </c>
      <c r="D165" s="1" t="n">
        <f aca="false">INT((B165-160*INT(B165/160))/20)</f>
        <v>2</v>
      </c>
      <c r="E165" s="1" t="n">
        <f aca="false">INT(B165-160*INT(B165/160)-20*INT((B165-160*INT(B165/160))/20))</f>
        <v>4</v>
      </c>
      <c r="F165" s="1" t="n">
        <f aca="false">ROUND((B165-INT(B165))*9,0)</f>
        <v>0</v>
      </c>
      <c r="G165" s="1" t="str">
        <f aca="false">TEXT(C165,"0")&amp;"K-"&amp;TEXT(D165,"0")&amp;"K-"&amp;TEXT(E165,"0")&amp;"M-"&amp;TEXT(F165,"0")&amp;"S"</f>
        <v>3K-2K-4M-0S</v>
      </c>
      <c r="XEI165" s="10"/>
      <c r="XEJ165" s="10"/>
      <c r="XEK165" s="10"/>
      <c r="XEL165" s="10"/>
      <c r="XEM165" s="10"/>
      <c r="XEN165" s="10"/>
      <c r="XEO165" s="10"/>
      <c r="XEP165" s="10"/>
      <c r="XEQ165" s="10"/>
      <c r="XER165" s="10"/>
      <c r="XES165" s="10"/>
      <c r="XET165" s="10"/>
      <c r="XEU165" s="10"/>
      <c r="XEV165" s="10"/>
      <c r="XEW165" s="10"/>
      <c r="XEX165" s="10"/>
      <c r="XEY165" s="10"/>
      <c r="XEZ165" s="10"/>
      <c r="XFA165" s="10"/>
      <c r="XFB165" s="10"/>
      <c r="XFC165" s="10"/>
      <c r="XFD165" s="10"/>
    </row>
    <row r="166" customFormat="false" ht="13.8" hidden="false" customHeight="false" outlineLevel="0" collapsed="false">
      <c r="B166" s="10" t="s">
        <v>518</v>
      </c>
    </row>
    <row r="167" customFormat="false" ht="13.8" hidden="false" customHeight="false" outlineLevel="0" collapsed="false">
      <c r="B167" s="12" t="n">
        <f aca="false">B159</f>
        <v>265.133708920188</v>
      </c>
      <c r="C167" s="1" t="n">
        <f aca="false">INT(B167/160)</f>
        <v>1</v>
      </c>
      <c r="D167" s="1" t="n">
        <f aca="false">INT((B167-160*INT(B167/160))/20)</f>
        <v>5</v>
      </c>
      <c r="E167" s="1" t="n">
        <f aca="false">INT(B167-160*INT(B167/160)-20*INT((B167-160*INT(B167/160))/20))</f>
        <v>5</v>
      </c>
      <c r="F167" s="1" t="n">
        <f aca="false">ROUND((B167-INT(B167))*9,0)</f>
        <v>1</v>
      </c>
      <c r="G167" s="1" t="str">
        <f aca="false">TEXT(C167,"0")&amp;"K-"&amp;TEXT(D167,"0")&amp;"K-"&amp;TEXT(E167,"0")&amp;"M-"&amp;TEXT(F167,"0")&amp;"S"</f>
        <v>1K-5K-5M-1S</v>
      </c>
    </row>
    <row r="168" customFormat="false" ht="13.8" hidden="false" customHeight="false" outlineLevel="0" collapsed="false">
      <c r="B168" s="15" t="n">
        <f aca="false">B165+B167</f>
        <v>789.135273865415</v>
      </c>
      <c r="C168" s="10" t="n">
        <f aca="false">INT(B168/160)</f>
        <v>4</v>
      </c>
      <c r="D168" s="10" t="n">
        <f aca="false">INT((B168-160*INT(B168/160))/20)</f>
        <v>7</v>
      </c>
      <c r="E168" s="10" t="n">
        <f aca="false">INT(B168-160*INT(B168/160)-20*INT((B168-160*INT(B168/160))/20))</f>
        <v>9</v>
      </c>
      <c r="F168" s="10" t="n">
        <f aca="false">ROUND((B168-INT(B168))*9,0)</f>
        <v>1</v>
      </c>
      <c r="G168" s="10" t="str">
        <f aca="false">TEXT(C168,"0")&amp;"K-"&amp;TEXT(D168,"0")&amp;"K-"&amp;TEXT(E168,"0")&amp;"M-"&amp;TEXT(F168,"0")&amp;"S"</f>
        <v>4K-7K-9M-1S</v>
      </c>
      <c r="H168" s="10"/>
    </row>
    <row r="170" customFormat="false" ht="13.8" hidden="false" customHeight="false" outlineLevel="0" collapsed="false">
      <c r="B170" s="10" t="s">
        <v>519</v>
      </c>
    </row>
    <row r="171" customFormat="false" ht="13.8" hidden="false" customHeight="false" outlineLevel="0" collapsed="false">
      <c r="B171" s="1" t="s">
        <v>520</v>
      </c>
    </row>
    <row r="172" customFormat="false" ht="13.8" hidden="false" customHeight="false" outlineLevel="0" collapsed="false">
      <c r="B172" s="12" t="n">
        <f aca="false">B165-171</f>
        <v>353.001564945227</v>
      </c>
      <c r="C172" s="1" t="n">
        <f aca="false">INT(B172/160)</f>
        <v>2</v>
      </c>
      <c r="D172" s="1" t="n">
        <f aca="false">INT((B172-160*INT(B172/160))/20)</f>
        <v>1</v>
      </c>
      <c r="E172" s="1" t="n">
        <f aca="false">INT(B172-160*INT(B172/160)-20*INT((B172-160*INT(B172/160))/20))</f>
        <v>13</v>
      </c>
      <c r="F172" s="1" t="n">
        <f aca="false">ROUND((B172-INT(B172))*9,0)</f>
        <v>0</v>
      </c>
      <c r="G172" s="1" t="str">
        <f aca="false">TEXT(C172,"0")&amp;"K-"&amp;TEXT(D172,"0")&amp;"K-"&amp;TEXT(E172,"0")&amp;"M-"&amp;TEXT(F172,"0")&amp;"S"</f>
        <v>2K-1K-13M-0S</v>
      </c>
      <c r="I172" s="10" t="s">
        <v>521</v>
      </c>
    </row>
    <row r="173" customFormat="false" ht="13.8" hidden="false" customHeight="false" outlineLevel="0" collapsed="false">
      <c r="B173" s="1" t="s">
        <v>170</v>
      </c>
    </row>
    <row r="174" customFormat="false" ht="13.8" hidden="false" customHeight="false" outlineLevel="0" collapsed="false">
      <c r="B174" s="12" t="n">
        <f aca="false">B167-171</f>
        <v>94.1337089201878</v>
      </c>
      <c r="C174" s="1" t="n">
        <f aca="false">INT(B174/160)</f>
        <v>0</v>
      </c>
      <c r="D174" s="1" t="n">
        <f aca="false">INT((B174-160*INT(B174/160))/20)</f>
        <v>4</v>
      </c>
      <c r="E174" s="1" t="n">
        <f aca="false">INT(B174-160*INT(B174/160)-20*INT((B174-160*INT(B174/160))/20))</f>
        <v>14</v>
      </c>
      <c r="F174" s="1" t="n">
        <f aca="false">ROUND((B174-INT(B174))*9,0)</f>
        <v>1</v>
      </c>
      <c r="G174" s="1" t="str">
        <f aca="false">TEXT(C174,"0")&amp;"K-"&amp;TEXT(D174,"0")&amp;"K-"&amp;TEXT(E174,"0")&amp;"M-"&amp;TEXT(F174,"0")&amp;"S"</f>
        <v>0K-4K-14M-1S</v>
      </c>
      <c r="I174" s="1" t="n">
        <f aca="false">171/3</f>
        <v>57</v>
      </c>
    </row>
    <row r="176" customFormat="false" ht="13.8" hidden="false" customHeight="false" outlineLevel="0" collapsed="false">
      <c r="B176" s="10" t="s">
        <v>522</v>
      </c>
    </row>
    <row r="177" customFormat="false" ht="13.8" hidden="false" customHeight="false" outlineLevel="0" collapsed="false">
      <c r="B177" s="1" t="s">
        <v>520</v>
      </c>
    </row>
    <row r="178" customFormat="false" ht="13.8" hidden="false" customHeight="false" outlineLevel="0" collapsed="false">
      <c r="B178" s="12" t="e">
        <f aca="false">B171-171</f>
        <v>#VALUE!</v>
      </c>
    </row>
    <row r="179" customFormat="false" ht="13.8" hidden="false" customHeight="false" outlineLevel="0" collapsed="false">
      <c r="B179" s="1" t="s">
        <v>170</v>
      </c>
      <c r="I179" s="10" t="s">
        <v>523</v>
      </c>
    </row>
    <row r="180" customFormat="false" ht="13.8" hidden="false" customHeight="false" outlineLevel="0" collapsed="false">
      <c r="B180" s="12" t="e">
        <f aca="false">B173-171</f>
        <v>#VALUE!</v>
      </c>
    </row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R125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K117" activeCellId="0" sqref="K117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25.85"/>
    <col collapsed="false" customWidth="true" hidden="false" outlineLevel="0" max="9" min="9" style="1" width="7.65"/>
    <col collapsed="false" customWidth="true" hidden="false" outlineLevel="0" max="10" min="10" style="1" width="16.27"/>
  </cols>
  <sheetData>
    <row r="3" customFormat="false" ht="17.35" hidden="false" customHeight="false" outlineLevel="0" collapsed="false">
      <c r="B3" s="2" t="s">
        <v>0</v>
      </c>
      <c r="C3" s="3" t="n">
        <v>322</v>
      </c>
      <c r="D3" s="4"/>
      <c r="E3" s="2" t="s">
        <v>1</v>
      </c>
      <c r="F3" s="5"/>
      <c r="G3" s="5"/>
      <c r="H3" s="5"/>
      <c r="J3" s="1" t="s">
        <v>524</v>
      </c>
    </row>
    <row r="4" customFormat="false" ht="13.8" hidden="false" customHeight="false" outlineLevel="0" collapsed="false">
      <c r="B4" s="5"/>
      <c r="C4" s="5"/>
      <c r="D4" s="5"/>
      <c r="E4" s="2" t="n">
        <v>2130</v>
      </c>
      <c r="F4" s="2" t="s">
        <v>3</v>
      </c>
      <c r="G4" s="5"/>
      <c r="H4" s="5"/>
      <c r="J4" s="1" t="s">
        <v>4</v>
      </c>
    </row>
    <row r="5" customFormat="false" ht="13.8" hidden="false" customHeight="false" outlineLevel="0" collapsed="false">
      <c r="B5" s="1" t="s">
        <v>5</v>
      </c>
      <c r="C5" s="5" t="s">
        <v>6</v>
      </c>
      <c r="D5" s="5" t="n">
        <f aca="false">353/6390</f>
        <v>0.0552425665101721</v>
      </c>
      <c r="E5" s="6" t="n">
        <f aca="false">E$4*D5</f>
        <v>117.666666666667</v>
      </c>
      <c r="F5" s="5"/>
      <c r="G5" s="5"/>
      <c r="H5" s="5"/>
    </row>
    <row r="6" customFormat="false" ht="13.8" hidden="false" customHeight="false" outlineLevel="0" collapsed="false">
      <c r="B6" s="1" t="s">
        <v>7</v>
      </c>
      <c r="C6" s="5" t="s">
        <v>6</v>
      </c>
      <c r="D6" s="5" t="n">
        <f aca="false">353/6390</f>
        <v>0.0552425665101721</v>
      </c>
      <c r="E6" s="6" t="n">
        <f aca="false">E$4*D6</f>
        <v>117.666666666667</v>
      </c>
      <c r="F6" s="5"/>
      <c r="G6" s="5"/>
      <c r="H6" s="5"/>
      <c r="J6" s="1" t="s">
        <v>8</v>
      </c>
    </row>
    <row r="7" customFormat="false" ht="13.8" hidden="false" customHeight="false" outlineLevel="0" collapsed="false">
      <c r="B7" s="1" t="s">
        <v>21</v>
      </c>
      <c r="C7" s="5" t="s">
        <v>6</v>
      </c>
      <c r="D7" s="5" t="n">
        <f aca="false">353/6390</f>
        <v>0.0552425665101721</v>
      </c>
      <c r="E7" s="6" t="n">
        <f aca="false">E$4*D7</f>
        <v>117.666666666667</v>
      </c>
      <c r="F7" s="5"/>
      <c r="G7" s="5"/>
      <c r="H7" s="5"/>
      <c r="J7" s="1" t="s">
        <v>11</v>
      </c>
    </row>
    <row r="8" customFormat="false" ht="13.8" hidden="false" customHeight="false" outlineLevel="0" collapsed="false">
      <c r="B8" s="1" t="s">
        <v>15</v>
      </c>
      <c r="C8" s="5" t="s">
        <v>16</v>
      </c>
      <c r="D8" s="5" t="n">
        <f aca="false">8/213</f>
        <v>0.0375586854460094</v>
      </c>
      <c r="E8" s="6" t="n">
        <f aca="false">E$4*D8</f>
        <v>80</v>
      </c>
      <c r="F8" s="5"/>
      <c r="G8" s="5"/>
      <c r="H8" s="5"/>
      <c r="J8" s="1" t="s">
        <v>5</v>
      </c>
    </row>
    <row r="9" customFormat="false" ht="13.8" hidden="false" customHeight="false" outlineLevel="0" collapsed="false">
      <c r="B9" s="1" t="s">
        <v>17</v>
      </c>
      <c r="C9" s="5" t="s">
        <v>18</v>
      </c>
      <c r="D9" s="5" t="n">
        <f aca="false">13/710</f>
        <v>0.0183098591549296</v>
      </c>
      <c r="E9" s="6" t="n">
        <f aca="false">E$4*D9</f>
        <v>39</v>
      </c>
      <c r="F9" s="5"/>
      <c r="G9" s="5"/>
      <c r="H9" s="5"/>
      <c r="J9" s="1" t="s">
        <v>7</v>
      </c>
    </row>
    <row r="10" customFormat="false" ht="13.8" hidden="false" customHeight="false" outlineLevel="0" collapsed="false">
      <c r="B10" s="1" t="s">
        <v>19</v>
      </c>
      <c r="C10" s="5" t="s">
        <v>20</v>
      </c>
      <c r="D10" s="5" t="n">
        <f aca="false">29/2130</f>
        <v>0.0136150234741784</v>
      </c>
      <c r="E10" s="6" t="n">
        <f aca="false">E$4*D10</f>
        <v>29</v>
      </c>
      <c r="F10" s="5"/>
      <c r="G10" s="5"/>
      <c r="H10" s="5"/>
      <c r="J10" s="1" t="s">
        <v>21</v>
      </c>
    </row>
    <row r="11" customFormat="false" ht="13.8" hidden="false" customHeight="false" outlineLevel="0" collapsed="false">
      <c r="B11" s="1" t="s">
        <v>22</v>
      </c>
      <c r="C11" s="5" t="s">
        <v>23</v>
      </c>
      <c r="D11" s="5" t="n">
        <f aca="false">328/1065</f>
        <v>0.307981220657277</v>
      </c>
      <c r="E11" s="6" t="n">
        <f aca="false">E$4*D11</f>
        <v>656</v>
      </c>
      <c r="F11" s="5"/>
      <c r="G11" s="5"/>
      <c r="H11" s="5"/>
      <c r="J11" s="1" t="s">
        <v>15</v>
      </c>
    </row>
    <row r="12" customFormat="false" ht="13.8" hidden="false" customHeight="false" outlineLevel="0" collapsed="false">
      <c r="B12" s="1" t="s">
        <v>24</v>
      </c>
      <c r="C12" s="5" t="s">
        <v>25</v>
      </c>
      <c r="D12" s="5" t="n">
        <f aca="false">82/1065</f>
        <v>0.0769953051643193</v>
      </c>
      <c r="E12" s="6" t="n">
        <f aca="false">E$4*D12</f>
        <v>164</v>
      </c>
      <c r="F12" s="5"/>
      <c r="G12" s="5"/>
      <c r="H12" s="5"/>
      <c r="J12" s="1" t="s">
        <v>17</v>
      </c>
    </row>
    <row r="13" customFormat="false" ht="13.8" hidden="false" customHeight="false" outlineLevel="0" collapsed="false">
      <c r="B13" s="1" t="s">
        <v>26</v>
      </c>
      <c r="C13" s="5" t="s">
        <v>27</v>
      </c>
      <c r="D13" s="5" t="n">
        <f aca="false">267/710</f>
        <v>0.376056338028169</v>
      </c>
      <c r="E13" s="6" t="n">
        <f aca="false">E$4*D13</f>
        <v>801</v>
      </c>
      <c r="F13" s="5"/>
      <c r="G13" s="5"/>
      <c r="H13" s="5"/>
      <c r="J13" s="1" t="s">
        <v>19</v>
      </c>
    </row>
    <row r="14" customFormat="false" ht="13.8" hidden="false" customHeight="false" outlineLevel="0" collapsed="false">
      <c r="B14" s="1" t="s">
        <v>28</v>
      </c>
      <c r="C14" s="5" t="s">
        <v>29</v>
      </c>
      <c r="D14" s="5" t="n">
        <f aca="false">4/1065</f>
        <v>0.00375586854460094</v>
      </c>
      <c r="E14" s="6" t="n">
        <f aca="false">E$4*D14</f>
        <v>8</v>
      </c>
      <c r="F14" s="5"/>
      <c r="G14" s="5"/>
      <c r="H14" s="5"/>
      <c r="J14" s="1" t="s">
        <v>22</v>
      </c>
    </row>
    <row r="15" customFormat="false" ht="13.8" hidden="false" customHeight="false" outlineLevel="0" collapsed="false">
      <c r="B15" s="5"/>
      <c r="C15" s="5"/>
      <c r="D15" s="5"/>
      <c r="E15" s="6" t="n">
        <f aca="false">E$59*D15</f>
        <v>0</v>
      </c>
      <c r="F15" s="5"/>
      <c r="G15" s="5"/>
      <c r="H15" s="5"/>
      <c r="J15" s="1" t="s">
        <v>24</v>
      </c>
    </row>
    <row r="16" customFormat="false" ht="13.8" hidden="false" customHeight="false" outlineLevel="0" collapsed="false">
      <c r="B16" s="5"/>
      <c r="C16" s="5"/>
      <c r="D16" s="5"/>
      <c r="E16" s="6" t="n">
        <f aca="false">E$59*D16</f>
        <v>0</v>
      </c>
      <c r="F16" s="5"/>
      <c r="G16" s="5"/>
      <c r="H16" s="5"/>
      <c r="J16" s="1" t="s">
        <v>26</v>
      </c>
    </row>
    <row r="17" customFormat="false" ht="13.8" hidden="false" customHeight="false" outlineLevel="0" collapsed="false">
      <c r="B17" s="5"/>
      <c r="C17" s="5"/>
      <c r="D17" s="5"/>
      <c r="E17" s="6" t="n">
        <f aca="false">E$59*D17</f>
        <v>0</v>
      </c>
      <c r="F17" s="5" t="n">
        <f aca="false">E17/20</f>
        <v>0</v>
      </c>
      <c r="G17" s="5"/>
      <c r="H17" s="5"/>
      <c r="J17" s="1" t="s">
        <v>28</v>
      </c>
    </row>
    <row r="18" customFormat="false" ht="13.8" hidden="false" customHeight="false" outlineLevel="0" collapsed="false">
      <c r="B18" s="5"/>
      <c r="C18" s="5"/>
      <c r="D18" s="7" t="n">
        <f aca="false">SUM(D5:D17)</f>
        <v>1</v>
      </c>
      <c r="E18" s="7" t="n">
        <f aca="false">SUM(E5:E17)</f>
        <v>2130</v>
      </c>
      <c r="F18" s="5"/>
      <c r="G18" s="5"/>
      <c r="H18" s="5"/>
      <c r="J18" s="1" t="s">
        <v>11</v>
      </c>
    </row>
    <row r="19" customFormat="false" ht="13.8" hidden="false" customHeight="false" outlineLevel="0" collapsed="false">
      <c r="B19" s="5"/>
      <c r="C19" s="5"/>
      <c r="D19" s="7"/>
      <c r="E19" s="7"/>
      <c r="F19" s="5"/>
      <c r="G19" s="5"/>
      <c r="H19" s="5"/>
      <c r="J19" s="1" t="s">
        <v>30</v>
      </c>
    </row>
    <row r="22" customFormat="false" ht="17.35" hidden="false" customHeight="false" outlineLevel="0" collapsed="false">
      <c r="B22" s="2" t="s">
        <v>0</v>
      </c>
      <c r="C22" s="3" t="n">
        <v>326</v>
      </c>
      <c r="D22" s="4"/>
      <c r="E22" s="2" t="s">
        <v>58</v>
      </c>
      <c r="F22" s="5"/>
      <c r="G22" s="5"/>
      <c r="H22" s="5"/>
      <c r="J22" s="1" t="s">
        <v>175</v>
      </c>
    </row>
    <row r="23" customFormat="false" ht="13.8" hidden="false" customHeight="false" outlineLevel="0" collapsed="false">
      <c r="B23" s="5"/>
      <c r="C23" s="5"/>
      <c r="D23" s="5"/>
      <c r="E23" s="2" t="n">
        <v>1980</v>
      </c>
      <c r="F23" s="2" t="s">
        <v>3</v>
      </c>
      <c r="G23" s="5"/>
      <c r="H23" s="5"/>
      <c r="J23" s="1" t="s">
        <v>60</v>
      </c>
    </row>
    <row r="24" customFormat="false" ht="13.8" hidden="false" customHeight="false" outlineLevel="0" collapsed="false">
      <c r="B24" s="1" t="s">
        <v>176</v>
      </c>
      <c r="C24" s="5" t="s">
        <v>62</v>
      </c>
      <c r="D24" s="5" t="n">
        <f aca="false">1/6</f>
        <v>0.166666666666667</v>
      </c>
      <c r="E24" s="6" t="n">
        <f aca="false">E$23*D24</f>
        <v>330</v>
      </c>
      <c r="F24" s="5"/>
      <c r="G24" s="5"/>
      <c r="H24" s="5"/>
    </row>
    <row r="25" customFormat="false" ht="13.8" hidden="false" customHeight="false" outlineLevel="0" collapsed="false">
      <c r="B25" s="1" t="s">
        <v>177</v>
      </c>
      <c r="C25" s="5" t="s">
        <v>62</v>
      </c>
      <c r="D25" s="5" t="n">
        <f aca="false">1/6</f>
        <v>0.166666666666667</v>
      </c>
      <c r="E25" s="6" t="n">
        <f aca="false">E$23*D25</f>
        <v>330</v>
      </c>
      <c r="F25" s="5"/>
      <c r="G25" s="5"/>
      <c r="H25" s="5"/>
      <c r="J25" s="1" t="s">
        <v>8</v>
      </c>
    </row>
    <row r="26" customFormat="false" ht="13.8" hidden="false" customHeight="false" outlineLevel="0" collapsed="false">
      <c r="B26" s="1" t="s">
        <v>178</v>
      </c>
      <c r="C26" s="5" t="s">
        <v>62</v>
      </c>
      <c r="D26" s="5" t="n">
        <f aca="false">1/6</f>
        <v>0.166666666666667</v>
      </c>
      <c r="E26" s="6" t="n">
        <f aca="false">E$23*D26</f>
        <v>330</v>
      </c>
      <c r="F26" s="5"/>
      <c r="G26" s="5"/>
      <c r="H26" s="5"/>
      <c r="J26" s="1" t="s">
        <v>11</v>
      </c>
    </row>
    <row r="27" customFormat="false" ht="13.8" hidden="false" customHeight="false" outlineLevel="0" collapsed="false">
      <c r="B27" s="1" t="s">
        <v>179</v>
      </c>
      <c r="C27" s="5" t="s">
        <v>180</v>
      </c>
      <c r="D27" s="5" t="n">
        <f aca="false">1/9</f>
        <v>0.111111111111111</v>
      </c>
      <c r="E27" s="6" t="n">
        <f aca="false">E$23*D27</f>
        <v>220</v>
      </c>
      <c r="F27" s="5"/>
      <c r="G27" s="5"/>
      <c r="H27" s="5"/>
      <c r="J27" s="1" t="s">
        <v>176</v>
      </c>
    </row>
    <row r="28" customFormat="false" ht="13.8" hidden="false" customHeight="false" outlineLevel="0" collapsed="false">
      <c r="B28" s="1" t="s">
        <v>181</v>
      </c>
      <c r="C28" s="5" t="s">
        <v>75</v>
      </c>
      <c r="D28" s="5" t="n">
        <f aca="false">1/18</f>
        <v>0.0555555555555556</v>
      </c>
      <c r="E28" s="6" t="n">
        <f aca="false">E$23*D28</f>
        <v>110</v>
      </c>
      <c r="F28" s="5"/>
      <c r="G28" s="5"/>
      <c r="H28" s="5"/>
      <c r="J28" s="1" t="s">
        <v>177</v>
      </c>
    </row>
    <row r="29" customFormat="false" ht="13.8" hidden="false" customHeight="false" outlineLevel="0" collapsed="false">
      <c r="B29" s="1" t="s">
        <v>182</v>
      </c>
      <c r="C29" s="5" t="s">
        <v>78</v>
      </c>
      <c r="D29" s="5" t="n">
        <f aca="false">7/66</f>
        <v>0.106060606060606</v>
      </c>
      <c r="E29" s="6" t="n">
        <f aca="false">E$23*D29</f>
        <v>210</v>
      </c>
      <c r="F29" s="5"/>
      <c r="G29" s="5"/>
      <c r="H29" s="5"/>
      <c r="J29" s="1" t="s">
        <v>178</v>
      </c>
    </row>
    <row r="30" customFormat="false" ht="13.8" hidden="false" customHeight="false" outlineLevel="0" collapsed="false">
      <c r="B30" s="1" t="s">
        <v>183</v>
      </c>
      <c r="C30" s="5" t="s">
        <v>65</v>
      </c>
      <c r="D30" s="5" t="n">
        <f aca="false">1/11</f>
        <v>0.0909090909090909</v>
      </c>
      <c r="E30" s="6" t="n">
        <f aca="false">E$23*D30</f>
        <v>180</v>
      </c>
      <c r="F30" s="5"/>
      <c r="G30" s="5"/>
      <c r="H30" s="5"/>
      <c r="J30" s="1" t="s">
        <v>179</v>
      </c>
    </row>
    <row r="31" customFormat="false" ht="13.8" hidden="false" customHeight="false" outlineLevel="0" collapsed="false">
      <c r="B31" s="1" t="s">
        <v>184</v>
      </c>
      <c r="C31" s="5" t="s">
        <v>185</v>
      </c>
      <c r="D31" s="5" t="n">
        <f aca="false">2/33</f>
        <v>0.0606060606060606</v>
      </c>
      <c r="E31" s="6" t="n">
        <f aca="false">E$23*D31</f>
        <v>120</v>
      </c>
      <c r="F31" s="5"/>
      <c r="G31" s="5"/>
      <c r="H31" s="5"/>
      <c r="J31" s="1" t="s">
        <v>181</v>
      </c>
    </row>
    <row r="32" customFormat="false" ht="13.8" hidden="false" customHeight="false" outlineLevel="0" collapsed="false">
      <c r="B32" s="1" t="s">
        <v>186</v>
      </c>
      <c r="C32" s="5" t="s">
        <v>69</v>
      </c>
      <c r="D32" s="5" t="n">
        <f aca="false">5/66</f>
        <v>0.0757575757575758</v>
      </c>
      <c r="E32" s="6" t="n">
        <f aca="false">E$23*D32</f>
        <v>150</v>
      </c>
      <c r="F32" s="5"/>
      <c r="G32" s="5"/>
      <c r="H32" s="5"/>
      <c r="J32" s="1" t="s">
        <v>182</v>
      </c>
    </row>
    <row r="33" customFormat="false" ht="13.8" hidden="false" customHeight="false" outlineLevel="0" collapsed="false">
      <c r="C33" s="5" t="s">
        <v>154</v>
      </c>
      <c r="D33" s="5" t="s">
        <v>154</v>
      </c>
      <c r="E33" s="6"/>
      <c r="F33" s="5"/>
      <c r="G33" s="5"/>
      <c r="H33" s="5"/>
      <c r="J33" s="1" t="s">
        <v>183</v>
      </c>
    </row>
    <row r="34" customFormat="false" ht="13.8" hidden="false" customHeight="false" outlineLevel="0" collapsed="false">
      <c r="B34" s="5"/>
      <c r="C34" s="5"/>
      <c r="D34" s="5"/>
      <c r="E34" s="6"/>
      <c r="F34" s="5"/>
      <c r="G34" s="5"/>
      <c r="H34" s="5"/>
      <c r="J34" s="1" t="s">
        <v>184</v>
      </c>
    </row>
    <row r="35" customFormat="false" ht="13.8" hidden="false" customHeight="false" outlineLevel="0" collapsed="false">
      <c r="B35" s="5"/>
      <c r="C35" s="5"/>
      <c r="D35" s="5"/>
      <c r="E35" s="6"/>
      <c r="F35" s="5"/>
      <c r="G35" s="5"/>
      <c r="H35" s="5"/>
      <c r="J35" s="1" t="s">
        <v>186</v>
      </c>
    </row>
    <row r="36" customFormat="false" ht="13.8" hidden="false" customHeight="false" outlineLevel="0" collapsed="false">
      <c r="B36" s="5"/>
      <c r="C36" s="5"/>
      <c r="D36" s="5"/>
      <c r="E36" s="6"/>
      <c r="F36" s="5" t="n">
        <f aca="false">E36/20</f>
        <v>0</v>
      </c>
      <c r="G36" s="5"/>
      <c r="H36" s="5"/>
      <c r="J36" s="1" t="s">
        <v>11</v>
      </c>
    </row>
    <row r="37" customFormat="false" ht="13.8" hidden="false" customHeight="false" outlineLevel="0" collapsed="false">
      <c r="B37" s="5"/>
      <c r="C37" s="5"/>
      <c r="D37" s="7" t="n">
        <f aca="false">SUM(D24:D36)</f>
        <v>1</v>
      </c>
      <c r="E37" s="7" t="n">
        <f aca="false">SUM(E24:E36)</f>
        <v>1980</v>
      </c>
      <c r="F37" s="5"/>
      <c r="G37" s="5"/>
      <c r="H37" s="5"/>
      <c r="J37" s="1" t="s">
        <v>89</v>
      </c>
    </row>
    <row r="38" customFormat="false" ht="13.8" hidden="false" customHeight="false" outlineLevel="0" collapsed="false">
      <c r="B38" s="5"/>
      <c r="C38" s="5"/>
      <c r="D38" s="7"/>
      <c r="E38" s="7"/>
      <c r="F38" s="5"/>
      <c r="G38" s="5"/>
      <c r="H38" s="5"/>
    </row>
    <row r="40" customFormat="false" ht="13.8" hidden="false" customHeight="false" outlineLevel="0" collapsed="false">
      <c r="C40" s="1"/>
      <c r="G40" s="1"/>
    </row>
    <row r="41" customFormat="false" ht="13.8" hidden="false" customHeight="false" outlineLevel="0" collapsed="false">
      <c r="B41" s="1" t="s">
        <v>84</v>
      </c>
      <c r="C41" s="1" t="s">
        <v>85</v>
      </c>
      <c r="D41" s="1" t="s">
        <v>86</v>
      </c>
      <c r="E41" s="1" t="s">
        <v>3</v>
      </c>
      <c r="F41" s="1" t="s">
        <v>87</v>
      </c>
      <c r="G41" s="1" t="s">
        <v>88</v>
      </c>
    </row>
    <row r="42" customFormat="false" ht="13.8" hidden="false" customHeight="false" outlineLevel="0" collapsed="false">
      <c r="B42" s="1" t="n">
        <v>1980</v>
      </c>
      <c r="C42" s="1" t="n">
        <f aca="false">INT(B42/160)</f>
        <v>12</v>
      </c>
      <c r="D42" s="1" t="n">
        <f aca="false">INT((B42-160*INT(B42/160))/20)</f>
        <v>3</v>
      </c>
      <c r="E42" s="1" t="n">
        <f aca="false">INT(B42-160*INT(B42/160)-20*INT((B42-160*INT(B42/160))/20))</f>
        <v>0</v>
      </c>
      <c r="F42" s="1" t="n">
        <f aca="false">ROUND((B42-INT(B42))*9,0)</f>
        <v>0</v>
      </c>
      <c r="G42" s="1" t="str">
        <f aca="false">TEXT(C42,"0")&amp;"K-"&amp;TEXT(D42,"0")&amp;"K-"&amp;TEXT(E42,"0")&amp;"M-"&amp;TEXT(F42,"0")&amp;"S"</f>
        <v>12K-3K-0M-0S</v>
      </c>
    </row>
    <row r="44" customFormat="false" ht="17.35" hidden="false" customHeight="false" outlineLevel="0" collapsed="false">
      <c r="B44" s="2" t="s">
        <v>0</v>
      </c>
      <c r="C44" s="3" t="n">
        <v>331</v>
      </c>
      <c r="D44" s="4"/>
      <c r="E44" s="5"/>
      <c r="F44" s="5"/>
      <c r="G44" s="2" t="s">
        <v>90</v>
      </c>
      <c r="H44" s="5"/>
      <c r="J44" s="1" t="s">
        <v>91</v>
      </c>
    </row>
    <row r="45" customFormat="false" ht="13.8" hidden="false" customHeight="false" outlineLevel="0" collapsed="false">
      <c r="B45" s="5" t="n">
        <v>289</v>
      </c>
      <c r="C45" s="5"/>
      <c r="D45" s="5"/>
      <c r="E45" s="2" t="n">
        <v>2247</v>
      </c>
      <c r="F45" s="2" t="s">
        <v>3</v>
      </c>
      <c r="G45" s="5"/>
      <c r="H45" s="5"/>
      <c r="J45" s="1" t="s">
        <v>92</v>
      </c>
    </row>
    <row r="46" customFormat="false" ht="13.8" hidden="false" customHeight="false" outlineLevel="0" collapsed="false">
      <c r="B46" s="1" t="s">
        <v>93</v>
      </c>
      <c r="C46" s="8" t="s">
        <v>94</v>
      </c>
      <c r="D46" s="5" t="n">
        <f aca="false">1/3</f>
        <v>0.333333333333333</v>
      </c>
      <c r="E46" s="6" t="n">
        <f aca="false">E$45*D46</f>
        <v>749</v>
      </c>
      <c r="F46" s="5"/>
      <c r="G46" s="5"/>
      <c r="H46" s="5"/>
    </row>
    <row r="47" customFormat="false" ht="13.8" hidden="false" customHeight="false" outlineLevel="0" collapsed="false">
      <c r="B47" s="1" t="s">
        <v>95</v>
      </c>
      <c r="C47" s="8" t="s">
        <v>94</v>
      </c>
      <c r="D47" s="5" t="n">
        <f aca="false">1/3</f>
        <v>0.333333333333333</v>
      </c>
      <c r="E47" s="6" t="n">
        <f aca="false">E$45*D47</f>
        <v>749</v>
      </c>
      <c r="F47" s="5"/>
      <c r="G47" s="5"/>
      <c r="H47" s="5"/>
      <c r="J47" s="1" t="s">
        <v>8</v>
      </c>
    </row>
    <row r="48" customFormat="false" ht="13.8" hidden="false" customHeight="false" outlineLevel="0" collapsed="false">
      <c r="B48" s="1" t="s">
        <v>96</v>
      </c>
      <c r="C48" s="8" t="s">
        <v>94</v>
      </c>
      <c r="D48" s="5" t="n">
        <f aca="false">1/3</f>
        <v>0.333333333333333</v>
      </c>
      <c r="E48" s="6" t="n">
        <f aca="false">E$45*D48</f>
        <v>749</v>
      </c>
      <c r="F48" s="5"/>
      <c r="G48" s="5"/>
      <c r="H48" s="5"/>
      <c r="J48" s="1" t="s">
        <v>11</v>
      </c>
    </row>
    <row r="49" customFormat="false" ht="13.8" hidden="false" customHeight="false" outlineLevel="0" collapsed="false">
      <c r="C49" s="5"/>
      <c r="D49" s="5"/>
      <c r="E49" s="6" t="n">
        <f aca="false">E$45*D49</f>
        <v>0</v>
      </c>
      <c r="F49" s="5"/>
      <c r="G49" s="5"/>
      <c r="H49" s="5"/>
      <c r="J49" s="1" t="s">
        <v>97</v>
      </c>
    </row>
    <row r="50" customFormat="false" ht="13.8" hidden="false" customHeight="false" outlineLevel="0" collapsed="false">
      <c r="C50" s="5"/>
      <c r="D50" s="5"/>
      <c r="E50" s="6" t="n">
        <f aca="false">E$45*D50</f>
        <v>0</v>
      </c>
      <c r="F50" s="5"/>
      <c r="G50" s="5"/>
      <c r="H50" s="5"/>
      <c r="J50" s="1" t="s">
        <v>98</v>
      </c>
    </row>
    <row r="51" customFormat="false" ht="13.8" hidden="false" customHeight="false" outlineLevel="0" collapsed="false">
      <c r="C51" s="5"/>
      <c r="D51" s="5"/>
      <c r="E51" s="6" t="n">
        <f aca="false">E$45*D51</f>
        <v>0</v>
      </c>
      <c r="F51" s="5"/>
      <c r="G51" s="5"/>
      <c r="H51" s="5"/>
      <c r="J51" s="1" t="s">
        <v>99</v>
      </c>
    </row>
    <row r="52" customFormat="false" ht="13.8" hidden="false" customHeight="false" outlineLevel="0" collapsed="false">
      <c r="C52" s="5"/>
      <c r="D52" s="5"/>
      <c r="E52" s="6" t="n">
        <f aca="false">E$45*D52</f>
        <v>0</v>
      </c>
      <c r="F52" s="5"/>
      <c r="G52" s="5"/>
      <c r="H52" s="5"/>
      <c r="J52" s="1" t="s">
        <v>11</v>
      </c>
    </row>
    <row r="53" customFormat="false" ht="13.8" hidden="false" customHeight="false" outlineLevel="0" collapsed="false">
      <c r="C53" s="5"/>
      <c r="D53" s="5"/>
      <c r="E53" s="6" t="n">
        <f aca="false">E$45*D53</f>
        <v>0</v>
      </c>
      <c r="F53" s="5"/>
      <c r="G53" s="5"/>
      <c r="H53" s="5"/>
      <c r="J53" s="1" t="s">
        <v>100</v>
      </c>
    </row>
    <row r="54" customFormat="false" ht="13.8" hidden="false" customHeight="false" outlineLevel="0" collapsed="false">
      <c r="C54" s="5"/>
      <c r="D54" s="5"/>
      <c r="E54" s="6" t="n">
        <f aca="false">E$45*D54</f>
        <v>0</v>
      </c>
      <c r="F54" s="5"/>
      <c r="G54" s="5"/>
      <c r="H54" s="5"/>
    </row>
    <row r="55" customFormat="false" ht="13.8" hidden="false" customHeight="false" outlineLevel="0" collapsed="false">
      <c r="C55" s="5"/>
      <c r="D55" s="5"/>
      <c r="E55" s="6" t="n">
        <f aca="false">E$45*D55</f>
        <v>0</v>
      </c>
      <c r="F55" s="5"/>
      <c r="G55" s="5"/>
      <c r="H55" s="5"/>
    </row>
    <row r="56" customFormat="false" ht="13.8" hidden="false" customHeight="false" outlineLevel="0" collapsed="false">
      <c r="B56" s="5"/>
      <c r="C56" s="5"/>
      <c r="D56" s="5"/>
      <c r="E56" s="6" t="n">
        <f aca="false">E$45*D56</f>
        <v>0</v>
      </c>
      <c r="F56" s="5"/>
      <c r="G56" s="5"/>
      <c r="H56" s="5"/>
    </row>
    <row r="57" customFormat="false" ht="13.8" hidden="false" customHeight="false" outlineLevel="0" collapsed="false">
      <c r="B57" s="5"/>
      <c r="C57" s="5"/>
      <c r="D57" s="5"/>
      <c r="E57" s="6" t="n">
        <f aca="false">E$45*D57</f>
        <v>0</v>
      </c>
      <c r="F57" s="5"/>
      <c r="G57" s="5"/>
      <c r="H57" s="5"/>
      <c r="K57" s="9" t="s">
        <v>101</v>
      </c>
    </row>
    <row r="58" customFormat="false" ht="13.8" hidden="false" customHeight="false" outlineLevel="0" collapsed="false">
      <c r="B58" s="5"/>
      <c r="C58" s="5"/>
      <c r="D58" s="5"/>
      <c r="E58" s="6" t="n">
        <f aca="false">E$45*D58</f>
        <v>0</v>
      </c>
      <c r="F58" s="5" t="n">
        <f aca="false">E58/20</f>
        <v>0</v>
      </c>
      <c r="G58" s="5"/>
      <c r="H58" s="5"/>
    </row>
    <row r="59" customFormat="false" ht="13.8" hidden="false" customHeight="false" outlineLevel="0" collapsed="false">
      <c r="B59" s="5"/>
      <c r="C59" s="5"/>
      <c r="D59" s="7" t="n">
        <f aca="false">SUM(D46:D58)</f>
        <v>1</v>
      </c>
      <c r="E59" s="7" t="n">
        <f aca="false">SUM(E46:E58)</f>
        <v>2247</v>
      </c>
      <c r="F59" s="5"/>
      <c r="G59" s="5"/>
      <c r="H59" s="5"/>
      <c r="K59" s="10" t="s">
        <v>102</v>
      </c>
    </row>
    <row r="60" customFormat="false" ht="13.8" hidden="false" customHeight="false" outlineLevel="0" collapsed="false">
      <c r="B60" s="5"/>
      <c r="C60" s="5"/>
      <c r="D60" s="7"/>
      <c r="E60" s="7"/>
      <c r="F60" s="5"/>
      <c r="G60" s="5"/>
      <c r="H60" s="5"/>
    </row>
    <row r="62" customFormat="false" ht="13.8" hidden="false" customHeight="false" outlineLevel="0" collapsed="false">
      <c r="B62" s="1" t="s">
        <v>84</v>
      </c>
      <c r="C62" s="1" t="s">
        <v>85</v>
      </c>
      <c r="D62" s="1" t="s">
        <v>86</v>
      </c>
      <c r="E62" s="1" t="s">
        <v>3</v>
      </c>
      <c r="F62" s="1" t="s">
        <v>87</v>
      </c>
      <c r="G62" s="1" t="s">
        <v>88</v>
      </c>
    </row>
    <row r="63" customFormat="false" ht="13.8" hidden="false" customHeight="false" outlineLevel="0" collapsed="false">
      <c r="B63" s="1" t="n">
        <v>830</v>
      </c>
      <c r="C63" s="1" t="n">
        <f aca="false">INT(B63/160)</f>
        <v>5</v>
      </c>
      <c r="D63" s="1" t="n">
        <f aca="false">INT((B63-160*INT(B63/160))/20)</f>
        <v>1</v>
      </c>
      <c r="E63" s="1" t="n">
        <f aca="false">INT(B63-160*INT(B63/160)-20*INT((B63-160*INT(B63/160))/20))</f>
        <v>10</v>
      </c>
      <c r="F63" s="1" t="n">
        <f aca="false">ROUND((B63-INT(B63))*9,0)</f>
        <v>0</v>
      </c>
      <c r="G63" s="1" t="str">
        <f aca="false">TEXT(C63,"0")&amp;"K-"&amp;TEXT(D63,"0")&amp;"K-"&amp;TEXT(E63,"0")&amp;"M-"&amp;TEXT(F63,"0")&amp;"S"</f>
        <v>5K-1K-10M-0S</v>
      </c>
    </row>
    <row r="66" customFormat="false" ht="17.35" hidden="false" customHeight="false" outlineLevel="0" collapsed="false">
      <c r="B66" s="2" t="s">
        <v>0</v>
      </c>
      <c r="C66" s="3" t="n">
        <v>337</v>
      </c>
      <c r="D66" s="4"/>
      <c r="E66" s="5"/>
      <c r="F66" s="5"/>
      <c r="G66" s="2" t="s">
        <v>103</v>
      </c>
      <c r="H66" s="5"/>
      <c r="J66" s="1" t="s">
        <v>525</v>
      </c>
    </row>
    <row r="67" customFormat="false" ht="13.8" hidden="false" customHeight="false" outlineLevel="0" collapsed="false">
      <c r="B67" s="5"/>
      <c r="C67" s="5"/>
      <c r="D67" s="5"/>
      <c r="E67" s="2" t="n">
        <v>981</v>
      </c>
      <c r="F67" s="2" t="s">
        <v>3</v>
      </c>
      <c r="G67" s="5"/>
      <c r="H67" s="5"/>
      <c r="J67" s="1" t="s">
        <v>526</v>
      </c>
    </row>
    <row r="68" customFormat="false" ht="13.8" hidden="false" customHeight="false" outlineLevel="0" collapsed="false">
      <c r="B68" s="1" t="s">
        <v>106</v>
      </c>
      <c r="C68" s="8" t="s">
        <v>107</v>
      </c>
      <c r="D68" s="11" t="n">
        <f aca="false">46/981</f>
        <v>0.0468909276248726</v>
      </c>
      <c r="E68" s="6" t="n">
        <f aca="false">E$67*D68</f>
        <v>46</v>
      </c>
      <c r="F68" s="5"/>
      <c r="G68" s="5"/>
      <c r="H68" s="5"/>
    </row>
    <row r="69" customFormat="false" ht="13.8" hidden="false" customHeight="false" outlineLevel="0" collapsed="false">
      <c r="B69" s="1" t="s">
        <v>108</v>
      </c>
      <c r="C69" s="8" t="s">
        <v>109</v>
      </c>
      <c r="D69" s="11" t="n">
        <f aca="false">47/981</f>
        <v>0.0479102956167176</v>
      </c>
      <c r="E69" s="6" t="n">
        <f aca="false">E$45*D69</f>
        <v>107.654434250765</v>
      </c>
      <c r="F69" s="5"/>
      <c r="G69" s="5"/>
      <c r="H69" s="5"/>
      <c r="J69" s="1" t="s">
        <v>8</v>
      </c>
    </row>
    <row r="70" customFormat="false" ht="13.8" hidden="false" customHeight="false" outlineLevel="0" collapsed="false">
      <c r="B70" s="1" t="s">
        <v>110</v>
      </c>
      <c r="C70" s="8" t="s">
        <v>111</v>
      </c>
      <c r="D70" s="11" t="n">
        <f aca="false">220/981</f>
        <v>0.224260958205912</v>
      </c>
      <c r="E70" s="6" t="n">
        <f aca="false">E$45*D70</f>
        <v>503.914373088685</v>
      </c>
      <c r="F70" s="5"/>
      <c r="G70" s="5"/>
      <c r="H70" s="5"/>
      <c r="J70" s="1" t="s">
        <v>11</v>
      </c>
    </row>
    <row r="71" customFormat="false" ht="13.8" hidden="false" customHeight="false" outlineLevel="0" collapsed="false">
      <c r="B71" s="1" t="s">
        <v>112</v>
      </c>
      <c r="C71" s="5" t="s">
        <v>113</v>
      </c>
      <c r="D71" s="11" t="n">
        <f aca="false">479/981</f>
        <v>0.488277268093782</v>
      </c>
      <c r="E71" s="6" t="n">
        <f aca="false">E$45*D71</f>
        <v>1097.15902140673</v>
      </c>
      <c r="F71" s="5"/>
      <c r="G71" s="5"/>
      <c r="H71" s="5"/>
      <c r="J71" s="1" t="s">
        <v>106</v>
      </c>
    </row>
    <row r="72" customFormat="false" ht="13.8" hidden="false" customHeight="false" outlineLevel="0" collapsed="false">
      <c r="B72" s="1" t="s">
        <v>115</v>
      </c>
      <c r="C72" s="5" t="s">
        <v>116</v>
      </c>
      <c r="D72" s="11" t="n">
        <f aca="false">8/109</f>
        <v>0.073394495412844</v>
      </c>
      <c r="E72" s="6" t="n">
        <f aca="false">E$45*D72</f>
        <v>164.917431192661</v>
      </c>
      <c r="F72" s="5"/>
      <c r="G72" s="5"/>
      <c r="H72" s="5"/>
      <c r="J72" s="1" t="s">
        <v>108</v>
      </c>
    </row>
    <row r="73" customFormat="false" ht="13.8" hidden="false" customHeight="false" outlineLevel="0" collapsed="false">
      <c r="B73" s="1" t="s">
        <v>118</v>
      </c>
      <c r="C73" s="5" t="s">
        <v>119</v>
      </c>
      <c r="D73" s="11" t="n">
        <f aca="false">13/109</f>
        <v>0.119266055045872</v>
      </c>
      <c r="E73" s="6" t="n">
        <f aca="false">E$45*D73</f>
        <v>267.990825688073</v>
      </c>
      <c r="F73" s="5"/>
      <c r="G73" s="5"/>
      <c r="H73" s="5"/>
      <c r="J73" s="1" t="s">
        <v>110</v>
      </c>
    </row>
    <row r="74" customFormat="false" ht="13.8" hidden="false" customHeight="false" outlineLevel="0" collapsed="false">
      <c r="C74" s="5"/>
      <c r="D74" s="11"/>
      <c r="E74" s="6" t="n">
        <f aca="false">E$45*D74</f>
        <v>0</v>
      </c>
      <c r="F74" s="5"/>
      <c r="G74" s="5"/>
      <c r="H74" s="5"/>
      <c r="J74" s="1" t="s">
        <v>112</v>
      </c>
    </row>
    <row r="75" customFormat="false" ht="13.8" hidden="false" customHeight="false" outlineLevel="0" collapsed="false">
      <c r="C75" s="5"/>
      <c r="D75" s="11"/>
      <c r="E75" s="6" t="n">
        <f aca="false">E$45*D75</f>
        <v>0</v>
      </c>
      <c r="F75" s="5"/>
      <c r="G75" s="5"/>
      <c r="H75" s="5"/>
      <c r="J75" s="1" t="s">
        <v>115</v>
      </c>
    </row>
    <row r="76" customFormat="false" ht="13.8" hidden="false" customHeight="false" outlineLevel="0" collapsed="false">
      <c r="C76" s="5"/>
      <c r="D76" s="11"/>
      <c r="E76" s="6" t="n">
        <f aca="false">E$45*D76</f>
        <v>0</v>
      </c>
      <c r="F76" s="5"/>
      <c r="G76" s="5"/>
      <c r="H76" s="5"/>
      <c r="J76" s="1" t="s">
        <v>118</v>
      </c>
    </row>
    <row r="77" customFormat="false" ht="13.8" hidden="false" customHeight="false" outlineLevel="0" collapsed="false">
      <c r="C77" s="5"/>
      <c r="D77" s="11"/>
      <c r="E77" s="6" t="n">
        <f aca="false">E$45*D77</f>
        <v>0</v>
      </c>
      <c r="F77" s="5"/>
      <c r="G77" s="5"/>
      <c r="H77" s="5"/>
      <c r="J77" s="1" t="s">
        <v>11</v>
      </c>
    </row>
    <row r="78" customFormat="false" ht="13.8" hidden="false" customHeight="false" outlineLevel="0" collapsed="false">
      <c r="B78" s="5"/>
      <c r="C78" s="5"/>
      <c r="D78" s="11"/>
      <c r="E78" s="6" t="n">
        <f aca="false">E$45*D78</f>
        <v>0</v>
      </c>
      <c r="F78" s="5"/>
      <c r="G78" s="5"/>
      <c r="H78" s="5"/>
      <c r="J78" s="1" t="s">
        <v>527</v>
      </c>
    </row>
    <row r="79" customFormat="false" ht="13.8" hidden="false" customHeight="false" outlineLevel="0" collapsed="false">
      <c r="B79" s="5"/>
      <c r="C79" s="5"/>
      <c r="D79" s="11"/>
      <c r="E79" s="6" t="n">
        <f aca="false">E$45*D79</f>
        <v>0</v>
      </c>
      <c r="F79" s="5"/>
      <c r="G79" s="5"/>
      <c r="H79" s="5"/>
    </row>
    <row r="80" customFormat="false" ht="13.8" hidden="false" customHeight="false" outlineLevel="0" collapsed="false">
      <c r="B80" s="5"/>
      <c r="C80" s="5"/>
      <c r="D80" s="11"/>
      <c r="E80" s="6" t="n">
        <f aca="false">E$45*D80</f>
        <v>0</v>
      </c>
      <c r="F80" s="5" t="n">
        <f aca="false">E80/20</f>
        <v>0</v>
      </c>
      <c r="G80" s="5"/>
      <c r="H80" s="5"/>
    </row>
    <row r="81" customFormat="false" ht="13.8" hidden="false" customHeight="false" outlineLevel="0" collapsed="false">
      <c r="B81" s="5"/>
      <c r="C81" s="5"/>
      <c r="D81" s="7" t="n">
        <f aca="false">SUM(D68:D80)</f>
        <v>1</v>
      </c>
      <c r="E81" s="7" t="n">
        <f aca="false">SUM(E68:E80)</f>
        <v>2187.63608562691</v>
      </c>
      <c r="F81" s="5"/>
      <c r="G81" s="5"/>
      <c r="H81" s="5"/>
    </row>
    <row r="82" customFormat="false" ht="13.8" hidden="false" customHeight="false" outlineLevel="0" collapsed="false">
      <c r="B82" s="5"/>
      <c r="C82" s="5"/>
      <c r="D82" s="7"/>
      <c r="E82" s="7"/>
      <c r="F82" s="5"/>
      <c r="G82" s="5"/>
      <c r="H82" s="5"/>
    </row>
    <row r="84" customFormat="false" ht="13.8" hidden="false" customHeight="false" outlineLevel="0" collapsed="false">
      <c r="B84" s="1" t="s">
        <v>84</v>
      </c>
      <c r="C84" s="1" t="s">
        <v>85</v>
      </c>
      <c r="D84" s="1" t="s">
        <v>86</v>
      </c>
      <c r="E84" s="1" t="s">
        <v>3</v>
      </c>
      <c r="F84" s="1" t="s">
        <v>87</v>
      </c>
      <c r="G84" s="1" t="s">
        <v>88</v>
      </c>
    </row>
    <row r="85" customFormat="false" ht="13.8" hidden="false" customHeight="false" outlineLevel="0" collapsed="false">
      <c r="B85" s="1" t="n">
        <v>1097</v>
      </c>
      <c r="C85" s="1" t="n">
        <f aca="false">INT(B85/160)</f>
        <v>6</v>
      </c>
      <c r="D85" s="1" t="n">
        <f aca="false">INT((B85-160*INT(B85/160))/20)</f>
        <v>6</v>
      </c>
      <c r="E85" s="1" t="n">
        <f aca="false">INT(B85-160*INT(B85/160)-20*INT((B85-160*INT(B85/160))/20))</f>
        <v>17</v>
      </c>
      <c r="F85" s="1" t="n">
        <f aca="false">ROUND((B85-INT(B85))*9,0)</f>
        <v>0</v>
      </c>
      <c r="G85" s="1" t="str">
        <f aca="false">TEXT(C85,"0")&amp;"K-"&amp;TEXT(D85,"0")&amp;"K-"&amp;TEXT(E85,"0")&amp;"M-"&amp;TEXT(F85,"0")&amp;"S"</f>
        <v>6K-6K-17M-0S</v>
      </c>
    </row>
    <row r="88" customFormat="false" ht="17.35" hidden="false" customHeight="false" outlineLevel="0" collapsed="false">
      <c r="B88" s="2" t="s">
        <v>0</v>
      </c>
      <c r="C88" s="3" t="n">
        <v>318</v>
      </c>
      <c r="D88" s="4"/>
      <c r="E88" s="5"/>
      <c r="F88" s="5"/>
      <c r="G88" s="2" t="s">
        <v>125</v>
      </c>
      <c r="H88" s="5"/>
      <c r="J88" s="1" t="s">
        <v>528</v>
      </c>
    </row>
    <row r="89" customFormat="false" ht="13.8" hidden="false" customHeight="false" outlineLevel="0" collapsed="false">
      <c r="B89" s="5"/>
      <c r="C89" s="5"/>
      <c r="D89" s="5"/>
      <c r="E89" s="2" t="n">
        <v>1385</v>
      </c>
      <c r="F89" s="2" t="s">
        <v>3</v>
      </c>
      <c r="G89" s="5"/>
      <c r="H89" s="5"/>
      <c r="J89" s="1" t="s">
        <v>127</v>
      </c>
    </row>
    <row r="90" customFormat="false" ht="13.8" hidden="false" customHeight="false" outlineLevel="0" collapsed="false">
      <c r="B90" s="1" t="s">
        <v>529</v>
      </c>
      <c r="C90" s="5" t="s">
        <v>187</v>
      </c>
      <c r="D90" s="5" t="n">
        <f aca="false">96/973</f>
        <v>0.0986639260020555</v>
      </c>
      <c r="E90" s="6" t="n">
        <f aca="false">E$89*D90</f>
        <v>136.649537512847</v>
      </c>
      <c r="F90" s="5"/>
      <c r="G90" s="5"/>
      <c r="H90" s="5"/>
      <c r="P90" s="1" t="s">
        <v>129</v>
      </c>
      <c r="Q90" s="1" t="s">
        <v>130</v>
      </c>
    </row>
    <row r="91" customFormat="false" ht="13.8" hidden="false" customHeight="false" outlineLevel="0" collapsed="false">
      <c r="B91" s="1" t="s">
        <v>256</v>
      </c>
      <c r="C91" s="5" t="s">
        <v>530</v>
      </c>
      <c r="D91" s="5" t="n">
        <f aca="false">717/1946</f>
        <v>0.368448098663926</v>
      </c>
      <c r="E91" s="6" t="n">
        <f aca="false">E$89*D91</f>
        <v>510.300616649538</v>
      </c>
      <c r="F91" s="5"/>
      <c r="G91" s="5"/>
      <c r="H91" s="5"/>
      <c r="J91" s="1" t="s">
        <v>8</v>
      </c>
      <c r="P91" s="1" t="n">
        <v>27</v>
      </c>
      <c r="Q91" s="1" t="n">
        <v>16</v>
      </c>
    </row>
    <row r="92" customFormat="false" ht="13.8" hidden="false" customHeight="false" outlineLevel="0" collapsed="false">
      <c r="B92" s="1" t="s">
        <v>531</v>
      </c>
      <c r="C92" s="5" t="s">
        <v>132</v>
      </c>
      <c r="D92" s="5" t="n">
        <f aca="false">405/7784</f>
        <v>0.0520298047276465</v>
      </c>
      <c r="E92" s="6" t="n">
        <f aca="false">E$89*D92</f>
        <v>72.0612795477903</v>
      </c>
      <c r="F92" s="5"/>
      <c r="G92" s="5"/>
      <c r="H92" s="5"/>
      <c r="J92" s="1" t="s">
        <v>11</v>
      </c>
      <c r="P92" s="1" t="n">
        <v>32</v>
      </c>
      <c r="Q92" s="1" t="n">
        <v>0</v>
      </c>
      <c r="R92" s="1" t="s">
        <v>135</v>
      </c>
    </row>
    <row r="93" customFormat="false" ht="13.8" hidden="false" customHeight="false" outlineLevel="0" collapsed="false">
      <c r="B93" s="1" t="s">
        <v>96</v>
      </c>
      <c r="C93" s="5" t="s">
        <v>134</v>
      </c>
      <c r="D93" s="5" t="n">
        <f aca="false">689/7784</f>
        <v>0.0885149023638232</v>
      </c>
      <c r="E93" s="6" t="n">
        <f aca="false">E$89*D93</f>
        <v>122.593139773895</v>
      </c>
      <c r="F93" s="5"/>
      <c r="G93" s="5"/>
      <c r="H93" s="5"/>
      <c r="J93" s="1" t="s">
        <v>532</v>
      </c>
      <c r="P93" s="1" t="n">
        <v>4</v>
      </c>
      <c r="Q93" s="1" t="n">
        <v>12</v>
      </c>
      <c r="R93" s="1" t="s">
        <v>139</v>
      </c>
    </row>
    <row r="94" customFormat="false" ht="13.8" hidden="false" customHeight="false" outlineLevel="0" collapsed="false">
      <c r="B94" s="1" t="s">
        <v>9</v>
      </c>
      <c r="C94" s="5" t="s">
        <v>147</v>
      </c>
      <c r="D94" s="5" t="n">
        <f aca="false">281/3892</f>
        <v>0.0721993833504625</v>
      </c>
      <c r="E94" s="6" t="n">
        <f aca="false">E$89*D94</f>
        <v>99.9961459403905</v>
      </c>
      <c r="F94" s="5"/>
      <c r="G94" s="5"/>
      <c r="H94" s="5"/>
      <c r="J94" s="1" t="s">
        <v>533</v>
      </c>
      <c r="P94" s="1" t="n">
        <v>1</v>
      </c>
      <c r="Q94" s="1" t="n">
        <v>7</v>
      </c>
      <c r="R94" s="1" t="s">
        <v>142</v>
      </c>
    </row>
    <row r="95" customFormat="false" ht="13.8" hidden="false" customHeight="false" outlineLevel="0" collapsed="false">
      <c r="B95" s="1" t="s">
        <v>534</v>
      </c>
      <c r="C95" s="5" t="s">
        <v>153</v>
      </c>
      <c r="D95" s="5" t="n">
        <f aca="false">365/3892</f>
        <v>0.0937821171634121</v>
      </c>
      <c r="E95" s="6" t="n">
        <f aca="false">E$89*D95</f>
        <v>129.888232271326</v>
      </c>
      <c r="F95" s="5"/>
      <c r="G95" s="5"/>
      <c r="H95" s="5"/>
      <c r="J95" s="1" t="s">
        <v>535</v>
      </c>
      <c r="P95" s="1" t="n">
        <v>2</v>
      </c>
      <c r="Q95" s="1" t="n">
        <v>6</v>
      </c>
      <c r="R95" s="1" t="s">
        <v>145</v>
      </c>
    </row>
    <row r="96" customFormat="false" ht="13.8" hidden="false" customHeight="false" outlineLevel="0" collapsed="false">
      <c r="C96" s="5"/>
      <c r="D96" s="5"/>
      <c r="E96" s="6"/>
      <c r="F96" s="5"/>
      <c r="G96" s="5"/>
      <c r="H96" s="5"/>
      <c r="P96" s="10" t="n">
        <v>40</v>
      </c>
      <c r="Q96" s="10" t="n">
        <v>5</v>
      </c>
    </row>
    <row r="97" customFormat="false" ht="13.8" hidden="false" customHeight="false" outlineLevel="0" collapsed="false">
      <c r="B97" s="1" t="s">
        <v>536</v>
      </c>
      <c r="C97" s="5" t="s">
        <v>151</v>
      </c>
      <c r="D97" s="5" t="n">
        <f aca="false">95/556</f>
        <v>0.170863309352518</v>
      </c>
      <c r="E97" s="6" t="n">
        <f aca="false">E$89*D97</f>
        <v>236.645683453237</v>
      </c>
      <c r="F97" s="5"/>
      <c r="G97" s="5"/>
      <c r="H97" s="5"/>
      <c r="J97" s="1" t="s">
        <v>537</v>
      </c>
      <c r="P97" s="10" t="n">
        <v>40</v>
      </c>
    </row>
    <row r="98" customFormat="false" ht="13.8" hidden="false" customHeight="false" outlineLevel="0" collapsed="false">
      <c r="B98" s="1" t="s">
        <v>538</v>
      </c>
      <c r="C98" s="5" t="s">
        <v>137</v>
      </c>
      <c r="D98" s="5" t="n">
        <f aca="false">36/973</f>
        <v>0.0369989722507708</v>
      </c>
      <c r="E98" s="6" t="n">
        <f aca="false">E$89*D98</f>
        <v>51.2435765673176</v>
      </c>
      <c r="F98" s="5"/>
      <c r="G98" s="5"/>
      <c r="H98" s="5"/>
      <c r="J98" s="1" t="s">
        <v>539</v>
      </c>
      <c r="P98" s="1" t="n">
        <v>12</v>
      </c>
      <c r="Q98" s="1" t="n">
        <v>10</v>
      </c>
    </row>
    <row r="99" customFormat="false" ht="13.8" hidden="false" customHeight="false" outlineLevel="0" collapsed="false">
      <c r="B99" s="1" t="s">
        <v>540</v>
      </c>
      <c r="C99" s="5" t="s">
        <v>141</v>
      </c>
      <c r="D99" s="5" t="n">
        <f aca="false">18/973</f>
        <v>0.0184994861253854</v>
      </c>
      <c r="E99" s="6" t="n">
        <f aca="false">E$89*D99</f>
        <v>25.6217882836588</v>
      </c>
      <c r="F99" s="5"/>
      <c r="G99" s="5"/>
      <c r="H99" s="5"/>
      <c r="J99" s="1" t="s">
        <v>541</v>
      </c>
      <c r="P99" s="1" t="n">
        <v>250</v>
      </c>
    </row>
    <row r="100" customFormat="false" ht="13.8" hidden="false" customHeight="false" outlineLevel="0" collapsed="false">
      <c r="B100" s="1" t="s">
        <v>154</v>
      </c>
      <c r="C100" s="5" t="s">
        <v>154</v>
      </c>
      <c r="D100" s="5" t="s">
        <v>154</v>
      </c>
      <c r="E100" s="6"/>
      <c r="F100" s="5"/>
      <c r="G100" s="5"/>
      <c r="H100" s="5"/>
      <c r="J100" s="1" t="s">
        <v>542</v>
      </c>
      <c r="P100" s="1" t="n">
        <f aca="false">70*3</f>
        <v>210</v>
      </c>
    </row>
    <row r="101" customFormat="false" ht="13.8" hidden="false" customHeight="false" outlineLevel="0" collapsed="false">
      <c r="B101" s="5"/>
      <c r="C101" s="5"/>
      <c r="D101" s="11"/>
      <c r="E101" s="6"/>
      <c r="F101" s="5"/>
      <c r="G101" s="5"/>
      <c r="H101" s="5"/>
      <c r="J101" s="1" t="s">
        <v>543</v>
      </c>
      <c r="P101" s="1" t="n">
        <v>110</v>
      </c>
    </row>
    <row r="102" customFormat="false" ht="13.8" hidden="false" customHeight="false" outlineLevel="0" collapsed="false">
      <c r="B102" s="5"/>
      <c r="C102" s="5"/>
      <c r="D102" s="11"/>
      <c r="E102" s="6"/>
      <c r="F102" s="5"/>
      <c r="G102" s="5"/>
      <c r="H102" s="5"/>
      <c r="J102" s="1" t="s">
        <v>544</v>
      </c>
      <c r="P102" s="10" t="n">
        <f aca="false">320</f>
        <v>320</v>
      </c>
    </row>
    <row r="103" customFormat="false" ht="13.8" hidden="false" customHeight="false" outlineLevel="0" collapsed="false">
      <c r="B103" s="5"/>
      <c r="C103" s="5"/>
      <c r="D103" s="11"/>
      <c r="E103" s="6"/>
      <c r="F103" s="5" t="n">
        <f aca="false">E103/20</f>
        <v>0</v>
      </c>
      <c r="G103" s="5"/>
      <c r="H103" s="5"/>
      <c r="J103" s="1" t="s">
        <v>11</v>
      </c>
    </row>
    <row r="104" customFormat="false" ht="13.8" hidden="false" customHeight="false" outlineLevel="0" collapsed="false">
      <c r="B104" s="5"/>
      <c r="C104" s="5"/>
      <c r="D104" s="7" t="n">
        <f aca="false">SUM(D90:D103)</f>
        <v>1</v>
      </c>
      <c r="E104" s="7" t="n">
        <f aca="false">SUM(E90:E103)</f>
        <v>1385</v>
      </c>
      <c r="F104" s="5"/>
      <c r="G104" s="5"/>
      <c r="H104" s="5"/>
      <c r="J104" s="1" t="s">
        <v>155</v>
      </c>
    </row>
    <row r="105" customFormat="false" ht="13.8" hidden="false" customHeight="false" outlineLevel="0" collapsed="false">
      <c r="B105" s="5"/>
      <c r="C105" s="5"/>
      <c r="D105" s="7"/>
      <c r="E105" s="7"/>
      <c r="F105" s="5"/>
      <c r="G105" s="5"/>
      <c r="H105" s="5"/>
    </row>
    <row r="107" customFormat="false" ht="13.8" hidden="false" customHeight="false" outlineLevel="0" collapsed="false">
      <c r="B107" s="1" t="s">
        <v>84</v>
      </c>
      <c r="C107" s="1" t="s">
        <v>85</v>
      </c>
      <c r="D107" s="1" t="s">
        <v>86</v>
      </c>
      <c r="E107" s="1" t="s">
        <v>3</v>
      </c>
      <c r="F107" s="1" t="s">
        <v>87</v>
      </c>
      <c r="G107" s="1" t="s">
        <v>88</v>
      </c>
    </row>
    <row r="108" customFormat="false" ht="13.8" hidden="false" customHeight="false" outlineLevel="0" collapsed="false">
      <c r="A108" s="10" t="s">
        <v>167</v>
      </c>
      <c r="B108" s="12" t="n">
        <f aca="false">E91+E7+E29</f>
        <v>837.967283316204</v>
      </c>
      <c r="C108" s="1" t="n">
        <f aca="false">INT(B108/160)</f>
        <v>5</v>
      </c>
      <c r="D108" s="1" t="n">
        <f aca="false">INT((B108-160*INT(B108/160))/20)</f>
        <v>1</v>
      </c>
      <c r="E108" s="1" t="n">
        <f aca="false">INT(B108-160*INT(B108/160)-20*INT((B108-160*INT(B108/160))/20))</f>
        <v>17</v>
      </c>
      <c r="F108" s="1" t="n">
        <f aca="false">ROUND((B108-INT(B108))*9,0)</f>
        <v>9</v>
      </c>
      <c r="G108" s="1" t="str">
        <f aca="false">TEXT(C108,"0")&amp;"K-"&amp;TEXT(D108,"0")&amp;"K-"&amp;TEXT(E108,"0")&amp;"M-"&amp;TEXT(F108,"0")&amp;"S"</f>
        <v>5K-1K-17M-9S</v>
      </c>
      <c r="H108" s="1" t="s">
        <v>168</v>
      </c>
    </row>
    <row r="109" customFormat="false" ht="13.8" hidden="false" customHeight="false" outlineLevel="0" collapsed="false">
      <c r="A109" s="10" t="n">
        <v>322</v>
      </c>
      <c r="B109" s="12" t="n">
        <f aca="false">E7</f>
        <v>117.666666666667</v>
      </c>
      <c r="C109" s="1" t="n">
        <f aca="false">INT(B109/160)</f>
        <v>0</v>
      </c>
      <c r="D109" s="1" t="n">
        <f aca="false">INT((B109-160*INT(B109/160))/20)</f>
        <v>5</v>
      </c>
      <c r="E109" s="1" t="n">
        <f aca="false">INT(B109-160*INT(B109/160)-20*INT((B109-160*INT(B109/160))/20))</f>
        <v>17</v>
      </c>
      <c r="F109" s="1" t="n">
        <f aca="false">ROUND((B109-INT(B109))*9,0)</f>
        <v>6</v>
      </c>
      <c r="G109" s="1" t="str">
        <f aca="false">TEXT(C109,"0")&amp;"K-"&amp;TEXT(D109,"0")&amp;"K-"&amp;TEXT(E109,"0")&amp;"M-"&amp;TEXT(F109,"0")&amp;"S"</f>
        <v>0K-5K-17M-6S</v>
      </c>
      <c r="I109" s="2" t="s">
        <v>1</v>
      </c>
    </row>
    <row r="110" customFormat="false" ht="13.8" hidden="false" customHeight="false" outlineLevel="0" collapsed="false">
      <c r="A110" s="10" t="n">
        <v>326</v>
      </c>
      <c r="B110" s="12" t="n">
        <f aca="false">E29</f>
        <v>210</v>
      </c>
      <c r="C110" s="1" t="n">
        <f aca="false">INT(B110/160)</f>
        <v>1</v>
      </c>
      <c r="D110" s="1" t="n">
        <f aca="false">INT((B110-160*INT(B110/160))/20)</f>
        <v>2</v>
      </c>
      <c r="E110" s="1" t="n">
        <f aca="false">INT(B110-160*INT(B110/160)-20*INT((B110-160*INT(B110/160))/20))</f>
        <v>10</v>
      </c>
      <c r="F110" s="1" t="n">
        <f aca="false">ROUND((B110-INT(B110))*9,0)</f>
        <v>0</v>
      </c>
      <c r="G110" s="1" t="str">
        <f aca="false">TEXT(C110,"0")&amp;"K-"&amp;TEXT(D110,"0")&amp;"K-"&amp;TEXT(E110,"0")&amp;"M-"&amp;TEXT(F110,"0")&amp;"S"</f>
        <v>1K-2K-10M-0S</v>
      </c>
      <c r="I110" s="10" t="s">
        <v>58</v>
      </c>
    </row>
    <row r="111" customFormat="false" ht="13.8" hidden="false" customHeight="false" outlineLevel="0" collapsed="false">
      <c r="A111" s="10" t="n">
        <v>318</v>
      </c>
      <c r="B111" s="12" t="n">
        <f aca="false">E91</f>
        <v>510.300616649538</v>
      </c>
      <c r="C111" s="1" t="n">
        <f aca="false">INT(B111/160)</f>
        <v>3</v>
      </c>
      <c r="D111" s="1" t="n">
        <f aca="false">INT((B111-160*INT(B111/160))/20)</f>
        <v>1</v>
      </c>
      <c r="E111" s="1" t="n">
        <f aca="false">INT(B111-160*INT(B111/160)-20*INT((B111-160*INT(B111/160))/20))</f>
        <v>10</v>
      </c>
      <c r="F111" s="1" t="n">
        <f aca="false">ROUND((B111-INT(B111))*9,0)</f>
        <v>3</v>
      </c>
      <c r="G111" s="1" t="str">
        <f aca="false">TEXT(C111,"0")&amp;"K-"&amp;TEXT(D111,"0")&amp;"K-"&amp;TEXT(E111,"0")&amp;"M-"&amp;TEXT(F111,"0")&amp;"S"</f>
        <v>3K-1K-10M-3S</v>
      </c>
      <c r="I111" s="2" t="s">
        <v>125</v>
      </c>
    </row>
    <row r="112" customFormat="false" ht="13.8" hidden="false" customHeight="false" outlineLevel="0" collapsed="false">
      <c r="A112" s="10"/>
      <c r="B112" s="15" t="n">
        <f aca="false">SUM(B109:B111)</f>
        <v>837.967283316204</v>
      </c>
      <c r="C112" s="10" t="n">
        <f aca="false">INT(B112/160)</f>
        <v>5</v>
      </c>
      <c r="D112" s="10" t="n">
        <f aca="false">INT((B112-160*INT(B112/160))/20)</f>
        <v>1</v>
      </c>
      <c r="E112" s="10" t="n">
        <f aca="false">INT(B112-160*INT(B112/160)-20*INT((B112-160*INT(B112/160))/20))</f>
        <v>17</v>
      </c>
      <c r="F112" s="10" t="n">
        <f aca="false">ROUND((B112-INT(B112))*9,0)</f>
        <v>9</v>
      </c>
      <c r="G112" s="10" t="str">
        <f aca="false">TEXT(C112,"0")&amp;"K-"&amp;TEXT(D112,"0")&amp;"K-"&amp;TEXT(E112,"0")&amp;"M-"&amp;TEXT(F112,"0")&amp;"S"</f>
        <v>5K-1K-17M-9S</v>
      </c>
    </row>
    <row r="113" customFormat="false" ht="13.8" hidden="false" customHeight="false" outlineLevel="0" collapsed="false">
      <c r="A113" s="10" t="s">
        <v>170</v>
      </c>
      <c r="B113" s="12" t="n">
        <f aca="false">E12+E30+E68+E94</f>
        <v>489.996145940391</v>
      </c>
      <c r="C113" s="1" t="n">
        <f aca="false">INT(B113/160)</f>
        <v>3</v>
      </c>
      <c r="D113" s="1" t="n">
        <f aca="false">INT((B113-160*INT(B113/160))/20)</f>
        <v>0</v>
      </c>
      <c r="E113" s="1" t="n">
        <f aca="false">INT(B113-160*INT(B113/160)-20*INT((B113-160*INT(B113/160))/20))</f>
        <v>9</v>
      </c>
      <c r="F113" s="1" t="n">
        <f aca="false">ROUND((B113-INT(B113))*9,0)</f>
        <v>9</v>
      </c>
      <c r="G113" s="1" t="str">
        <f aca="false">TEXT(C113,"0")&amp;"K-"&amp;TEXT(D113,"0")&amp;"K-"&amp;TEXT(E113,"0")&amp;"M-"&amp;TEXT(F113,"0")&amp;"S"</f>
        <v>3K-0K-9M-9S</v>
      </c>
    </row>
    <row r="114" customFormat="false" ht="13.8" hidden="false" customHeight="false" outlineLevel="0" collapsed="false">
      <c r="A114" s="10" t="n">
        <v>322</v>
      </c>
      <c r="B114" s="12" t="n">
        <f aca="false">E12</f>
        <v>164</v>
      </c>
      <c r="C114" s="1" t="n">
        <f aca="false">INT(B114/160)</f>
        <v>1</v>
      </c>
      <c r="D114" s="1" t="n">
        <f aca="false">INT((B114-160*INT(B114/160))/20)</f>
        <v>0</v>
      </c>
      <c r="E114" s="1" t="n">
        <f aca="false">INT(B114-160*INT(B114/160)-20*INT((B114-160*INT(B114/160))/20))</f>
        <v>4</v>
      </c>
      <c r="F114" s="1" t="n">
        <f aca="false">ROUND((B114-INT(B114))*9,0)</f>
        <v>0</v>
      </c>
      <c r="G114" s="1" t="str">
        <f aca="false">TEXT(C114,"0")&amp;"K-"&amp;TEXT(D114,"0")&amp;"K-"&amp;TEXT(E114,"0")&amp;"M-"&amp;TEXT(F114,"0")&amp;"S"</f>
        <v>1K-0K-4M-0S</v>
      </c>
    </row>
    <row r="115" customFormat="false" ht="13.8" hidden="false" customHeight="false" outlineLevel="0" collapsed="false">
      <c r="A115" s="10" t="n">
        <v>326</v>
      </c>
      <c r="B115" s="12" t="n">
        <f aca="false">E30</f>
        <v>180</v>
      </c>
      <c r="C115" s="1" t="n">
        <f aca="false">INT(B115/160)</f>
        <v>1</v>
      </c>
      <c r="D115" s="1" t="n">
        <f aca="false">INT((B115-160*INT(B115/160))/20)</f>
        <v>1</v>
      </c>
      <c r="E115" s="1" t="n">
        <f aca="false">INT(B115-160*INT(B115/160)-20*INT((B115-160*INT(B115/160))/20))</f>
        <v>0</v>
      </c>
      <c r="F115" s="1" t="n">
        <f aca="false">ROUND((B115-INT(B115))*9,0)</f>
        <v>0</v>
      </c>
      <c r="G115" s="1" t="str">
        <f aca="false">TEXT(C115,"0")&amp;"K-"&amp;TEXT(D115,"0")&amp;"K-"&amp;TEXT(E115,"0")&amp;"M-"&amp;TEXT(F115,"0")&amp;"S"</f>
        <v>1K-1K-0M-0S</v>
      </c>
    </row>
    <row r="116" customFormat="false" ht="13.8" hidden="false" customHeight="false" outlineLevel="0" collapsed="false">
      <c r="A116" s="9" t="n">
        <v>337</v>
      </c>
      <c r="B116" s="12" t="n">
        <f aca="false">E68</f>
        <v>46</v>
      </c>
      <c r="C116" s="1" t="n">
        <f aca="false">INT(B116/160)</f>
        <v>0</v>
      </c>
      <c r="D116" s="1" t="n">
        <f aca="false">INT((B116-160*INT(B116/160))/20)</f>
        <v>2</v>
      </c>
      <c r="E116" s="1" t="n">
        <f aca="false">INT(B116-160*INT(B116/160)-20*INT((B116-160*INT(B116/160))/20))</f>
        <v>6</v>
      </c>
      <c r="F116" s="1" t="n">
        <f aca="false">ROUND((B116-INT(B116))*9,0)</f>
        <v>0</v>
      </c>
      <c r="G116" s="1" t="str">
        <f aca="false">TEXT(C116,"0")&amp;"K-"&amp;TEXT(D116,"0")&amp;"K-"&amp;TEXT(E116,"0")&amp;"M-"&amp;TEXT(F116,"0")&amp;"S"</f>
        <v>0K-2K-6M-0S</v>
      </c>
    </row>
    <row r="117" customFormat="false" ht="13.8" hidden="false" customHeight="false" outlineLevel="0" collapsed="false">
      <c r="A117" s="10" t="n">
        <v>318</v>
      </c>
      <c r="B117" s="12" t="n">
        <f aca="false">E94</f>
        <v>99.9961459403905</v>
      </c>
      <c r="C117" s="1" t="n">
        <f aca="false">INT(B117/160)</f>
        <v>0</v>
      </c>
      <c r="D117" s="1" t="n">
        <f aca="false">INT((B117-160*INT(B117/160))/20)</f>
        <v>4</v>
      </c>
      <c r="E117" s="1" t="n">
        <f aca="false">INT(B117-160*INT(B117/160)-20*INT((B117-160*INT(B117/160))/20))</f>
        <v>19</v>
      </c>
      <c r="F117" s="1" t="n">
        <f aca="false">ROUND((B117-INT(B117))*9,0)</f>
        <v>9</v>
      </c>
      <c r="G117" s="1" t="str">
        <f aca="false">TEXT(C117,"0")&amp;"K-"&amp;TEXT(D117,"0")&amp;"K-"&amp;TEXT(E117,"0")&amp;"M-"&amp;TEXT(F117,"0")&amp;"S"</f>
        <v>0K-4K-19M-9S</v>
      </c>
    </row>
    <row r="118" customFormat="false" ht="13.8" hidden="false" customHeight="false" outlineLevel="0" collapsed="false">
      <c r="B118" s="15" t="n">
        <f aca="false">SUM(B114:B117)</f>
        <v>489.996145940391</v>
      </c>
      <c r="C118" s="10" t="n">
        <f aca="false">INT(B118/160)</f>
        <v>3</v>
      </c>
      <c r="D118" s="10" t="n">
        <f aca="false">INT((B118-160*INT(B118/160))/20)</f>
        <v>0</v>
      </c>
      <c r="E118" s="10" t="n">
        <f aca="false">INT(B118-160*INT(B118/160)-20*INT((B118-160*INT(B118/160))/20))</f>
        <v>9</v>
      </c>
      <c r="F118" s="10" t="n">
        <f aca="false">ROUND((B118-INT(B118))*9,0)</f>
        <v>9</v>
      </c>
      <c r="G118" s="10" t="str">
        <f aca="false">TEXT(C118,"0")&amp;"K-"&amp;TEXT(D118,"0")&amp;"K-"&amp;TEXT(E118,"0")&amp;"M-"&amp;TEXT(F118,"0")&amp;"S"</f>
        <v>3K-0K-9M-9S</v>
      </c>
    </row>
    <row r="119" customFormat="false" ht="13.8" hidden="false" customHeight="false" outlineLevel="0" collapsed="false">
      <c r="A119" s="1" t="s">
        <v>173</v>
      </c>
    </row>
    <row r="120" customFormat="false" ht="13.8" hidden="false" customHeight="false" outlineLevel="0" collapsed="false">
      <c r="B120" s="1" t="s">
        <v>174</v>
      </c>
    </row>
    <row r="125" customFormat="false" ht="13.8" hidden="false" customHeight="false" outlineLevel="0" collapsed="false">
      <c r="O125" s="1" t="s">
        <v>545</v>
      </c>
      <c r="P125" s="1" t="n">
        <v>41</v>
      </c>
      <c r="Q125" s="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O51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N56" activeCellId="0" sqref="N56"/>
    </sheetView>
  </sheetViews>
  <sheetFormatPr defaultColWidth="11.53515625" defaultRowHeight="12.8" zeroHeight="false" outlineLevelRow="0" outlineLevelCol="0"/>
  <sheetData>
    <row r="51" customFormat="false" ht="12.8" hidden="false" customHeight="false" outlineLevel="0" collapsed="false">
      <c r="O51" s="1" t="s">
        <v>546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M18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ColWidth="11.53515625" defaultRowHeight="12.8" zeroHeight="false" outlineLevelRow="0" outlineLevelCol="0"/>
  <sheetData>
    <row r="18" customFormat="false" ht="12.8" hidden="false" customHeight="false" outlineLevel="0" collapsed="false">
      <c r="M18" s="1" t="s">
        <v>547</v>
      </c>
      <c r="O18" s="1" t="s">
        <v>548</v>
      </c>
    </row>
    <row r="20" customFormat="false" ht="12.8" hidden="false" customHeight="false" outlineLevel="0" collapsed="false">
      <c r="M20" s="1" t="s">
        <v>549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7" activeCellId="0" sqref="I57"/>
    </sheetView>
  </sheetViews>
  <sheetFormatPr defaultColWidth="11.53515625" defaultRowHeight="12.8" zeroHeight="false" outlineLevelRow="0" outlineLevelCol="0"/>
  <cols>
    <col collapsed="false" customWidth="true" hidden="false" outlineLevel="0" max="8" min="8" style="1" width="18.35"/>
  </cols>
  <sheetData>
    <row r="1" customFormat="false" ht="17.35" hidden="false" customHeight="false" outlineLevel="0" collapsed="false">
      <c r="A1" s="2" t="s">
        <v>0</v>
      </c>
      <c r="B1" s="3" t="n">
        <v>588</v>
      </c>
      <c r="C1" s="4"/>
      <c r="D1" s="5"/>
      <c r="E1" s="5"/>
      <c r="F1" s="5"/>
    </row>
    <row r="2" customFormat="false" ht="13.8" hidden="false" customHeight="false" outlineLevel="0" collapsed="false">
      <c r="A2" s="5"/>
      <c r="B2" s="5"/>
      <c r="C2" s="5"/>
      <c r="D2" s="2" t="n">
        <f aca="false">99*20</f>
        <v>1980</v>
      </c>
      <c r="E2" s="2" t="s">
        <v>3</v>
      </c>
      <c r="F2" s="5"/>
      <c r="G2" s="1" t="n">
        <f aca="false">D2/160</f>
        <v>12.375</v>
      </c>
    </row>
    <row r="3" customFormat="false" ht="13.8" hidden="false" customHeight="false" outlineLevel="0" collapsed="false">
      <c r="A3" s="5" t="s">
        <v>93</v>
      </c>
      <c r="B3" s="5" t="s">
        <v>278</v>
      </c>
      <c r="C3" s="5" t="n">
        <f aca="false">7/198</f>
        <v>0.0353535353535354</v>
      </c>
      <c r="D3" s="6" t="n">
        <f aca="false">D$2*C3</f>
        <v>70</v>
      </c>
      <c r="E3" s="7" t="n">
        <f aca="false">D3</f>
        <v>70</v>
      </c>
      <c r="F3" s="5"/>
    </row>
    <row r="4" customFormat="false" ht="13.8" hidden="false" customHeight="false" outlineLevel="0" collapsed="false">
      <c r="A4" s="5" t="s">
        <v>283</v>
      </c>
      <c r="B4" s="5" t="s">
        <v>278</v>
      </c>
      <c r="C4" s="5" t="n">
        <f aca="false">7/198</f>
        <v>0.0353535353535354</v>
      </c>
      <c r="D4" s="6" t="n">
        <f aca="false">D$2*C4</f>
        <v>70</v>
      </c>
      <c r="E4" s="5"/>
      <c r="F4" s="5"/>
    </row>
    <row r="5" customFormat="false" ht="13.8" hidden="false" customHeight="false" outlineLevel="0" collapsed="false">
      <c r="A5" s="5" t="s">
        <v>222</v>
      </c>
      <c r="B5" s="5" t="s">
        <v>550</v>
      </c>
      <c r="C5" s="5" t="n">
        <f aca="false">1/297</f>
        <v>0.00336700336700337</v>
      </c>
      <c r="D5" s="6" t="n">
        <f aca="false">D$2*C5</f>
        <v>6.66666666666667</v>
      </c>
      <c r="E5" s="2" t="n">
        <f aca="false">D4+D5</f>
        <v>76.6666666666667</v>
      </c>
      <c r="F5" s="5"/>
    </row>
    <row r="6" customFormat="false" ht="13.8" hidden="false" customHeight="false" outlineLevel="0" collapsed="false">
      <c r="A6" s="5" t="s">
        <v>227</v>
      </c>
      <c r="B6" s="5" t="s">
        <v>290</v>
      </c>
      <c r="C6" s="5" t="n">
        <f aca="false">79/1980</f>
        <v>0.0398989898989899</v>
      </c>
      <c r="D6" s="6" t="n">
        <f aca="false">D$2*C6</f>
        <v>79</v>
      </c>
      <c r="E6" s="5"/>
      <c r="F6" s="5"/>
    </row>
    <row r="7" customFormat="false" ht="13.8" hidden="false" customHeight="false" outlineLevel="0" collapsed="false">
      <c r="A7" s="5" t="s">
        <v>294</v>
      </c>
      <c r="B7" s="5" t="s">
        <v>296</v>
      </c>
      <c r="C7" s="5" t="n">
        <f aca="false">19/220</f>
        <v>0.0863636363636364</v>
      </c>
      <c r="D7" s="6" t="n">
        <f aca="false">D$2*C7</f>
        <v>171</v>
      </c>
      <c r="E7" s="2" t="n">
        <f aca="false">D7+D6</f>
        <v>250</v>
      </c>
      <c r="F7" s="2" t="n">
        <f aca="false">E7+E3</f>
        <v>320</v>
      </c>
      <c r="H7" s="1" t="s">
        <v>551</v>
      </c>
      <c r="I7" s="10" t="n">
        <f aca="false">17*20+2</f>
        <v>342</v>
      </c>
    </row>
    <row r="8" customFormat="false" ht="13.8" hidden="false" customHeight="false" outlineLevel="0" collapsed="false">
      <c r="A8" s="5" t="s">
        <v>552</v>
      </c>
      <c r="B8" s="8" t="s">
        <v>62</v>
      </c>
      <c r="C8" s="5" t="n">
        <f aca="false">1/6</f>
        <v>0.166666666666667</v>
      </c>
      <c r="D8" s="6" t="n">
        <f aca="false">D$2*C8</f>
        <v>330</v>
      </c>
      <c r="E8" s="5"/>
      <c r="F8" s="5"/>
    </row>
    <row r="9" customFormat="false" ht="13.8" hidden="false" customHeight="false" outlineLevel="0" collapsed="false">
      <c r="A9" s="5" t="s">
        <v>553</v>
      </c>
      <c r="B9" s="5" t="s">
        <v>550</v>
      </c>
      <c r="C9" s="5" t="n">
        <f aca="false">1/297</f>
        <v>0.00336700336700337</v>
      </c>
      <c r="D9" s="6" t="n">
        <f aca="false">D$2*C9</f>
        <v>6.66666666666667</v>
      </c>
      <c r="E9" s="5"/>
      <c r="F9" s="5"/>
    </row>
    <row r="10" customFormat="false" ht="13.8" hidden="false" customHeight="false" outlineLevel="0" collapsed="false">
      <c r="A10" s="5" t="s">
        <v>554</v>
      </c>
      <c r="B10" s="5" t="s">
        <v>71</v>
      </c>
      <c r="C10" s="5" t="n">
        <f aca="false">2/297</f>
        <v>0.00673400673400673</v>
      </c>
      <c r="D10" s="6" t="n">
        <f aca="false">D$2*C10</f>
        <v>13.3333333333333</v>
      </c>
      <c r="E10" s="5"/>
      <c r="F10" s="5"/>
    </row>
    <row r="11" customFormat="false" ht="13.8" hidden="false" customHeight="false" outlineLevel="0" collapsed="false">
      <c r="A11" s="5" t="s">
        <v>555</v>
      </c>
      <c r="B11" s="5" t="s">
        <v>71</v>
      </c>
      <c r="C11" s="5" t="n">
        <f aca="false">2/297</f>
        <v>0.00673400673400673</v>
      </c>
      <c r="D11" s="6" t="n">
        <f aca="false">D$2*C11</f>
        <v>13.3333333333333</v>
      </c>
      <c r="E11" s="5"/>
      <c r="F11" s="5"/>
    </row>
    <row r="12" customFormat="false" ht="13.8" hidden="false" customHeight="false" outlineLevel="0" collapsed="false">
      <c r="A12" s="5" t="s">
        <v>556</v>
      </c>
      <c r="B12" s="5" t="s">
        <v>75</v>
      </c>
      <c r="C12" s="5" t="n">
        <f aca="false">1/18</f>
        <v>0.0555555555555556</v>
      </c>
      <c r="D12" s="6" t="n">
        <f aca="false">D$2*C12</f>
        <v>110</v>
      </c>
      <c r="E12" s="5"/>
      <c r="F12" s="5"/>
    </row>
    <row r="13" customFormat="false" ht="13.8" hidden="false" customHeight="false" outlineLevel="0" collapsed="false">
      <c r="A13" s="5" t="s">
        <v>557</v>
      </c>
      <c r="B13" s="5" t="s">
        <v>80</v>
      </c>
      <c r="C13" s="5" t="n">
        <f aca="false">1/132</f>
        <v>0.00757575757575758</v>
      </c>
      <c r="D13" s="6" t="n">
        <f aca="false">D$2*C13</f>
        <v>15</v>
      </c>
      <c r="E13" s="5"/>
      <c r="F13" s="5"/>
    </row>
    <row r="14" customFormat="false" ht="13.8" hidden="false" customHeight="false" outlineLevel="0" collapsed="false">
      <c r="A14" s="5" t="s">
        <v>558</v>
      </c>
      <c r="B14" s="8" t="s">
        <v>62</v>
      </c>
      <c r="C14" s="5" t="n">
        <f aca="false">1/6</f>
        <v>0.166666666666667</v>
      </c>
      <c r="D14" s="6" t="n">
        <f aca="false">D$2*C14</f>
        <v>330</v>
      </c>
      <c r="E14" s="5"/>
      <c r="F14" s="5"/>
    </row>
    <row r="15" customFormat="false" ht="13.8" hidden="false" customHeight="false" outlineLevel="0" collapsed="false">
      <c r="A15" s="5" t="s">
        <v>559</v>
      </c>
      <c r="B15" s="5" t="s">
        <v>560</v>
      </c>
      <c r="C15" s="5" t="n">
        <f aca="false">7/396</f>
        <v>0.0176767676767677</v>
      </c>
      <c r="D15" s="6" t="n">
        <f aca="false">D$2*C15</f>
        <v>35</v>
      </c>
      <c r="E15" s="5"/>
      <c r="F15" s="5"/>
    </row>
    <row r="16" customFormat="false" ht="13.8" hidden="false" customHeight="false" outlineLevel="0" collapsed="false">
      <c r="A16" s="5" t="s">
        <v>561</v>
      </c>
      <c r="B16" s="5" t="s">
        <v>560</v>
      </c>
      <c r="C16" s="5" t="n">
        <f aca="false">7/396</f>
        <v>0.0176767676767677</v>
      </c>
      <c r="D16" s="6" t="n">
        <f aca="false">D$2*C16</f>
        <v>35</v>
      </c>
      <c r="E16" s="5"/>
      <c r="F16" s="5"/>
    </row>
    <row r="17" customFormat="false" ht="13.8" hidden="false" customHeight="false" outlineLevel="0" collapsed="false">
      <c r="A17" s="5" t="s">
        <v>562</v>
      </c>
      <c r="B17" s="5" t="s">
        <v>563</v>
      </c>
      <c r="C17" s="5" t="n">
        <f aca="false">3/44</f>
        <v>0.0681818181818182</v>
      </c>
      <c r="D17" s="6" t="n">
        <f aca="false">D$2*C17</f>
        <v>135</v>
      </c>
      <c r="E17" s="5"/>
      <c r="F17" s="5"/>
    </row>
    <row r="18" customFormat="false" ht="13.8" hidden="false" customHeight="false" outlineLevel="0" collapsed="false">
      <c r="A18" s="5" t="s">
        <v>552</v>
      </c>
      <c r="B18" s="5" t="s">
        <v>564</v>
      </c>
      <c r="C18" s="5" t="n">
        <f aca="false">1/99</f>
        <v>0.0101010101010101</v>
      </c>
      <c r="D18" s="6" t="n">
        <f aca="false">D$2*C18</f>
        <v>20</v>
      </c>
      <c r="E18" s="5"/>
      <c r="F18" s="5"/>
    </row>
    <row r="19" customFormat="false" ht="13.8" hidden="false" customHeight="false" outlineLevel="0" collapsed="false">
      <c r="A19" s="5" t="s">
        <v>565</v>
      </c>
      <c r="B19" s="5" t="s">
        <v>564</v>
      </c>
      <c r="C19" s="5" t="n">
        <f aca="false">1/99</f>
        <v>0.0101010101010101</v>
      </c>
      <c r="D19" s="6" t="n">
        <f aca="false">D$2*C19</f>
        <v>20</v>
      </c>
      <c r="E19" s="5"/>
      <c r="F19" s="5"/>
    </row>
    <row r="20" customFormat="false" ht="13.8" hidden="false" customHeight="false" outlineLevel="0" collapsed="false">
      <c r="A20" s="5" t="s">
        <v>556</v>
      </c>
      <c r="B20" s="5" t="s">
        <v>564</v>
      </c>
      <c r="C20" s="5" t="n">
        <f aca="false">1/99</f>
        <v>0.0101010101010101</v>
      </c>
      <c r="D20" s="6" t="n">
        <f aca="false">D$2*C20</f>
        <v>20</v>
      </c>
      <c r="E20" s="5"/>
      <c r="F20" s="5"/>
    </row>
    <row r="21" customFormat="false" ht="13.8" hidden="false" customHeight="false" outlineLevel="0" collapsed="false">
      <c r="A21" s="5" t="s">
        <v>566</v>
      </c>
      <c r="B21" s="5" t="s">
        <v>564</v>
      </c>
      <c r="C21" s="5" t="n">
        <f aca="false">1/99</f>
        <v>0.0101010101010101</v>
      </c>
      <c r="D21" s="6" t="n">
        <f aca="false">D$2*C21</f>
        <v>20</v>
      </c>
      <c r="E21" s="5"/>
      <c r="F21" s="5"/>
    </row>
    <row r="22" customFormat="false" ht="13.8" hidden="false" customHeight="false" outlineLevel="0" collapsed="false">
      <c r="A22" s="5" t="s">
        <v>210</v>
      </c>
      <c r="B22" s="5" t="s">
        <v>69</v>
      </c>
      <c r="C22" s="5" t="n">
        <f aca="false">5/66</f>
        <v>0.0757575757575758</v>
      </c>
      <c r="D22" s="6" t="n">
        <f aca="false">D$2*C22</f>
        <v>150</v>
      </c>
      <c r="E22" s="5"/>
      <c r="F22" s="5"/>
    </row>
    <row r="23" customFormat="false" ht="13.8" hidden="false" customHeight="false" outlineLevel="0" collapsed="false">
      <c r="A23" s="5" t="s">
        <v>202</v>
      </c>
      <c r="B23" s="5" t="s">
        <v>276</v>
      </c>
      <c r="C23" s="5" t="n">
        <f aca="false">1/12</f>
        <v>0.0833333333333333</v>
      </c>
      <c r="D23" s="6" t="n">
        <f aca="false">D$2*C23</f>
        <v>165</v>
      </c>
      <c r="E23" s="5"/>
      <c r="F23" s="5"/>
    </row>
    <row r="24" customFormat="false" ht="13.8" hidden="false" customHeight="false" outlineLevel="0" collapsed="false">
      <c r="A24" s="5" t="s">
        <v>264</v>
      </c>
      <c r="B24" s="5" t="s">
        <v>276</v>
      </c>
      <c r="C24" s="5" t="n">
        <f aca="false">1/12</f>
        <v>0.0833333333333333</v>
      </c>
      <c r="D24" s="6" t="n">
        <f aca="false">D$2*C24</f>
        <v>165</v>
      </c>
      <c r="E24" s="5"/>
      <c r="F24" s="5"/>
    </row>
    <row r="25" customFormat="false" ht="13.8" hidden="false" customHeight="false" outlineLevel="0" collapsed="false">
      <c r="A25" s="5"/>
      <c r="B25" s="5"/>
      <c r="C25" s="5"/>
      <c r="D25" s="6"/>
      <c r="E25" s="5"/>
      <c r="F25" s="5"/>
    </row>
    <row r="26" customFormat="false" ht="13.8" hidden="false" customHeight="false" outlineLevel="0" collapsed="false">
      <c r="A26" s="5"/>
      <c r="B26" s="5"/>
      <c r="C26" s="5"/>
      <c r="D26" s="6"/>
      <c r="E26" s="5"/>
      <c r="F26" s="5"/>
    </row>
    <row r="27" customFormat="false" ht="13.8" hidden="false" customHeight="false" outlineLevel="0" collapsed="false">
      <c r="A27" s="5"/>
      <c r="B27" s="5"/>
      <c r="C27" s="5"/>
      <c r="D27" s="6"/>
      <c r="E27" s="5"/>
      <c r="F27" s="5"/>
    </row>
    <row r="28" customFormat="false" ht="13.8" hidden="false" customHeight="false" outlineLevel="0" collapsed="false">
      <c r="A28" s="5"/>
      <c r="B28" s="5"/>
      <c r="C28" s="5"/>
      <c r="D28" s="6"/>
      <c r="E28" s="5"/>
      <c r="F28" s="5"/>
    </row>
    <row r="29" customFormat="false" ht="13.8" hidden="false" customHeight="false" outlineLevel="0" collapsed="false">
      <c r="A29" s="5"/>
      <c r="B29" s="5"/>
      <c r="C29" s="5"/>
      <c r="D29" s="6"/>
      <c r="E29" s="5"/>
      <c r="F29" s="5"/>
    </row>
    <row r="30" customFormat="false" ht="13.8" hidden="false" customHeight="false" outlineLevel="0" collapsed="false">
      <c r="A30" s="5"/>
      <c r="B30" s="5"/>
      <c r="C30" s="5"/>
      <c r="D30" s="6"/>
      <c r="E30" s="5"/>
      <c r="F30" s="5"/>
    </row>
    <row r="31" customFormat="false" ht="13.8" hidden="false" customHeight="false" outlineLevel="0" collapsed="false">
      <c r="A31" s="5"/>
      <c r="B31" s="5"/>
      <c r="C31" s="5"/>
      <c r="D31" s="6"/>
      <c r="E31" s="5"/>
      <c r="F31" s="5"/>
    </row>
    <row r="32" customFormat="false" ht="13.8" hidden="false" customHeight="false" outlineLevel="0" collapsed="false">
      <c r="A32" s="5"/>
      <c r="B32" s="5"/>
      <c r="C32" s="5"/>
      <c r="D32" s="6"/>
      <c r="E32" s="5"/>
      <c r="F32" s="5"/>
    </row>
    <row r="33" customFormat="false" ht="13.8" hidden="false" customHeight="false" outlineLevel="0" collapsed="false">
      <c r="A33" s="5"/>
      <c r="B33" s="5"/>
      <c r="C33" s="5"/>
      <c r="D33" s="6"/>
      <c r="E33" s="5"/>
      <c r="F33" s="5"/>
    </row>
    <row r="34" customFormat="false" ht="13.8" hidden="false" customHeight="false" outlineLevel="0" collapsed="false">
      <c r="A34" s="5"/>
      <c r="B34" s="5"/>
      <c r="C34" s="5"/>
      <c r="D34" s="6"/>
      <c r="E34" s="5"/>
      <c r="F34" s="5"/>
    </row>
    <row r="35" customFormat="false" ht="13.8" hidden="false" customHeight="false" outlineLevel="0" collapsed="false">
      <c r="A35" s="5"/>
      <c r="B35" s="5"/>
      <c r="C35" s="5"/>
      <c r="D35" s="6"/>
      <c r="E35" s="5"/>
      <c r="F35" s="5"/>
    </row>
    <row r="36" customFormat="false" ht="13.8" hidden="false" customHeight="false" outlineLevel="0" collapsed="false">
      <c r="A36" s="5"/>
      <c r="B36" s="5"/>
      <c r="C36" s="5"/>
      <c r="D36" s="6"/>
      <c r="E36" s="5"/>
      <c r="F36" s="5"/>
    </row>
    <row r="37" customFormat="false" ht="13.8" hidden="false" customHeight="false" outlineLevel="0" collapsed="false">
      <c r="A37" s="5"/>
      <c r="B37" s="5"/>
      <c r="C37" s="5"/>
      <c r="D37" s="6"/>
      <c r="E37" s="5"/>
      <c r="F37" s="5"/>
    </row>
    <row r="38" customFormat="false" ht="13.8" hidden="false" customHeight="false" outlineLevel="0" collapsed="false">
      <c r="A38" s="5"/>
      <c r="B38" s="5"/>
      <c r="C38" s="5"/>
      <c r="D38" s="6"/>
      <c r="E38" s="5"/>
      <c r="F38" s="5"/>
    </row>
    <row r="39" customFormat="false" ht="13.8" hidden="false" customHeight="false" outlineLevel="0" collapsed="false">
      <c r="A39" s="5"/>
      <c r="B39" s="5"/>
      <c r="C39" s="5"/>
      <c r="D39" s="6"/>
      <c r="E39" s="5"/>
      <c r="F39" s="5"/>
    </row>
    <row r="40" customFormat="false" ht="13.8" hidden="false" customHeight="false" outlineLevel="0" collapsed="false">
      <c r="A40" s="5"/>
      <c r="B40" s="5"/>
      <c r="C40" s="5"/>
      <c r="D40" s="6"/>
      <c r="E40" s="5"/>
      <c r="F40" s="5"/>
    </row>
    <row r="41" customFormat="false" ht="13.8" hidden="false" customHeight="false" outlineLevel="0" collapsed="false">
      <c r="A41" s="5"/>
      <c r="B41" s="5"/>
      <c r="C41" s="5"/>
      <c r="D41" s="6"/>
      <c r="E41" s="5"/>
      <c r="F41" s="5"/>
    </row>
    <row r="42" customFormat="false" ht="13.8" hidden="false" customHeight="false" outlineLevel="0" collapsed="false">
      <c r="A42" s="5"/>
      <c r="B42" s="5"/>
      <c r="C42" s="5"/>
      <c r="D42" s="6"/>
      <c r="E42" s="5"/>
      <c r="F42" s="5"/>
    </row>
    <row r="43" customFormat="false" ht="13.8" hidden="false" customHeight="false" outlineLevel="0" collapsed="false">
      <c r="A43" s="5"/>
      <c r="B43" s="5"/>
      <c r="C43" s="5"/>
      <c r="D43" s="6"/>
      <c r="E43" s="5"/>
      <c r="F43" s="5"/>
    </row>
    <row r="44" customFormat="false" ht="13.8" hidden="false" customHeight="false" outlineLevel="0" collapsed="false">
      <c r="A44" s="5"/>
      <c r="B44" s="5"/>
      <c r="C44" s="5"/>
      <c r="D44" s="6"/>
      <c r="E44" s="5"/>
      <c r="F44" s="5"/>
    </row>
    <row r="45" customFormat="false" ht="13.8" hidden="false" customHeight="false" outlineLevel="0" collapsed="false">
      <c r="A45" s="5"/>
      <c r="B45" s="5"/>
      <c r="C45" s="5"/>
      <c r="D45" s="6"/>
      <c r="E45" s="5"/>
      <c r="F45" s="5"/>
    </row>
    <row r="46" customFormat="false" ht="13.8" hidden="false" customHeight="false" outlineLevel="0" collapsed="false">
      <c r="A46" s="5"/>
      <c r="B46" s="5"/>
      <c r="C46" s="5"/>
      <c r="D46" s="6"/>
      <c r="E46" s="5"/>
      <c r="F46" s="5"/>
    </row>
    <row r="47" customFormat="false" ht="13.8" hidden="false" customHeight="false" outlineLevel="0" collapsed="false">
      <c r="A47" s="5"/>
      <c r="B47" s="5"/>
      <c r="C47" s="7" t="n">
        <f aca="false">SUM(C3:C46)</f>
        <v>1</v>
      </c>
      <c r="D47" s="7" t="n">
        <f aca="false">SUM(D3:D46)</f>
        <v>1980</v>
      </c>
      <c r="E47" s="5"/>
      <c r="F47" s="5"/>
    </row>
    <row r="48" customFormat="false" ht="13.8" hidden="false" customHeight="false" outlineLevel="0" collapsed="false">
      <c r="A48" s="5"/>
      <c r="B48" s="5"/>
      <c r="C48" s="7"/>
      <c r="D48" s="7"/>
      <c r="E48" s="5"/>
      <c r="F48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2" activeCellId="0" sqref="Q22"/>
    </sheetView>
  </sheetViews>
  <sheetFormatPr defaultColWidth="11.53515625" defaultRowHeight="12.8" zeroHeight="false" outlineLevelRow="0" outlineLevelCol="0"/>
  <cols>
    <col collapsed="false" customWidth="true" hidden="false" outlineLevel="0" max="10" min="10" style="0" width="18.22"/>
  </cols>
  <sheetData>
    <row r="1" customFormat="false" ht="13.8" hidden="false" customHeight="false" outlineLevel="0" collapsed="false">
      <c r="J1" s="87" t="s">
        <v>567</v>
      </c>
      <c r="N1" s="87" t="s">
        <v>568</v>
      </c>
    </row>
    <row r="2" customFormat="false" ht="17.35" hidden="false" customHeight="false" outlineLevel="0" collapsed="false">
      <c r="B2" s="2" t="s">
        <v>0</v>
      </c>
      <c r="D2" s="4"/>
      <c r="E2" s="3" t="n">
        <v>583</v>
      </c>
      <c r="F2" s="3"/>
      <c r="G2" s="5"/>
      <c r="H2" s="2" t="s">
        <v>401</v>
      </c>
      <c r="M2" s="87" t="n">
        <v>583</v>
      </c>
      <c r="N2" s="87" t="n">
        <v>584</v>
      </c>
      <c r="O2" s="87" t="s">
        <v>173</v>
      </c>
      <c r="P2" s="87" t="s">
        <v>569</v>
      </c>
      <c r="R2" s="0" t="s">
        <v>570</v>
      </c>
    </row>
    <row r="3" customFormat="false" ht="13.8" hidden="false" customHeight="false" outlineLevel="0" collapsed="false">
      <c r="B3" s="5"/>
      <c r="C3" s="5"/>
      <c r="D3" s="5"/>
      <c r="E3" s="2" t="n">
        <f aca="false">100*20+18</f>
        <v>2018</v>
      </c>
      <c r="F3" s="2" t="s">
        <v>3</v>
      </c>
      <c r="G3" s="5"/>
      <c r="H3" s="5"/>
      <c r="J3" s="0" t="s">
        <v>529</v>
      </c>
      <c r="K3" s="88" t="n">
        <v>117.67</v>
      </c>
      <c r="M3" s="88" t="n">
        <f aca="false">E7+E8+E12</f>
        <v>111.479499217527</v>
      </c>
      <c r="N3" s="88" t="n">
        <f aca="false">E38+E42+E50</f>
        <v>6.18716744913928</v>
      </c>
      <c r="O3" s="88" t="n">
        <f aca="false">M3+N3</f>
        <v>117.666666666667</v>
      </c>
      <c r="P3" s="88" t="n">
        <f aca="false">K3-O3</f>
        <v>0.0033333333333303</v>
      </c>
      <c r="R3" s="0" t="n">
        <v>170</v>
      </c>
      <c r="S3" s="89" t="n">
        <f aca="false">R3-O3</f>
        <v>52.3333333333333</v>
      </c>
    </row>
    <row r="4" customFormat="false" ht="13.8" hidden="false" customHeight="false" outlineLevel="0" collapsed="false">
      <c r="B4" s="1" t="s">
        <v>402</v>
      </c>
      <c r="C4" s="5" t="s">
        <v>29</v>
      </c>
      <c r="D4" s="5" t="n">
        <f aca="false">4/1065</f>
        <v>0.00375586854460094</v>
      </c>
      <c r="E4" s="6" t="n">
        <f aca="false">E$3*D4</f>
        <v>7.5793427230047</v>
      </c>
      <c r="F4" s="5"/>
      <c r="G4" s="5"/>
      <c r="H4" s="5"/>
      <c r="M4" s="88"/>
      <c r="N4" s="88"/>
      <c r="O4" s="88"/>
      <c r="P4" s="88"/>
    </row>
    <row r="5" customFormat="false" ht="13.8" hidden="false" customHeight="false" outlineLevel="0" collapsed="false">
      <c r="B5" s="1" t="s">
        <v>405</v>
      </c>
      <c r="C5" s="5" t="s">
        <v>18</v>
      </c>
      <c r="D5" s="5" t="n">
        <f aca="false">13/710</f>
        <v>0.0183098591549296</v>
      </c>
      <c r="E5" s="6" t="n">
        <f aca="false">E$3*D5</f>
        <v>36.9492957746479</v>
      </c>
      <c r="F5" s="5"/>
      <c r="G5" s="5"/>
      <c r="H5" s="5"/>
      <c r="J5" s="0" t="s">
        <v>571</v>
      </c>
      <c r="K5" s="88" t="n">
        <v>117.67</v>
      </c>
      <c r="M5" s="88" t="n">
        <f aca="false">E6</f>
        <v>111.479499217527</v>
      </c>
      <c r="N5" s="88" t="n">
        <f aca="false">E37</f>
        <v>6.18716744913928</v>
      </c>
      <c r="O5" s="88" t="n">
        <f aca="false">M5+N5</f>
        <v>117.666666666667</v>
      </c>
      <c r="P5" s="88" t="n">
        <f aca="false">K5-O5</f>
        <v>0.00333333333334451</v>
      </c>
      <c r="R5" s="0" t="n">
        <v>0</v>
      </c>
      <c r="S5" s="89" t="n">
        <f aca="false">R5-O5</f>
        <v>-117.666666666667</v>
      </c>
    </row>
    <row r="6" customFormat="false" ht="13.8" hidden="false" customHeight="false" outlineLevel="0" collapsed="false">
      <c r="B6" s="1" t="s">
        <v>409</v>
      </c>
      <c r="C6" s="5" t="s">
        <v>6</v>
      </c>
      <c r="D6" s="5" t="n">
        <f aca="false">353/6390</f>
        <v>0.0552425665101721</v>
      </c>
      <c r="E6" s="6" t="n">
        <f aca="false">E$3*D6</f>
        <v>111.479499217527</v>
      </c>
      <c r="F6" s="5"/>
      <c r="G6" s="5"/>
      <c r="H6" s="5"/>
      <c r="M6" s="88"/>
      <c r="N6" s="88"/>
      <c r="O6" s="88"/>
      <c r="P6" s="88"/>
    </row>
    <row r="7" customFormat="false" ht="13.8" hidden="false" customHeight="false" outlineLevel="0" collapsed="false">
      <c r="B7" s="1" t="s">
        <v>413</v>
      </c>
      <c r="C7" s="5" t="s">
        <v>414</v>
      </c>
      <c r="D7" s="5" t="n">
        <f aca="false">353/38340</f>
        <v>0.00920709441836203</v>
      </c>
      <c r="E7" s="6" t="n">
        <f aca="false">E$3*D7</f>
        <v>18.5799165362546</v>
      </c>
      <c r="F7" s="5"/>
      <c r="G7" s="5"/>
      <c r="H7" s="5"/>
      <c r="J7" s="0" t="s">
        <v>256</v>
      </c>
      <c r="K7" s="88" t="n">
        <v>117.67</v>
      </c>
      <c r="M7" s="88" t="n">
        <f aca="false">E17+E18+E17</f>
        <v>111.479499217527</v>
      </c>
      <c r="N7" s="88" t="n">
        <f aca="false">E49+E47+E47</f>
        <v>6.18716744913928</v>
      </c>
      <c r="O7" s="88" t="n">
        <f aca="false">M7+N7</f>
        <v>117.666666666667</v>
      </c>
      <c r="P7" s="88" t="n">
        <f aca="false">K7-O7</f>
        <v>0.0033333333333303</v>
      </c>
      <c r="R7" s="0" t="n">
        <v>0</v>
      </c>
      <c r="S7" s="89" t="n">
        <f aca="false">R7-O7</f>
        <v>-117.666666666667</v>
      </c>
    </row>
    <row r="8" customFormat="false" ht="13.8" hidden="false" customHeight="false" outlineLevel="0" collapsed="false">
      <c r="B8" s="1" t="s">
        <v>418</v>
      </c>
      <c r="C8" s="5" t="s">
        <v>414</v>
      </c>
      <c r="D8" s="5" t="n">
        <f aca="false">353/38340</f>
        <v>0.00920709441836203</v>
      </c>
      <c r="E8" s="6" t="n">
        <f aca="false">E$3*D8</f>
        <v>18.5799165362546</v>
      </c>
      <c r="F8" s="5"/>
      <c r="G8" s="5"/>
      <c r="H8" s="5"/>
      <c r="M8" s="88"/>
      <c r="N8" s="88"/>
      <c r="O8" s="88"/>
      <c r="P8" s="88"/>
    </row>
    <row r="9" customFormat="false" ht="13.8" hidden="false" customHeight="false" outlineLevel="0" collapsed="false">
      <c r="B9" s="1" t="s">
        <v>422</v>
      </c>
      <c r="C9" s="5" t="s">
        <v>423</v>
      </c>
      <c r="D9" s="5" t="n">
        <f aca="false">185/2018</f>
        <v>0.0916749256689792</v>
      </c>
      <c r="E9" s="6" t="n">
        <f aca="false">E$3*D9</f>
        <v>185</v>
      </c>
      <c r="F9" s="5"/>
      <c r="G9" s="5"/>
      <c r="H9" s="5"/>
      <c r="J9" s="0" t="s">
        <v>230</v>
      </c>
      <c r="K9" s="88" t="n">
        <v>164</v>
      </c>
      <c r="M9" s="88" t="n">
        <f aca="false">E23-E17</f>
        <v>155.376525821596</v>
      </c>
      <c r="N9" s="88" t="n">
        <f aca="false">E48-E47</f>
        <v>8.62347417840376</v>
      </c>
      <c r="O9" s="88" t="n">
        <f aca="false">M9+N9</f>
        <v>164</v>
      </c>
      <c r="P9" s="88" t="n">
        <f aca="false">K9-O9</f>
        <v>0</v>
      </c>
      <c r="R9" s="0" t="n">
        <v>0</v>
      </c>
      <c r="S9" s="89" t="n">
        <f aca="false">R9-O9</f>
        <v>-164</v>
      </c>
    </row>
    <row r="10" customFormat="false" ht="13.8" hidden="false" customHeight="false" outlineLevel="0" collapsed="false">
      <c r="B10" s="1" t="s">
        <v>426</v>
      </c>
      <c r="C10" s="5" t="s">
        <v>53</v>
      </c>
      <c r="D10" s="5" t="n">
        <f aca="false">7/2130</f>
        <v>0.00328638497652582</v>
      </c>
      <c r="E10" s="6" t="n">
        <f aca="false">E$3*D10</f>
        <v>6.63192488262911</v>
      </c>
      <c r="F10" s="5"/>
      <c r="G10" s="5"/>
      <c r="H10" s="5"/>
      <c r="M10" s="88"/>
      <c r="N10" s="88"/>
      <c r="O10" s="88"/>
      <c r="P10" s="88"/>
    </row>
    <row r="11" customFormat="false" ht="13.8" hidden="false" customHeight="false" outlineLevel="0" collapsed="false">
      <c r="B11" s="1" t="s">
        <v>430</v>
      </c>
      <c r="C11" s="5" t="s">
        <v>55</v>
      </c>
      <c r="D11" s="5" t="n">
        <f aca="false">26/213</f>
        <v>0.122065727699531</v>
      </c>
      <c r="E11" s="6" t="n">
        <f aca="false">E$3*D11</f>
        <v>246.328638497653</v>
      </c>
      <c r="F11" s="5"/>
      <c r="G11" s="5"/>
      <c r="H11" s="5"/>
      <c r="J11" s="0" t="s">
        <v>572</v>
      </c>
      <c r="K11" s="0" t="n">
        <f aca="false">801+29</f>
        <v>830</v>
      </c>
      <c r="M11" s="88" t="n">
        <f aca="false">E10+E11+E22+E16+E15</f>
        <v>786.356807511737</v>
      </c>
      <c r="N11" s="88" t="n">
        <f aca="false">E36+E40+E41+E45+E46</f>
        <v>47.6394366197183</v>
      </c>
      <c r="O11" s="88" t="n">
        <f aca="false">M11+N11</f>
        <v>833.996244131456</v>
      </c>
      <c r="P11" s="88" t="n">
        <f aca="false">K11-O11</f>
        <v>-3.99624413145557</v>
      </c>
      <c r="R11" s="0" t="n">
        <v>1084</v>
      </c>
      <c r="S11" s="89" t="n">
        <f aca="false">R11-O11</f>
        <v>250.003755868544</v>
      </c>
    </row>
    <row r="12" customFormat="false" ht="13.8" hidden="false" customHeight="false" outlineLevel="0" collapsed="false">
      <c r="B12" s="1" t="s">
        <v>434</v>
      </c>
      <c r="C12" s="5" t="s">
        <v>435</v>
      </c>
      <c r="D12" s="5" t="n">
        <f aca="false">353/9585</f>
        <v>0.0368283776734481</v>
      </c>
      <c r="E12" s="6" t="n">
        <f aca="false">E$3*D12</f>
        <v>74.3196661450183</v>
      </c>
      <c r="F12" s="5"/>
      <c r="G12" s="2"/>
      <c r="H12" s="5"/>
      <c r="M12" s="88"/>
      <c r="N12" s="88"/>
      <c r="O12" s="88"/>
      <c r="P12" s="88"/>
    </row>
    <row r="13" customFormat="false" ht="13.8" hidden="false" customHeight="false" outlineLevel="0" collapsed="false">
      <c r="B13" s="1" t="s">
        <v>438</v>
      </c>
      <c r="C13" s="5" t="s">
        <v>16</v>
      </c>
      <c r="D13" s="5" t="n">
        <f aca="false">8/213</f>
        <v>0.0375586854460094</v>
      </c>
      <c r="E13" s="6" t="n">
        <f aca="false">E$3*D13</f>
        <v>75.7934272300469</v>
      </c>
      <c r="F13" s="5"/>
      <c r="G13" s="5"/>
      <c r="H13" s="5"/>
      <c r="J13" s="0" t="s">
        <v>573</v>
      </c>
      <c r="K13" s="0" t="n">
        <f aca="false">80+39</f>
        <v>119</v>
      </c>
      <c r="M13" s="88" t="n">
        <f aca="false">E5+E13</f>
        <v>112.742723004695</v>
      </c>
      <c r="N13" s="88" t="n">
        <f aca="false">E35+E43</f>
        <v>6.25727699530517</v>
      </c>
      <c r="O13" s="88" t="n">
        <f aca="false">M13+N13</f>
        <v>119</v>
      </c>
      <c r="P13" s="88" t="n">
        <f aca="false">K13-O13</f>
        <v>0</v>
      </c>
      <c r="R13" s="0" t="n">
        <f aca="false">16+12</f>
        <v>28</v>
      </c>
      <c r="S13" s="89" t="n">
        <f aca="false">R13-O13</f>
        <v>-91</v>
      </c>
    </row>
    <row r="14" customFormat="false" ht="13.8" hidden="false" customHeight="false" outlineLevel="0" collapsed="false">
      <c r="B14" s="1" t="s">
        <v>442</v>
      </c>
      <c r="C14" s="5" t="s">
        <v>443</v>
      </c>
      <c r="D14" s="5" t="n">
        <f aca="false">464879/4298340</f>
        <v>0.108153147494149</v>
      </c>
      <c r="E14" s="6" t="n">
        <f aca="false">E$3*D14</f>
        <v>218.253051643193</v>
      </c>
      <c r="F14" s="5"/>
      <c r="G14" s="5"/>
      <c r="H14" s="5"/>
      <c r="M14" s="88"/>
      <c r="N14" s="88"/>
      <c r="O14" s="88"/>
      <c r="P14" s="88"/>
    </row>
    <row r="15" customFormat="false" ht="13.8" hidden="false" customHeight="false" outlineLevel="0" collapsed="false">
      <c r="B15" s="1" t="s">
        <v>446</v>
      </c>
      <c r="C15" s="5" t="s">
        <v>447</v>
      </c>
      <c r="D15" s="5" t="n">
        <f aca="false">473/10650</f>
        <v>0.0444131455399061</v>
      </c>
      <c r="E15" s="6" t="n">
        <f aca="false">E$3*D15</f>
        <v>89.6257276995305</v>
      </c>
      <c r="F15" s="5"/>
      <c r="G15" s="5"/>
      <c r="H15" s="5"/>
      <c r="J15" s="0" t="s">
        <v>574</v>
      </c>
      <c r="K15" s="0" t="n">
        <f aca="false">656+8</f>
        <v>664</v>
      </c>
      <c r="M15" s="88" t="n">
        <f aca="false">E4+E9+E14+E20+E21+E19</f>
        <v>629.08544600939</v>
      </c>
      <c r="N15" s="88" t="n">
        <f aca="false">E34+E44+E39</f>
        <v>30.9183098591549</v>
      </c>
      <c r="O15" s="88" t="n">
        <f aca="false">M15+N15</f>
        <v>660.003755868545</v>
      </c>
      <c r="P15" s="88" t="n">
        <f aca="false">K15-O15</f>
        <v>3.99624413145534</v>
      </c>
      <c r="R15" s="0" t="n">
        <f aca="false">736+112</f>
        <v>848</v>
      </c>
      <c r="S15" s="89" t="n">
        <f aca="false">R15-O15</f>
        <v>187.996244131455</v>
      </c>
    </row>
    <row r="16" customFormat="false" ht="13.8" hidden="false" customHeight="false" outlineLevel="0" collapsed="false">
      <c r="B16" s="1" t="s">
        <v>451</v>
      </c>
      <c r="C16" s="5" t="s">
        <v>452</v>
      </c>
      <c r="D16" s="5" t="n">
        <f aca="false">74/1065</f>
        <v>0.0694835680751174</v>
      </c>
      <c r="E16" s="6" t="n">
        <f aca="false">E$3*D16</f>
        <v>140.217840375587</v>
      </c>
      <c r="F16" s="5"/>
      <c r="G16" s="5"/>
      <c r="H16" s="5"/>
      <c r="M16" s="88"/>
      <c r="N16" s="88"/>
      <c r="O16" s="88"/>
      <c r="P16" s="88"/>
    </row>
    <row r="17" customFormat="false" ht="13.8" hidden="false" customHeight="false" outlineLevel="0" collapsed="false">
      <c r="B17" s="1" t="s">
        <v>455</v>
      </c>
      <c r="C17" s="5" t="s">
        <v>277</v>
      </c>
      <c r="D17" s="5" t="n">
        <f aca="false">353/19170</f>
        <v>0.0184141888367241</v>
      </c>
      <c r="E17" s="6" t="n">
        <f aca="false">E$3*D17</f>
        <v>37.1598330725091</v>
      </c>
      <c r="F17" s="5"/>
      <c r="G17" s="5"/>
      <c r="H17" s="5"/>
      <c r="M17" s="88"/>
      <c r="N17" s="88"/>
      <c r="O17" s="88"/>
      <c r="P17" s="88"/>
    </row>
    <row r="18" customFormat="false" ht="13.8" hidden="false" customHeight="false" outlineLevel="0" collapsed="false">
      <c r="B18" s="10" t="s">
        <v>458</v>
      </c>
      <c r="C18" s="2" t="s">
        <v>277</v>
      </c>
      <c r="D18" s="2" t="n">
        <f aca="false">353/19170</f>
        <v>0.0184141888367241</v>
      </c>
      <c r="E18" s="6" t="n">
        <f aca="false">E$3*D18</f>
        <v>37.1598330725091</v>
      </c>
      <c r="F18" s="5"/>
      <c r="G18" s="5"/>
      <c r="H18" s="5"/>
      <c r="M18" s="88"/>
      <c r="N18" s="88"/>
      <c r="O18" s="88"/>
      <c r="P18" s="88"/>
    </row>
    <row r="19" customFormat="false" ht="13.8" hidden="false" customHeight="false" outlineLevel="0" collapsed="false">
      <c r="B19" s="1" t="s">
        <v>462</v>
      </c>
      <c r="C19" s="5" t="s">
        <v>463</v>
      </c>
      <c r="D19" s="5" t="n">
        <f aca="false">38879/4298340</f>
        <v>0.00904511974390113</v>
      </c>
      <c r="E19" s="6" t="n">
        <f aca="false">E$3*D19</f>
        <v>18.2530516431925</v>
      </c>
      <c r="F19" s="5"/>
      <c r="G19" s="5"/>
      <c r="H19" s="5"/>
      <c r="M19" s="88"/>
      <c r="N19" s="88"/>
      <c r="O19" s="88"/>
      <c r="P19" s="88"/>
    </row>
    <row r="20" customFormat="false" ht="13.8" hidden="false" customHeight="false" outlineLevel="0" collapsed="false">
      <c r="B20" s="1" t="s">
        <v>466</v>
      </c>
      <c r="C20" s="5" t="s">
        <v>467</v>
      </c>
      <c r="D20" s="5" t="n">
        <f aca="false">50/1009</f>
        <v>0.0495540138751239</v>
      </c>
      <c r="E20" s="6" t="n">
        <f aca="false">E$3*D20</f>
        <v>100</v>
      </c>
      <c r="F20" s="5"/>
      <c r="G20" s="5"/>
      <c r="H20" s="5"/>
      <c r="K20" s="89" t="n">
        <f aca="false">SUM(K3:K19)</f>
        <v>2130.01</v>
      </c>
      <c r="M20" s="89" t="n">
        <f aca="false">SUM(M3:M19)</f>
        <v>2018</v>
      </c>
      <c r="N20" s="89" t="n">
        <f aca="false">SUM(N3:N19)</f>
        <v>112</v>
      </c>
      <c r="O20" s="89" t="n">
        <f aca="false">SUM(O3:O19)</f>
        <v>2130</v>
      </c>
      <c r="P20" s="88"/>
      <c r="S20" s="89" t="n">
        <f aca="false">SUM(S3:S19)</f>
        <v>0</v>
      </c>
    </row>
    <row r="21" customFormat="false" ht="13.8" hidden="false" customHeight="false" outlineLevel="0" collapsed="false">
      <c r="B21" s="1" t="s">
        <v>470</v>
      </c>
      <c r="C21" s="5" t="s">
        <v>467</v>
      </c>
      <c r="D21" s="5" t="n">
        <f aca="false">50/1009</f>
        <v>0.0495540138751239</v>
      </c>
      <c r="E21" s="6" t="n">
        <f aca="false">E$3*D21</f>
        <v>100</v>
      </c>
      <c r="F21" s="5"/>
      <c r="G21" s="5"/>
      <c r="H21" s="5"/>
    </row>
    <row r="22" customFormat="false" ht="13.8" hidden="false" customHeight="false" outlineLevel="0" collapsed="false">
      <c r="B22" s="1" t="s">
        <v>472</v>
      </c>
      <c r="C22" s="5" t="s">
        <v>473</v>
      </c>
      <c r="D22" s="5" t="n">
        <f aca="false">267/1775</f>
        <v>0.150422535211268</v>
      </c>
      <c r="E22" s="6" t="n">
        <f aca="false">E$3*D22</f>
        <v>303.552676056338</v>
      </c>
      <c r="F22" s="5"/>
      <c r="G22" s="5"/>
      <c r="H22" s="5"/>
    </row>
    <row r="23" customFormat="false" ht="13.8" hidden="false" customHeight="false" outlineLevel="0" collapsed="false">
      <c r="B23" s="1" t="s">
        <v>475</v>
      </c>
      <c r="C23" s="5" t="s">
        <v>476</v>
      </c>
      <c r="D23" s="5" t="n">
        <f aca="false">1829/19170</f>
        <v>0.0954094940010433</v>
      </c>
      <c r="E23" s="6" t="n">
        <f aca="false">E$3*D23</f>
        <v>192.536358894105</v>
      </c>
      <c r="F23" s="5" t="n">
        <f aca="false">E23/20</f>
        <v>9.62681794470527</v>
      </c>
      <c r="G23" s="5"/>
      <c r="H23" s="5"/>
      <c r="J23" s="0" t="s">
        <v>575</v>
      </c>
      <c r="K23" s="88" t="n">
        <f aca="false">E4+E14+E34+E44</f>
        <v>226.750704225352</v>
      </c>
      <c r="M23" s="0" t="s">
        <v>576</v>
      </c>
      <c r="N23" s="89" t="n">
        <f aca="false">E10+E16+E46+E40+E36</f>
        <v>157.807887323944</v>
      </c>
    </row>
    <row r="24" customFormat="false" ht="13.8" hidden="false" customHeight="false" outlineLevel="0" collapsed="false">
      <c r="B24" s="5"/>
      <c r="C24" s="5"/>
      <c r="D24" s="7" t="n">
        <f aca="false">SUM(D4:D23)</f>
        <v>1</v>
      </c>
      <c r="E24" s="7" t="n">
        <f aca="false">SUM(E4:E23)</f>
        <v>2018</v>
      </c>
      <c r="F24" s="5"/>
      <c r="G24" s="5"/>
      <c r="H24" s="5"/>
      <c r="J24" s="0" t="s">
        <v>577</v>
      </c>
      <c r="K24" s="88" t="n">
        <f aca="false">E19</f>
        <v>18.2530516431925</v>
      </c>
      <c r="M24" s="0" t="s">
        <v>578</v>
      </c>
      <c r="N24" s="88" t="n">
        <f aca="false">E21+E22+E45</f>
        <v>426.562629107981</v>
      </c>
    </row>
    <row r="25" customFormat="false" ht="13.8" hidden="false" customHeight="false" outlineLevel="0" collapsed="false">
      <c r="B25" s="5"/>
      <c r="C25" s="5"/>
      <c r="D25" s="7"/>
      <c r="E25" s="7"/>
      <c r="F25" s="5"/>
      <c r="G25" s="5"/>
      <c r="H25" s="5"/>
      <c r="J25" s="87" t="s">
        <v>173</v>
      </c>
      <c r="K25" s="89" t="n">
        <f aca="false">SUM(K23:K24)</f>
        <v>245.003755868545</v>
      </c>
      <c r="N25" s="89" t="n">
        <f aca="false">SUM(N23:N24)</f>
        <v>584.370516431925</v>
      </c>
    </row>
    <row r="26" customFormat="false" ht="12.8" hidden="false" customHeight="false" outlineLevel="0" collapsed="false">
      <c r="J26" s="0" t="s">
        <v>579</v>
      </c>
      <c r="K26" s="88" t="n">
        <f aca="false">S15</f>
        <v>187.996244131455</v>
      </c>
      <c r="N26" s="88" t="n">
        <f aca="false">S11</f>
        <v>250.003755868544</v>
      </c>
    </row>
    <row r="27" customFormat="false" ht="13.8" hidden="false" customHeight="false" outlineLevel="0" collapsed="false"/>
    <row r="28" customFormat="false" ht="13.8" hidden="false" customHeight="false" outlineLevel="0" collapsed="false">
      <c r="J28" s="87" t="s">
        <v>173</v>
      </c>
      <c r="K28" s="89" t="n">
        <f aca="false">SUM(K25:K27)</f>
        <v>433</v>
      </c>
      <c r="N28" s="89" t="n">
        <f aca="false">SUM(N25:N27)</f>
        <v>834.374272300469</v>
      </c>
    </row>
    <row r="29" customFormat="false" ht="13.8" hidden="false" customHeight="false" outlineLevel="0" collapsed="false"/>
    <row r="30" customFormat="false" ht="13.8" hidden="false" customHeight="false" outlineLevel="0" collapsed="false"/>
    <row r="32" customFormat="false" ht="17.35" hidden="false" customHeight="false" outlineLevel="0" collapsed="false">
      <c r="B32" s="2" t="s">
        <v>0</v>
      </c>
      <c r="D32" s="4"/>
      <c r="E32" s="3" t="n">
        <v>584</v>
      </c>
      <c r="F32" s="3"/>
      <c r="G32" s="5"/>
      <c r="H32" s="2" t="s">
        <v>401</v>
      </c>
      <c r="K32" s="0" t="s">
        <v>489</v>
      </c>
    </row>
    <row r="33" customFormat="false" ht="13.8" hidden="false" customHeight="false" outlineLevel="0" collapsed="false">
      <c r="B33" s="5"/>
      <c r="C33" s="5"/>
      <c r="D33" s="5"/>
      <c r="E33" s="2" t="n">
        <v>112</v>
      </c>
      <c r="F33" s="2" t="s">
        <v>3</v>
      </c>
      <c r="G33" s="5"/>
      <c r="H33" s="5"/>
      <c r="K33" s="0" t="s">
        <v>33</v>
      </c>
    </row>
    <row r="34" customFormat="false" ht="13.8" hidden="false" customHeight="false" outlineLevel="0" collapsed="false">
      <c r="B34" s="0" t="s">
        <v>41</v>
      </c>
      <c r="C34" s="0" t="s">
        <v>29</v>
      </c>
      <c r="D34" s="0" t="n">
        <f aca="false">4/1065</f>
        <v>0.00375586854460094</v>
      </c>
      <c r="E34" s="6" t="n">
        <f aca="false">E$33*D34</f>
        <v>0.420657276995305</v>
      </c>
      <c r="F34" s="5"/>
      <c r="G34" s="5"/>
      <c r="H34" s="5"/>
    </row>
    <row r="35" customFormat="false" ht="13.8" hidden="false" customHeight="false" outlineLevel="0" collapsed="false">
      <c r="B35" s="0" t="s">
        <v>406</v>
      </c>
      <c r="D35" s="0" t="n">
        <f aca="false">13/710</f>
        <v>0.0183098591549296</v>
      </c>
      <c r="E35" s="6" t="n">
        <f aca="false">E$33*D35</f>
        <v>2.05070422535211</v>
      </c>
      <c r="F35" s="5"/>
      <c r="G35" s="5"/>
      <c r="H35" s="5"/>
      <c r="K35" s="0" t="s">
        <v>8</v>
      </c>
    </row>
    <row r="36" customFormat="false" ht="13.8" hidden="false" customHeight="false" outlineLevel="0" collapsed="false">
      <c r="B36" s="0" t="s">
        <v>410</v>
      </c>
      <c r="D36" s="0" t="n">
        <f aca="false">89/3550</f>
        <v>0.0250704225352113</v>
      </c>
      <c r="E36" s="6" t="n">
        <f aca="false">E$33*D36</f>
        <v>2.80788732394366</v>
      </c>
      <c r="F36" s="5"/>
      <c r="G36" s="5"/>
      <c r="H36" s="5"/>
      <c r="K36" s="0" t="s">
        <v>11</v>
      </c>
    </row>
    <row r="37" customFormat="false" ht="13.8" hidden="false" customHeight="false" outlineLevel="0" collapsed="false">
      <c r="B37" s="0" t="s">
        <v>415</v>
      </c>
      <c r="D37" s="0" t="n">
        <f aca="false">353/6390</f>
        <v>0.0552425665101721</v>
      </c>
      <c r="E37" s="6" t="n">
        <f aca="false">E$33*D37</f>
        <v>6.18716744913928</v>
      </c>
      <c r="F37" s="5"/>
      <c r="G37" s="5"/>
      <c r="H37" s="5"/>
      <c r="K37" s="0" t="s">
        <v>41</v>
      </c>
    </row>
    <row r="38" customFormat="false" ht="13.8" hidden="false" customHeight="false" outlineLevel="0" collapsed="false">
      <c r="B38" s="0" t="s">
        <v>419</v>
      </c>
      <c r="D38" s="0" t="n">
        <f aca="false">353/38340</f>
        <v>0.00920709441836203</v>
      </c>
      <c r="E38" s="6" t="n">
        <f aca="false">E$33*D38</f>
        <v>1.03119457485655</v>
      </c>
      <c r="F38" s="5"/>
      <c r="G38" s="5"/>
      <c r="H38" s="5"/>
      <c r="K38" s="0" t="s">
        <v>406</v>
      </c>
    </row>
    <row r="39" customFormat="false" ht="13.8" hidden="false" customHeight="false" outlineLevel="0" collapsed="false">
      <c r="B39" s="0" t="s">
        <v>424</v>
      </c>
      <c r="D39" s="0" t="n">
        <f aca="false">15/56</f>
        <v>0.267857142857143</v>
      </c>
      <c r="E39" s="6" t="n">
        <f aca="false">E$33*D39</f>
        <v>30</v>
      </c>
      <c r="F39" s="5"/>
      <c r="G39" s="5"/>
      <c r="H39" s="5"/>
      <c r="K39" s="0" t="s">
        <v>410</v>
      </c>
    </row>
    <row r="40" customFormat="false" ht="13.8" hidden="false" customHeight="false" outlineLevel="0" collapsed="false">
      <c r="B40" s="0" t="s">
        <v>427</v>
      </c>
      <c r="D40" s="0" t="n">
        <f aca="false">7/2130</f>
        <v>0.00328638497652582</v>
      </c>
      <c r="E40" s="6" t="n">
        <f aca="false">E$33*D40</f>
        <v>0.368075117370892</v>
      </c>
      <c r="F40" s="5"/>
      <c r="G40" s="5"/>
      <c r="H40" s="5"/>
      <c r="K40" s="0" t="s">
        <v>415</v>
      </c>
    </row>
    <row r="41" customFormat="false" ht="13.8" hidden="false" customHeight="false" outlineLevel="0" collapsed="false">
      <c r="B41" s="0" t="s">
        <v>431</v>
      </c>
      <c r="D41" s="0" t="n">
        <f aca="false">26/213</f>
        <v>0.122065727699531</v>
      </c>
      <c r="E41" s="6" t="n">
        <f aca="false">E$33*D41</f>
        <v>13.6713615023474</v>
      </c>
      <c r="F41" s="5"/>
      <c r="G41" s="5"/>
      <c r="H41" s="5"/>
      <c r="K41" s="0" t="s">
        <v>419</v>
      </c>
    </row>
    <row r="42" customFormat="false" ht="13.8" hidden="false" customHeight="false" outlineLevel="0" collapsed="false">
      <c r="B42" s="0" t="s">
        <v>436</v>
      </c>
      <c r="D42" s="0" t="n">
        <f aca="false">353/9585</f>
        <v>0.0368283776734481</v>
      </c>
      <c r="E42" s="6" t="n">
        <f aca="false">E$33*D42</f>
        <v>4.12477829942619</v>
      </c>
      <c r="F42" s="5"/>
      <c r="G42" s="2"/>
      <c r="H42" s="5"/>
      <c r="K42" s="0" t="s">
        <v>424</v>
      </c>
    </row>
    <row r="43" customFormat="false" ht="13.8" hidden="false" customHeight="false" outlineLevel="0" collapsed="false">
      <c r="B43" s="0" t="s">
        <v>439</v>
      </c>
      <c r="D43" s="0" t="n">
        <f aca="false">8/213</f>
        <v>0.0375586854460094</v>
      </c>
      <c r="E43" s="6" t="n">
        <f aca="false">E$33*D43</f>
        <v>4.20657276995305</v>
      </c>
      <c r="F43" s="5"/>
      <c r="G43" s="5"/>
      <c r="H43" s="5"/>
      <c r="K43" s="0" t="s">
        <v>427</v>
      </c>
    </row>
    <row r="44" customFormat="false" ht="13.8" hidden="false" customHeight="false" outlineLevel="0" collapsed="false">
      <c r="B44" s="0" t="s">
        <v>444</v>
      </c>
      <c r="D44" s="0" t="n">
        <f aca="false">53/11928</f>
        <v>0.00444332662642522</v>
      </c>
      <c r="E44" s="6" t="n">
        <f aca="false">E$33*D44</f>
        <v>0.497652582159624</v>
      </c>
      <c r="F44" s="5"/>
      <c r="G44" s="5"/>
      <c r="H44" s="5"/>
      <c r="K44" s="0" t="s">
        <v>431</v>
      </c>
    </row>
    <row r="45" customFormat="false" ht="13.8" hidden="false" customHeight="false" outlineLevel="0" collapsed="false">
      <c r="B45" s="0" t="s">
        <v>448</v>
      </c>
      <c r="D45" s="0" t="n">
        <f aca="false">1094/5325</f>
        <v>0.205446009389671</v>
      </c>
      <c r="E45" s="6" t="n">
        <f aca="false">E$33*D45</f>
        <v>23.0099530516432</v>
      </c>
      <c r="F45" s="5"/>
      <c r="G45" s="5"/>
      <c r="H45" s="5"/>
      <c r="K45" s="0" t="s">
        <v>436</v>
      </c>
    </row>
    <row r="46" customFormat="false" ht="13.8" hidden="false" customHeight="false" outlineLevel="0" collapsed="false">
      <c r="B46" s="0" t="s">
        <v>453</v>
      </c>
      <c r="D46" s="0" t="n">
        <f aca="false">74/1065</f>
        <v>0.0694835680751174</v>
      </c>
      <c r="E46" s="6" t="n">
        <f aca="false">E$33*D46</f>
        <v>7.78215962441315</v>
      </c>
      <c r="F46" s="5"/>
      <c r="G46" s="5"/>
      <c r="H46" s="5"/>
      <c r="K46" s="0" t="s">
        <v>439</v>
      </c>
    </row>
    <row r="47" customFormat="false" ht="13.8" hidden="false" customHeight="false" outlineLevel="0" collapsed="false">
      <c r="B47" s="0" t="s">
        <v>456</v>
      </c>
      <c r="D47" s="0" t="n">
        <f aca="false">353/19170</f>
        <v>0.0184141888367241</v>
      </c>
      <c r="E47" s="6" t="n">
        <f aca="false">E$33*D47</f>
        <v>2.06238914971309</v>
      </c>
      <c r="F47" s="5"/>
      <c r="G47" s="5"/>
      <c r="H47" s="5"/>
      <c r="K47" s="0" t="s">
        <v>444</v>
      </c>
    </row>
    <row r="48" customFormat="false" ht="13.8" hidden="false" customHeight="false" outlineLevel="0" collapsed="false">
      <c r="B48" s="0" t="s">
        <v>459</v>
      </c>
      <c r="D48" s="0" t="n">
        <f aca="false">1829/19170</f>
        <v>0.0954094940010433</v>
      </c>
      <c r="E48" s="6" t="n">
        <f aca="false">E$33*D48</f>
        <v>10.6858633281169</v>
      </c>
      <c r="F48" s="5"/>
      <c r="G48" s="5"/>
      <c r="H48" s="5"/>
      <c r="K48" s="0" t="s">
        <v>448</v>
      </c>
    </row>
    <row r="49" customFormat="false" ht="13.8" hidden="false" customHeight="false" outlineLevel="0" collapsed="false">
      <c r="B49" s="0" t="s">
        <v>464</v>
      </c>
      <c r="D49" s="0" t="n">
        <f aca="false">353/19170</f>
        <v>0.0184141888367241</v>
      </c>
      <c r="E49" s="6" t="n">
        <f aca="false">E$33*D49</f>
        <v>2.06238914971309</v>
      </c>
      <c r="F49" s="5"/>
      <c r="G49" s="5"/>
      <c r="H49" s="5"/>
      <c r="K49" s="0" t="s">
        <v>453</v>
      </c>
    </row>
    <row r="50" customFormat="false" ht="13.8" hidden="false" customHeight="false" outlineLevel="0" collapsed="false">
      <c r="B50" s="0" t="s">
        <v>468</v>
      </c>
      <c r="D50" s="0" t="n">
        <f aca="false">353/38340</f>
        <v>0.00920709441836203</v>
      </c>
      <c r="E50" s="6" t="n">
        <f aca="false">E$33*D50</f>
        <v>1.03119457485655</v>
      </c>
      <c r="F50" s="5"/>
      <c r="G50" s="5"/>
      <c r="H50" s="5"/>
      <c r="K50" s="0" t="s">
        <v>456</v>
      </c>
    </row>
    <row r="51" customFormat="false" ht="13.8" hidden="false" customHeight="false" outlineLevel="0" collapsed="false">
      <c r="B51" s="1"/>
      <c r="C51" s="5"/>
      <c r="D51" s="5"/>
      <c r="E51" s="6"/>
      <c r="F51" s="5"/>
      <c r="G51" s="5"/>
      <c r="H51" s="5"/>
      <c r="K51" s="0" t="s">
        <v>459</v>
      </c>
    </row>
    <row r="52" customFormat="false" ht="13.8" hidden="false" customHeight="false" outlineLevel="0" collapsed="false">
      <c r="B52" s="1"/>
      <c r="C52" s="5"/>
      <c r="D52" s="5"/>
      <c r="E52" s="6"/>
      <c r="F52" s="5"/>
      <c r="G52" s="5"/>
      <c r="H52" s="5"/>
      <c r="K52" s="0" t="s">
        <v>464</v>
      </c>
    </row>
    <row r="53" customFormat="false" ht="13.8" hidden="false" customHeight="false" outlineLevel="0" collapsed="false">
      <c r="B53" s="1"/>
      <c r="C53" s="5"/>
      <c r="D53" s="5"/>
      <c r="E53" s="6"/>
      <c r="F53" s="5" t="n">
        <f aca="false">E53/20</f>
        <v>0</v>
      </c>
      <c r="G53" s="5"/>
      <c r="H53" s="5"/>
      <c r="K53" s="0" t="s">
        <v>468</v>
      </c>
    </row>
    <row r="54" customFormat="false" ht="13.8" hidden="false" customHeight="false" outlineLevel="0" collapsed="false">
      <c r="B54" s="5"/>
      <c r="C54" s="5"/>
      <c r="D54" s="7" t="n">
        <f aca="false">SUM(D34:D53)</f>
        <v>1</v>
      </c>
      <c r="E54" s="7" t="n">
        <f aca="false">SUM(E34:E53)</f>
        <v>112</v>
      </c>
      <c r="F54" s="5"/>
      <c r="G54" s="5"/>
      <c r="H54" s="5"/>
      <c r="K54" s="0" t="s">
        <v>11</v>
      </c>
    </row>
    <row r="55" customFormat="false" ht="13.8" hidden="false" customHeight="false" outlineLevel="0" collapsed="false">
      <c r="B55" s="5"/>
      <c r="C55" s="5"/>
      <c r="D55" s="7"/>
      <c r="E55" s="7"/>
      <c r="F55" s="5"/>
      <c r="G55" s="5"/>
      <c r="H55" s="5"/>
      <c r="K55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sidhu .</dc:creator>
  <dc:description/>
  <dc:language>en-US</dc:language>
  <cp:lastModifiedBy/>
  <dcterms:modified xsi:type="dcterms:W3CDTF">2025-04-27T17:21:37Z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